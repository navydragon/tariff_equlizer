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externalLinks/externalLink10.xml" ContentType="application/vnd.openxmlformats-officedocument.spreadsheetml.externalLink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hidePivotFieldList="1" defaultThemeVersion="124226"/>
  <bookViews>
    <workbookView xWindow="-120" yWindow="-120" windowWidth="29040" windowHeight="15720"/>
  </bookViews>
  <sheets>
    <sheet name="Выпадение всего" sheetId="10" r:id="rId1"/>
    <sheet name="Уголь_эластика_экспорт" sheetId="9" r:id="rId2"/>
    <sheet name="План погрузки" sheetId="11" r:id="rId3"/>
    <sheet name="Уголь_эластика_внутр" sheetId="1" r:id="rId4"/>
    <sheet name="Уголь_коэфф" sheetId="7" r:id="rId5"/>
    <sheet name="Цены,перевалка,аренда" sheetId="6" r:id="rId6"/>
    <sheet name="Курс $" sheetId="5" r:id="rId7"/>
    <sheet name="Технический лист_сниж тарифа" sheetId="8" r:id="rId8"/>
  </sheets>
  <externalReferences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</externalReferences>
  <definedNames>
    <definedName name="_Order1" hidden="1">255</definedName>
    <definedName name="_xlnm._FilterDatabase" localSheetId="0" hidden="1">'Выпадение всего'!$A$4:$J$4</definedName>
    <definedName name="_xlnm._FilterDatabase" localSheetId="2" hidden="1">'План погрузки'!$A$4:$AN$82</definedName>
    <definedName name="_xlnm._FilterDatabase" localSheetId="3" hidden="1">Уголь_эластика_внутр!$B$3:$GO$27</definedName>
    <definedName name="_xlnm._FilterDatabase" localSheetId="1" hidden="1">Уголь_эластика_экспорт!$B$3:$IR$27</definedName>
    <definedName name="AS2DocOpenMode" hidden="1">"AS2DocumentEdit"</definedName>
    <definedName name="ccc" localSheetId="1">#REF!</definedName>
    <definedName name="ccc">#REF!</definedName>
    <definedName name="cmndBase" localSheetId="1">#REF!</definedName>
    <definedName name="cmndBase">#REF!</definedName>
    <definedName name="cmndDayMonthTo" localSheetId="1">#REF!</definedName>
    <definedName name="cmndDayMonthTo">#REF!</definedName>
    <definedName name="cmndDays" localSheetId="1">#REF!</definedName>
    <definedName name="cmndDays">#REF!</definedName>
    <definedName name="cmndDocNum" localSheetId="1">#REF!</definedName>
    <definedName name="cmndDocNum">#REF!</definedName>
    <definedName name="cmndDocSer" localSheetId="1">#REF!</definedName>
    <definedName name="cmndDocSer">#REF!</definedName>
    <definedName name="cmndFIO" localSheetId="1">#REF!</definedName>
    <definedName name="cmndFIO">#REF!</definedName>
    <definedName name="cmndOrdDay" localSheetId="1">#REF!</definedName>
    <definedName name="cmndOrdDay">#REF!</definedName>
    <definedName name="cmndOrdMonth" localSheetId="1">#REF!</definedName>
    <definedName name="cmndOrdMonth">#REF!</definedName>
    <definedName name="cmndOrdNum" localSheetId="1">#REF!</definedName>
    <definedName name="cmndOrdNum">#REF!</definedName>
    <definedName name="cmndOrdYear" localSheetId="1">#REF!</definedName>
    <definedName name="cmndOrdYear">#REF!</definedName>
    <definedName name="cmndPoint" localSheetId="1">#REF!</definedName>
    <definedName name="cmndPoint">#REF!</definedName>
    <definedName name="cmndPoint1" localSheetId="1">#REF!</definedName>
    <definedName name="cmndPoint1">#REF!</definedName>
    <definedName name="cmndPos" localSheetId="1">#REF!</definedName>
    <definedName name="cmndPos">#REF!</definedName>
    <definedName name="cmndYearTo" localSheetId="1">#REF!</definedName>
    <definedName name="cmndYearTo">#REF!</definedName>
    <definedName name="cntAddition" localSheetId="1">#REF!</definedName>
    <definedName name="cntAddition">#REF!</definedName>
    <definedName name="cntDay" localSheetId="1">#REF!</definedName>
    <definedName name="cntDay">#REF!</definedName>
    <definedName name="cntMonth" localSheetId="1">#REF!</definedName>
    <definedName name="cntMonth">#REF!</definedName>
    <definedName name="cntName" localSheetId="1">#REF!</definedName>
    <definedName name="cntName">#REF!</definedName>
    <definedName name="cntNumber" localSheetId="1">#REF!</definedName>
    <definedName name="cntNumber">#REF!</definedName>
    <definedName name="cntPayer" localSheetId="1">#REF!</definedName>
    <definedName name="cntPayer">#REF!</definedName>
    <definedName name="cntPayer1" localSheetId="1">#REF!</definedName>
    <definedName name="cntPayer1">#REF!</definedName>
    <definedName name="cntPayerAddr1" localSheetId="1">#REF!</definedName>
    <definedName name="cntPayerAddr1">#REF!</definedName>
    <definedName name="cntPayerAddr2" localSheetId="1">#REF!</definedName>
    <definedName name="cntPayerAddr2">#REF!</definedName>
    <definedName name="cntPayerBank1" localSheetId="1">#REF!</definedName>
    <definedName name="cntPayerBank1">#REF!</definedName>
    <definedName name="cntPayerBank2" localSheetId="1">#REF!</definedName>
    <definedName name="cntPayerBank2">#REF!</definedName>
    <definedName name="cntPayerBank3" localSheetId="1">#REF!</definedName>
    <definedName name="cntPayerBank3">#REF!</definedName>
    <definedName name="cntPayerCount" localSheetId="1">#REF!</definedName>
    <definedName name="cntPayerCount">#REF!</definedName>
    <definedName name="cntPayerCountCor" localSheetId="1">#REF!</definedName>
    <definedName name="cntPayerCountCor">#REF!</definedName>
    <definedName name="cntPriceC" localSheetId="1">#REF!</definedName>
    <definedName name="cntPriceC">#REF!</definedName>
    <definedName name="cntPriceR" localSheetId="1">#REF!</definedName>
    <definedName name="cntPriceR">#REF!</definedName>
    <definedName name="cntQnt" localSheetId="1">#REF!</definedName>
    <definedName name="cntQnt">#REF!</definedName>
    <definedName name="cntSumC" localSheetId="1">#REF!</definedName>
    <definedName name="cntSumC">#REF!</definedName>
    <definedName name="cntSumR" localSheetId="1">#REF!</definedName>
    <definedName name="cntSumR">#REF!</definedName>
    <definedName name="cntSuppAddr1" localSheetId="1">#REF!</definedName>
    <definedName name="cntSuppAddr1">#REF!</definedName>
    <definedName name="cntSuppAddr2" localSheetId="1">#REF!</definedName>
    <definedName name="cntSuppAddr2">#REF!</definedName>
    <definedName name="cntSuppBank" localSheetId="1">#REF!</definedName>
    <definedName name="cntSuppBank">#REF!</definedName>
    <definedName name="cntSuppCount" localSheetId="1">#REF!</definedName>
    <definedName name="cntSuppCount">#REF!</definedName>
    <definedName name="cntSuppCountCor" localSheetId="1">#REF!</definedName>
    <definedName name="cntSuppCountCor">#REF!</definedName>
    <definedName name="cntSupplier" localSheetId="1">#REF!</definedName>
    <definedName name="cntSupplier">#REF!</definedName>
    <definedName name="cntSuppMFO1" localSheetId="1">#REF!</definedName>
    <definedName name="cntSuppMFO1">#REF!</definedName>
    <definedName name="cntSuppMFO2" localSheetId="1">#REF!</definedName>
    <definedName name="cntSuppMFO2">#REF!</definedName>
    <definedName name="cntSuppTlf" localSheetId="1">#REF!</definedName>
    <definedName name="cntSuppTlf">#REF!</definedName>
    <definedName name="cntUnit" localSheetId="1">#REF!</definedName>
    <definedName name="cntUnit">#REF!</definedName>
    <definedName name="cntYear" localSheetId="1">#REF!</definedName>
    <definedName name="cntYear">#REF!</definedName>
    <definedName name="DF_GRID_2" localSheetId="7">История [1]корректировок!$C$10:$I$11</definedName>
    <definedName name="DF_GRID_2" localSheetId="1">История [1]корректировок!$C$10:$I$11</definedName>
    <definedName name="DF_GRID_2">История [1]корректировок!$C$10:$I$11</definedName>
    <definedName name="DF_NAVPANEL_13" localSheetId="1">[2]Отчет!#REF!</definedName>
    <definedName name="DF_NAVPANEL_13">[2]Отчет!#REF!</definedName>
    <definedName name="DF_NAVPANEL_18" localSheetId="1">[2]Отчет!#REF!</definedName>
    <definedName name="DF_NAVPANEL_18">[2]Отчет!#REF!</definedName>
    <definedName name="dvrCustomer" localSheetId="1">#REF!</definedName>
    <definedName name="dvrCustomer">#REF!</definedName>
    <definedName name="dvrDay" localSheetId="1">#REF!</definedName>
    <definedName name="dvrDay">#REF!</definedName>
    <definedName name="dvrDocDay" localSheetId="1">#REF!</definedName>
    <definedName name="dvrDocDay">#REF!</definedName>
    <definedName name="dvrDocIss" localSheetId="1">#REF!</definedName>
    <definedName name="dvrDocIss">#REF!</definedName>
    <definedName name="dvrDocMonth" localSheetId="1">#REF!</definedName>
    <definedName name="dvrDocMonth">#REF!</definedName>
    <definedName name="dvrDocNum" localSheetId="1">#REF!</definedName>
    <definedName name="dvrDocNum">#REF!</definedName>
    <definedName name="dvrDocSer" localSheetId="1">#REF!</definedName>
    <definedName name="dvrDocSer">#REF!</definedName>
    <definedName name="dvrDocYear" localSheetId="1">#REF!</definedName>
    <definedName name="dvrDocYear">#REF!</definedName>
    <definedName name="dvrMonth" localSheetId="1">#REF!</definedName>
    <definedName name="dvrMonth">#REF!</definedName>
    <definedName name="dvrName" localSheetId="1">#REF!</definedName>
    <definedName name="dvrName">#REF!</definedName>
    <definedName name="dvrNo" localSheetId="1">#REF!</definedName>
    <definedName name="dvrNo">#REF!</definedName>
    <definedName name="dvrNumber" localSheetId="1">#REF!</definedName>
    <definedName name="dvrNumber">#REF!</definedName>
    <definedName name="dvrOrder" localSheetId="1">#REF!</definedName>
    <definedName name="dvrOrder">#REF!</definedName>
    <definedName name="dvrPayer" localSheetId="1">#REF!</definedName>
    <definedName name="dvrPayer">#REF!</definedName>
    <definedName name="dvrPayerBank1" localSheetId="1">#REF!</definedName>
    <definedName name="dvrPayerBank1">#REF!</definedName>
    <definedName name="dvrPayerBank2" localSheetId="1">#REF!</definedName>
    <definedName name="dvrPayerBank2">#REF!</definedName>
    <definedName name="dvrPayerCount" localSheetId="1">#REF!</definedName>
    <definedName name="dvrPayerCount">#REF!</definedName>
    <definedName name="dvrQnt" localSheetId="1">#REF!</definedName>
    <definedName name="dvrQnt">#REF!</definedName>
    <definedName name="dvrReceiver" localSheetId="1">#REF!</definedName>
    <definedName name="dvrReceiver">#REF!</definedName>
    <definedName name="dvrSupplier" localSheetId="1">#REF!</definedName>
    <definedName name="dvrSupplier">#REF!</definedName>
    <definedName name="dvrUnit" localSheetId="1">#REF!</definedName>
    <definedName name="dvrUnit">#REF!</definedName>
    <definedName name="dvrValidDay" localSheetId="1">#REF!</definedName>
    <definedName name="dvrValidDay">#REF!</definedName>
    <definedName name="dvrValidMonth" localSheetId="1">#REF!</definedName>
    <definedName name="dvrValidMonth">#REF!</definedName>
    <definedName name="dvrValidYear" localSheetId="1">#REF!</definedName>
    <definedName name="dvrValidYear">#REF!</definedName>
    <definedName name="dvrYear" localSheetId="1">#REF!</definedName>
    <definedName name="dvrYear">#REF!</definedName>
    <definedName name="elkAddr1" localSheetId="1">#REF!</definedName>
    <definedName name="elkAddr1">#REF!</definedName>
    <definedName name="elkAddr2" localSheetId="1">#REF!</definedName>
    <definedName name="elkAddr2">#REF!</definedName>
    <definedName name="elkCount" localSheetId="1">#REF!</definedName>
    <definedName name="elkCount">#REF!</definedName>
    <definedName name="elkCountFrom" localSheetId="1">#REF!</definedName>
    <definedName name="elkCountFrom">#REF!</definedName>
    <definedName name="elkCountTo" localSheetId="1">#REF!</definedName>
    <definedName name="elkCountTo">#REF!</definedName>
    <definedName name="elkDateFrom" localSheetId="1">#REF!</definedName>
    <definedName name="elkDateFrom">#REF!</definedName>
    <definedName name="elkDateTo" localSheetId="1">#REF!</definedName>
    <definedName name="elkDateTo">#REF!</definedName>
    <definedName name="elkDiscount" localSheetId="1">#REF!</definedName>
    <definedName name="elkDiscount">#REF!</definedName>
    <definedName name="elkKAddr1" localSheetId="1">#REF!</definedName>
    <definedName name="elkKAddr1">#REF!</definedName>
    <definedName name="elkKAddr2" localSheetId="1">#REF!</definedName>
    <definedName name="elkKAddr2">#REF!</definedName>
    <definedName name="elkKCount" localSheetId="1">#REF!</definedName>
    <definedName name="elkKCount">#REF!</definedName>
    <definedName name="elkKCountFrom" localSheetId="1">#REF!</definedName>
    <definedName name="elkKCountFrom">#REF!</definedName>
    <definedName name="elkKCountTo" localSheetId="1">#REF!</definedName>
    <definedName name="elkKCountTo">#REF!</definedName>
    <definedName name="elkKDateFrom" localSheetId="1">#REF!</definedName>
    <definedName name="elkKDateFrom">#REF!</definedName>
    <definedName name="elkKDateTo" localSheetId="1">#REF!</definedName>
    <definedName name="elkKDateTo">#REF!</definedName>
    <definedName name="elkKDiscount" localSheetId="1">#REF!</definedName>
    <definedName name="elkKDiscount">#REF!</definedName>
    <definedName name="elkKNumber" localSheetId="1">#REF!</definedName>
    <definedName name="elkKNumber">#REF!</definedName>
    <definedName name="elkKSumC" localSheetId="1">#REF!</definedName>
    <definedName name="elkKSumC">#REF!</definedName>
    <definedName name="elkKSumR" localSheetId="1">#REF!</definedName>
    <definedName name="elkKSumR">#REF!</definedName>
    <definedName name="elkKTarif" localSheetId="1">#REF!</definedName>
    <definedName name="elkKTarif">#REF!</definedName>
    <definedName name="elkNumber" localSheetId="1">#REF!</definedName>
    <definedName name="elkNumber">#REF!</definedName>
    <definedName name="elkSumC" localSheetId="1">#REF!</definedName>
    <definedName name="elkSumC">#REF!</definedName>
    <definedName name="elkSumR" localSheetId="1">#REF!</definedName>
    <definedName name="elkSumR">#REF!</definedName>
    <definedName name="elkTarif" localSheetId="1">#REF!</definedName>
    <definedName name="elkTarif">#REF!</definedName>
    <definedName name="EV__LASTREFTIME__" hidden="1">40933.5627314815</definedName>
    <definedName name="EXCEL" localSheetId="1">#REF!</definedName>
    <definedName name="EXCEL">#REF!</definedName>
    <definedName name="f" localSheetId="1">'[3]коэф. т. 5'!#REF!</definedName>
    <definedName name="f">'[3]коэф. т. 5'!#REF!</definedName>
    <definedName name="ghjhkhjd" localSheetId="1">#REF!</definedName>
    <definedName name="ghjhkhjd">#REF!</definedName>
    <definedName name="HTML_CodePage" hidden="1">1252</definedName>
    <definedName name="HTML_Description" hidden="1">""</definedName>
    <definedName name="HTML_Email" hidden="1">""</definedName>
    <definedName name="HTML_Header" hidden="1">"Working Capital"</definedName>
    <definedName name="HTML_LastUpdate" hidden="1">"9/11/00"</definedName>
    <definedName name="HTML_LineAfter" hidden="1">TRUE</definedName>
    <definedName name="HTML_LineBefore" hidden="1">TRUE</definedName>
    <definedName name="HTML_Name" hidden="1">"Aswath Damodaran"</definedName>
    <definedName name="HTML_OBDlg2" hidden="1">TRUE</definedName>
    <definedName name="HTML_OBDlg4" hidden="1">TRUE</definedName>
    <definedName name="HTML_OS" hidden="1">1</definedName>
    <definedName name="HTML_PathFileMac" hidden="1">"Macintosh HD:Web Site “~adamodar”:pc:datasets:MyHTML.html"</definedName>
    <definedName name="HTML_Title" hidden="1">"wcdata"</definedName>
    <definedName name="MonthR">[4]дор!$AD$5</definedName>
    <definedName name="Months">[4]дор!$AE$1:$AE$24</definedName>
    <definedName name="nakDay" localSheetId="1">#REF!</definedName>
    <definedName name="nakDay">#REF!</definedName>
    <definedName name="nakFrom" localSheetId="1">#REF!</definedName>
    <definedName name="nakFrom">#REF!</definedName>
    <definedName name="nakMonth" localSheetId="1">#REF!</definedName>
    <definedName name="nakMonth">#REF!</definedName>
    <definedName name="nakName" localSheetId="1">#REF!</definedName>
    <definedName name="nakName">#REF!</definedName>
    <definedName name="nakNo" localSheetId="1">#REF!</definedName>
    <definedName name="nakNo">#REF!</definedName>
    <definedName name="nakNumber" localSheetId="1">#REF!</definedName>
    <definedName name="nakNumber">#REF!</definedName>
    <definedName name="nakPriceC" localSheetId="1">#REF!</definedName>
    <definedName name="nakPriceC">#REF!</definedName>
    <definedName name="nakPriceR" localSheetId="1">#REF!</definedName>
    <definedName name="nakPriceR">#REF!</definedName>
    <definedName name="nakQnt" localSheetId="1">#REF!</definedName>
    <definedName name="nakQnt">#REF!</definedName>
    <definedName name="nakSumC" localSheetId="1">#REF!</definedName>
    <definedName name="nakSumC">#REF!</definedName>
    <definedName name="nakSumR" localSheetId="1">#REF!</definedName>
    <definedName name="nakSumR">#REF!</definedName>
    <definedName name="nakTo" localSheetId="1">#REF!</definedName>
    <definedName name="nakTo">#REF!</definedName>
    <definedName name="nakYear" localSheetId="1">#REF!</definedName>
    <definedName name="nakYear">#REF!</definedName>
    <definedName name="OUT_G142_ГНГ2001_ЕТСНГ_Список" localSheetId="1">#REF!</definedName>
    <definedName name="OUT_G142_ГНГ2001_ЕТСНГ_Список">#REF!</definedName>
    <definedName name="pmnCCode1" localSheetId="1">#REF!</definedName>
    <definedName name="pmnCCode1">#REF!</definedName>
    <definedName name="pmnCCode2" localSheetId="1">#REF!</definedName>
    <definedName name="pmnCCode2">#REF!</definedName>
    <definedName name="pmnDay" localSheetId="1">#REF!</definedName>
    <definedName name="pmnDay">#REF!</definedName>
    <definedName name="pmnDCode1" localSheetId="1">#REF!</definedName>
    <definedName name="pmnDCode1">#REF!</definedName>
    <definedName name="pmnDCode2" localSheetId="1">#REF!</definedName>
    <definedName name="pmnDCode2">#REF!</definedName>
    <definedName name="pmnDirection" localSheetId="1">#REF!</definedName>
    <definedName name="pmnDirection">#REF!</definedName>
    <definedName name="pmnMonth" localSheetId="1">#REF!</definedName>
    <definedName name="pmnMonth">#REF!</definedName>
    <definedName name="pmnNumber" localSheetId="1">#REF!</definedName>
    <definedName name="pmnNumber">#REF!</definedName>
    <definedName name="pmnOper" localSheetId="1">#REF!</definedName>
    <definedName name="pmnOper">#REF!</definedName>
    <definedName name="pmnPayer" localSheetId="1">#REF!</definedName>
    <definedName name="pmnPayer">#REF!</definedName>
    <definedName name="pmnPayer1" localSheetId="1">#REF!</definedName>
    <definedName name="pmnPayer1">#REF!</definedName>
    <definedName name="pmnPayerBank1" localSheetId="1">#REF!</definedName>
    <definedName name="pmnPayerBank1">#REF!</definedName>
    <definedName name="pmnPayerBank2" localSheetId="1">#REF!</definedName>
    <definedName name="pmnPayerBank2">#REF!</definedName>
    <definedName name="pmnPayerBank3" localSheetId="1">#REF!</definedName>
    <definedName name="pmnPayerBank3">#REF!</definedName>
    <definedName name="pmnPayerCode" localSheetId="1">#REF!</definedName>
    <definedName name="pmnPayerCode">#REF!</definedName>
    <definedName name="pmnPayerCount1" localSheetId="1">#REF!</definedName>
    <definedName name="pmnPayerCount1">#REF!</definedName>
    <definedName name="pmnPayerCount2" localSheetId="1">#REF!</definedName>
    <definedName name="pmnPayerCount2">#REF!</definedName>
    <definedName name="pmnPayerCount3" localSheetId="1">#REF!</definedName>
    <definedName name="pmnPayerCount3">#REF!</definedName>
    <definedName name="pmnRecBank1" localSheetId="1">#REF!</definedName>
    <definedName name="pmnRecBank1">#REF!</definedName>
    <definedName name="pmnRecBank2" localSheetId="1">#REF!</definedName>
    <definedName name="pmnRecBank2">#REF!</definedName>
    <definedName name="pmnRecBank3" localSheetId="1">#REF!</definedName>
    <definedName name="pmnRecBank3">#REF!</definedName>
    <definedName name="pmnRecCode" localSheetId="1">#REF!</definedName>
    <definedName name="pmnRecCode">#REF!</definedName>
    <definedName name="pmnRecCount1" localSheetId="1">#REF!</definedName>
    <definedName name="pmnRecCount1">#REF!</definedName>
    <definedName name="pmnRecCount2" localSheetId="1">#REF!</definedName>
    <definedName name="pmnRecCount2">#REF!</definedName>
    <definedName name="pmnRecCount3" localSheetId="1">#REF!</definedName>
    <definedName name="pmnRecCount3">#REF!</definedName>
    <definedName name="pmnReceiver" localSheetId="1">#REF!</definedName>
    <definedName name="pmnReceiver">#REF!</definedName>
    <definedName name="pmnReceiver1" localSheetId="1">#REF!</definedName>
    <definedName name="pmnReceiver1">#REF!</definedName>
    <definedName name="pmnSum1" localSheetId="1">#REF!</definedName>
    <definedName name="pmnSum1">#REF!</definedName>
    <definedName name="pmnSum2" localSheetId="1">#REF!</definedName>
    <definedName name="pmnSum2">#REF!</definedName>
    <definedName name="pmnWNalog" localSheetId="1">#REF!</definedName>
    <definedName name="pmnWNalog">#REF!</definedName>
    <definedName name="pmnWSum1" localSheetId="1">#REF!</definedName>
    <definedName name="pmnWSum1">#REF!</definedName>
    <definedName name="pmnWSum2" localSheetId="1">#REF!</definedName>
    <definedName name="pmnWSum2">#REF!</definedName>
    <definedName name="pmnWSum3" localSheetId="1">#REF!</definedName>
    <definedName name="pmnWSum3">#REF!</definedName>
    <definedName name="pmnYear" localSheetId="1">#REF!</definedName>
    <definedName name="pmnYear">#REF!</definedName>
    <definedName name="priApplication1" localSheetId="1">#REF!</definedName>
    <definedName name="priApplication1">#REF!</definedName>
    <definedName name="priApplication2" localSheetId="1">#REF!</definedName>
    <definedName name="priApplication2">#REF!</definedName>
    <definedName name="priDate1" localSheetId="1">#REF!</definedName>
    <definedName name="priDate1">#REF!</definedName>
    <definedName name="priDate2" localSheetId="1">#REF!</definedName>
    <definedName name="priDate2">#REF!</definedName>
    <definedName name="priKDay" localSheetId="1">#REF!</definedName>
    <definedName name="priKDay">#REF!</definedName>
    <definedName name="priKMonth" localSheetId="1">#REF!</definedName>
    <definedName name="priKMonth">#REF!</definedName>
    <definedName name="priKNumber" localSheetId="1">#REF!</definedName>
    <definedName name="priKNumber">#REF!</definedName>
    <definedName name="priKOrgn" localSheetId="1">#REF!</definedName>
    <definedName name="priKOrgn">#REF!</definedName>
    <definedName name="priKPayer1" localSheetId="1">#REF!</definedName>
    <definedName name="priKPayer1">#REF!</definedName>
    <definedName name="priKPayer2" localSheetId="1">#REF!</definedName>
    <definedName name="priKPayer2">#REF!</definedName>
    <definedName name="priKPayer3" localSheetId="1">#REF!</definedName>
    <definedName name="priKPayer3">#REF!</definedName>
    <definedName name="priKSubject1" localSheetId="1">#REF!</definedName>
    <definedName name="priKSubject1">#REF!</definedName>
    <definedName name="priKSubject2" localSheetId="1">#REF!</definedName>
    <definedName name="priKSubject2">#REF!</definedName>
    <definedName name="priKSubject3" localSheetId="1">#REF!</definedName>
    <definedName name="priKSubject3">#REF!</definedName>
    <definedName name="priKWSum1" localSheetId="1">#REF!</definedName>
    <definedName name="priKWSum1">#REF!</definedName>
    <definedName name="priKWSum2" localSheetId="1">#REF!</definedName>
    <definedName name="priKWSum2">#REF!</definedName>
    <definedName name="priKWSum3" localSheetId="1">#REF!</definedName>
    <definedName name="priKWSum3">#REF!</definedName>
    <definedName name="priKWSum4" localSheetId="1">#REF!</definedName>
    <definedName name="priKWSum4">#REF!</definedName>
    <definedName name="priKWSum5" localSheetId="1">#REF!</definedName>
    <definedName name="priKWSum5">#REF!</definedName>
    <definedName name="priKWSumC" localSheetId="1">#REF!</definedName>
    <definedName name="priKWSumC">#REF!</definedName>
    <definedName name="priKYear" localSheetId="1">#REF!</definedName>
    <definedName name="priKYear">#REF!</definedName>
    <definedName name="priNumber" localSheetId="1">#REF!</definedName>
    <definedName name="priNumber">#REF!</definedName>
    <definedName name="priOrgn" localSheetId="1">#REF!</definedName>
    <definedName name="priOrgn">#REF!</definedName>
    <definedName name="priPayer" localSheetId="1">#REF!</definedName>
    <definedName name="priPayer">#REF!</definedName>
    <definedName name="priSubject1" localSheetId="1">#REF!</definedName>
    <definedName name="priSubject1">#REF!</definedName>
    <definedName name="priSubject2" localSheetId="1">#REF!</definedName>
    <definedName name="priSubject2">#REF!</definedName>
    <definedName name="priSum" localSheetId="1">#REF!</definedName>
    <definedName name="priSum">#REF!</definedName>
    <definedName name="priWSum1" localSheetId="1">#REF!</definedName>
    <definedName name="priWSum1">#REF!</definedName>
    <definedName name="priWSum2" localSheetId="1">#REF!</definedName>
    <definedName name="priWSum2">#REF!</definedName>
    <definedName name="priWSumC" localSheetId="1">#REF!</definedName>
    <definedName name="priWSumC">#REF!</definedName>
    <definedName name="rasApplication1" localSheetId="1">#REF!</definedName>
    <definedName name="rasApplication1">#REF!</definedName>
    <definedName name="rasApplication2" localSheetId="1">#REF!</definedName>
    <definedName name="rasApplication2">#REF!</definedName>
    <definedName name="rasDate1" localSheetId="1">#REF!</definedName>
    <definedName name="rasDate1">#REF!</definedName>
    <definedName name="rasDate2" localSheetId="1">#REF!</definedName>
    <definedName name="rasDate2">#REF!</definedName>
    <definedName name="rasDoc1" localSheetId="1">#REF!</definedName>
    <definedName name="rasDoc1">#REF!</definedName>
    <definedName name="rasDoc2" localSheetId="1">#REF!</definedName>
    <definedName name="rasDoc2">#REF!</definedName>
    <definedName name="rasNumber" localSheetId="1">#REF!</definedName>
    <definedName name="rasNumber">#REF!</definedName>
    <definedName name="rasOrgn" localSheetId="1">#REF!</definedName>
    <definedName name="rasOrgn">#REF!</definedName>
    <definedName name="rasRecDay" localSheetId="1">#REF!</definedName>
    <definedName name="rasRecDay">#REF!</definedName>
    <definedName name="rasReceiver" localSheetId="1">#REF!</definedName>
    <definedName name="rasReceiver">#REF!</definedName>
    <definedName name="rasRecMonth" localSheetId="1">#REF!</definedName>
    <definedName name="rasRecMonth">#REF!</definedName>
    <definedName name="rasRecYear" localSheetId="1">#REF!</definedName>
    <definedName name="rasRecYear">#REF!</definedName>
    <definedName name="rasSubject1" localSheetId="1">#REF!</definedName>
    <definedName name="rasSubject1">#REF!</definedName>
    <definedName name="rasSubject2" localSheetId="1">#REF!</definedName>
    <definedName name="rasSubject2">#REF!</definedName>
    <definedName name="rasSum" localSheetId="1">#REF!</definedName>
    <definedName name="rasSum">#REF!</definedName>
    <definedName name="rasWRecSum1" localSheetId="1">#REF!</definedName>
    <definedName name="rasWRecSum1">#REF!</definedName>
    <definedName name="rasWRecSum2" localSheetId="1">#REF!</definedName>
    <definedName name="rasWRecSum2">#REF!</definedName>
    <definedName name="rasWRecSumC" localSheetId="1">#REF!</definedName>
    <definedName name="rasWRecSumC">#REF!</definedName>
    <definedName name="rasWSum1" localSheetId="1">#REF!</definedName>
    <definedName name="rasWSum1">#REF!</definedName>
    <definedName name="rasWSum2" localSheetId="1">#REF!</definedName>
    <definedName name="rasWSum2">#REF!</definedName>
    <definedName name="rasWSumC" localSheetId="1">#REF!</definedName>
    <definedName name="rasWSumC">#REF!</definedName>
    <definedName name="SAPBEXhrIndnt" hidden="1">"Wide"</definedName>
    <definedName name="SAPsysID" hidden="1">"708C5W7SBKP804JT78WJ0JNKI"</definedName>
    <definedName name="SAPwbID" hidden="1">"ARS"</definedName>
    <definedName name="TextRefCopyRangeCount" hidden="1">182</definedName>
    <definedName name="Title">[4]дор!$AB$8</definedName>
    <definedName name="tlfAprt" localSheetId="1">#REF!</definedName>
    <definedName name="tlfAprt">#REF!</definedName>
    <definedName name="tlfBank" localSheetId="1">#REF!</definedName>
    <definedName name="tlfBank">#REF!</definedName>
    <definedName name="tlfCorp" localSheetId="1">#REF!</definedName>
    <definedName name="tlfCorp">#REF!</definedName>
    <definedName name="tlfCount" localSheetId="1">#REF!</definedName>
    <definedName name="tlfCount">#REF!</definedName>
    <definedName name="tlfFIO" localSheetId="1">#REF!</definedName>
    <definedName name="tlfFIO">#REF!</definedName>
    <definedName name="tlfHouse" localSheetId="1">#REF!</definedName>
    <definedName name="tlfHouse">#REF!</definedName>
    <definedName name="tlfKAprt" localSheetId="1">#REF!</definedName>
    <definedName name="tlfKAprt">#REF!</definedName>
    <definedName name="tlfKBank" localSheetId="1">#REF!</definedName>
    <definedName name="tlfKBank">#REF!</definedName>
    <definedName name="tlfKCorp" localSheetId="1">#REF!</definedName>
    <definedName name="tlfKCorp">#REF!</definedName>
    <definedName name="tlfKCount" localSheetId="1">#REF!</definedName>
    <definedName name="tlfKCount">#REF!</definedName>
    <definedName name="tlfKFio" localSheetId="1">#REF!</definedName>
    <definedName name="tlfKFio">#REF!</definedName>
    <definedName name="tlfKHouse" localSheetId="1">#REF!</definedName>
    <definedName name="tlfKHouse">#REF!</definedName>
    <definedName name="tlfKMonth" localSheetId="1">#REF!</definedName>
    <definedName name="tlfKMonth">#REF!</definedName>
    <definedName name="tlfKStreet" localSheetId="1">#REF!</definedName>
    <definedName name="tlfKStreet">#REF!</definedName>
    <definedName name="tlfKSum" localSheetId="1">#REF!</definedName>
    <definedName name="tlfKSum">#REF!</definedName>
    <definedName name="tlfKTarif" localSheetId="1">#REF!</definedName>
    <definedName name="tlfKTarif">#REF!</definedName>
    <definedName name="tlfKTlfNum" localSheetId="1">#REF!</definedName>
    <definedName name="tlfKTlfNum">#REF!</definedName>
    <definedName name="tlfKTotal" localSheetId="1">#REF!</definedName>
    <definedName name="tlfKTotal">#REF!</definedName>
    <definedName name="tlfKYear" localSheetId="1">#REF!</definedName>
    <definedName name="tlfKYear">#REF!</definedName>
    <definedName name="tlfMonth" localSheetId="1">#REF!</definedName>
    <definedName name="tlfMonth">#REF!</definedName>
    <definedName name="tlfStreet" localSheetId="1">#REF!</definedName>
    <definedName name="tlfStreet">#REF!</definedName>
    <definedName name="tlfSum" localSheetId="1">#REF!</definedName>
    <definedName name="tlfSum">#REF!</definedName>
    <definedName name="tlfTarif" localSheetId="1">#REF!</definedName>
    <definedName name="tlfTarif">#REF!</definedName>
    <definedName name="tlfTlfNum" localSheetId="1">#REF!</definedName>
    <definedName name="tlfTlfNum">#REF!</definedName>
    <definedName name="tlfTotal" localSheetId="1">#REF!</definedName>
    <definedName name="tlfTotal">#REF!</definedName>
    <definedName name="tlfYear" localSheetId="1">#REF!</definedName>
    <definedName name="tlfYear">#REF!</definedName>
    <definedName name="TonnVag">[4]дор!$AB$4</definedName>
    <definedName name="XRefCopyRangeCount" hidden="1">1</definedName>
    <definedName name="а" localSheetId="2">#REF!</definedName>
    <definedName name="а">#REF!</definedName>
    <definedName name="аа" localSheetId="1">#REF!</definedName>
    <definedName name="аа">#REF!</definedName>
    <definedName name="_xlnm.Database" localSheetId="1">#REF!</definedName>
    <definedName name="_xlnm.Database">#REF!</definedName>
    <definedName name="бююю.ю" localSheetId="2">#REF!</definedName>
    <definedName name="бююю.ю">#REF!</definedName>
    <definedName name="в" localSheetId="1">'[5]коэф. т. 5'!#REF!</definedName>
    <definedName name="в">'[5]коэф. т. 5'!#REF!</definedName>
    <definedName name="ввввв" localSheetId="2">#REF!</definedName>
    <definedName name="ввввв">#REF!</definedName>
    <definedName name="г" localSheetId="1">'[3]коэф. т. 5'!#REF!</definedName>
    <definedName name="г">'[3]коэф. т. 5'!#REF!</definedName>
    <definedName name="год">[6]Спр!$D$1:$D$3</definedName>
    <definedName name="Декабрь" localSheetId="2">#REF!</definedName>
    <definedName name="Декабрь">#REF!</definedName>
    <definedName name="дороге">[6]Спр!$A$1:$A$18</definedName>
    <definedName name="_xlnm.Print_Titles">'[7]пла. б .окт'!$A$13:$IV$17</definedName>
    <definedName name="зз">#REF!</definedName>
    <definedName name="исх1" localSheetId="1">#REF!</definedName>
    <definedName name="исх1">#REF!</definedName>
    <definedName name="Исходная" localSheetId="1">#REF!</definedName>
    <definedName name="Исходная">#REF!</definedName>
    <definedName name="й" localSheetId="1">#REF!</definedName>
    <definedName name="й">#REF!</definedName>
    <definedName name="каменный_уголь" localSheetId="2">#REF!</definedName>
    <definedName name="каменный_уголь">#REF!</definedName>
    <definedName name="копия" localSheetId="1">#REF!</definedName>
    <definedName name="копия">#REF!</definedName>
    <definedName name="март" localSheetId="2">#REF!</definedName>
    <definedName name="март">#REF!</definedName>
    <definedName name="мес" localSheetId="2">#REF!</definedName>
    <definedName name="мес">#REF!</definedName>
    <definedName name="месяц">[6]Спр!$C$1:$C$12</definedName>
    <definedName name="мммм" localSheetId="1">#REF!</definedName>
    <definedName name="мммм">#REF!</definedName>
    <definedName name="н" localSheetId="1">'[3]коэф. т. 5'!#REF!</definedName>
    <definedName name="н">'[3]коэф. т. 5'!#REF!</definedName>
    <definedName name="напитки" localSheetId="1">#REF!</definedName>
    <definedName name="напитки">#REF!</definedName>
    <definedName name="Ноябрь" localSheetId="2">#REF!</definedName>
    <definedName name="Ноябрь">#REF!</definedName>
    <definedName name="о" localSheetId="1">'[3]коэф. т. 5'!#REF!</definedName>
    <definedName name="о">'[3]коэф. т. 5'!#REF!</definedName>
    <definedName name="_xlnm.Print_Area" localSheetId="2">'План погрузки'!$A$1:$AL$82</definedName>
    <definedName name="Октябрь" localSheetId="2">#REF!</definedName>
    <definedName name="Октябрь">#REF!</definedName>
    <definedName name="ось">[8]коэфф!$D$4</definedName>
    <definedName name="отправка" localSheetId="1">#REF!</definedName>
    <definedName name="отправка">#REF!</definedName>
    <definedName name="п" localSheetId="2">#REF!</definedName>
    <definedName name="п">#REF!</definedName>
    <definedName name="Повагонная_отправка" localSheetId="1">#REF!</definedName>
    <definedName name="Повагонная_отправка">#REF!</definedName>
    <definedName name="погр" localSheetId="2">#REF!</definedName>
    <definedName name="погр">#REF!</definedName>
    <definedName name="ппп" localSheetId="1">#REF!</definedName>
    <definedName name="ппп">#REF!</definedName>
    <definedName name="ппппп" localSheetId="1">#REF!</definedName>
    <definedName name="ппппп">#REF!</definedName>
    <definedName name="р" localSheetId="1">'[3]коэф. т. 5'!#REF!</definedName>
    <definedName name="р">'[3]коэф. т. 5'!#REF!</definedName>
    <definedName name="рррр">[9]REF!$A$4:$J$1925</definedName>
    <definedName name="схемы">'[10]энерг_1 действ'!$I$3:$I$7</definedName>
    <definedName name="таб.5" localSheetId="1">#REF!</definedName>
    <definedName name="таб.5">#REF!</definedName>
    <definedName name="табл" localSheetId="1">#REF!</definedName>
    <definedName name="табл">#REF!</definedName>
    <definedName name="таблица" localSheetId="1">#REF!</definedName>
    <definedName name="таблица">#REF!</definedName>
    <definedName name="х" localSheetId="1">'[3]коэф. т. 5'!#REF!</definedName>
    <definedName name="х">'[3]коэф. т. 5'!#REF!</definedName>
    <definedName name="ы" localSheetId="1">'[3]коэф. т. 5'!#REF!</definedName>
    <definedName name="ы">'[3]коэф. т. 5'!#REF!</definedName>
    <definedName name="январь" localSheetId="2">#REF!</definedName>
    <definedName name="январь">#REF!</definedName>
  </definedNames>
  <calcPr calcId="125725"/>
  <pivotCaches>
    <pivotCache cacheId="16" r:id="rId1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V1" i="9"/>
  <c r="AZ3"/>
  <c r="BA3"/>
  <c r="BM3"/>
  <c r="BL3"/>
  <c r="BK3" s="1"/>
  <c r="BJ3" s="1"/>
  <c r="BI3" s="1"/>
  <c r="BH3" s="1"/>
  <c r="BG3" s="1"/>
  <c r="BF3" s="1"/>
  <c r="BE3" s="1"/>
  <c r="BD3" s="1"/>
  <c r="BC3" s="1"/>
  <c r="BB3" s="1"/>
  <c r="CD3"/>
  <c r="CC3" s="1"/>
  <c r="CB3" s="1"/>
  <c r="CA3" s="1"/>
  <c r="BZ3" s="1"/>
  <c r="BY3" s="1"/>
  <c r="BX3" s="1"/>
  <c r="BW3" s="1"/>
  <c r="BV3" s="1"/>
  <c r="BU3" s="1"/>
  <c r="BT3" s="1"/>
  <c r="BS3" s="1"/>
  <c r="BR3" s="1"/>
  <c r="BQ3" s="1"/>
  <c r="BP3" s="1"/>
  <c r="BO3" s="1"/>
  <c r="BN3" s="1"/>
  <c r="CT3"/>
  <c r="CS3" s="1"/>
  <c r="CR3" s="1"/>
  <c r="CQ3" s="1"/>
  <c r="CP3" s="1"/>
  <c r="CO3" s="1"/>
  <c r="CN3" s="1"/>
  <c r="CM3" s="1"/>
  <c r="CL3" s="1"/>
  <c r="CK3" s="1"/>
  <c r="CJ3" s="1"/>
  <c r="CI3" s="1"/>
  <c r="CH3" s="1"/>
  <c r="CG3" s="1"/>
  <c r="CF3" s="1"/>
  <c r="CE3" s="1"/>
  <c r="CV3"/>
  <c r="CW3"/>
  <c r="CU3"/>
  <c r="AZ4"/>
  <c r="BA4"/>
  <c r="BB4"/>
  <c r="BC4"/>
  <c r="BD4"/>
  <c r="BE4"/>
  <c r="BF4"/>
  <c r="BG4"/>
  <c r="BH4"/>
  <c r="BI4"/>
  <c r="BJ4"/>
  <c r="BK4"/>
  <c r="BL4"/>
  <c r="BM4"/>
  <c r="BN4"/>
  <c r="BO4"/>
  <c r="BP4"/>
  <c r="BQ4"/>
  <c r="BR4"/>
  <c r="BS4"/>
  <c r="BT4"/>
  <c r="BU4"/>
  <c r="BV4"/>
  <c r="BW4"/>
  <c r="BX4"/>
  <c r="BY4"/>
  <c r="BZ4"/>
  <c r="CA4"/>
  <c r="CB4"/>
  <c r="CC4"/>
  <c r="CD4"/>
  <c r="CE4"/>
  <c r="CF4"/>
  <c r="CG4"/>
  <c r="CH4"/>
  <c r="CI4"/>
  <c r="CJ4"/>
  <c r="CK4"/>
  <c r="CL4"/>
  <c r="CM4"/>
  <c r="CN4"/>
  <c r="CO4"/>
  <c r="CP4"/>
  <c r="CQ4"/>
  <c r="CR4"/>
  <c r="CS4"/>
  <c r="CT4"/>
  <c r="CU4"/>
  <c r="CV4"/>
  <c r="AZ5"/>
  <c r="BA5"/>
  <c r="BB5"/>
  <c r="BC5"/>
  <c r="BD5"/>
  <c r="BE5"/>
  <c r="BF5"/>
  <c r="BG5"/>
  <c r="BH5"/>
  <c r="BI5"/>
  <c r="BJ5"/>
  <c r="BK5"/>
  <c r="BL5"/>
  <c r="BM5"/>
  <c r="BN5"/>
  <c r="BO5"/>
  <c r="BP5"/>
  <c r="BQ5"/>
  <c r="BR5"/>
  <c r="BS5"/>
  <c r="BT5"/>
  <c r="BU5"/>
  <c r="BV5"/>
  <c r="BW5"/>
  <c r="BX5"/>
  <c r="BY5"/>
  <c r="BZ5"/>
  <c r="CA5"/>
  <c r="CB5"/>
  <c r="CC5"/>
  <c r="CD5"/>
  <c r="CE5"/>
  <c r="CF5"/>
  <c r="CG5"/>
  <c r="CH5"/>
  <c r="CI5"/>
  <c r="CJ5"/>
  <c r="CK5"/>
  <c r="CL5"/>
  <c r="CM5"/>
  <c r="CN5"/>
  <c r="CO5"/>
  <c r="CP5"/>
  <c r="CQ5"/>
  <c r="CR5"/>
  <c r="CS5"/>
  <c r="CT5"/>
  <c r="CU5"/>
  <c r="CV5"/>
  <c r="AZ6"/>
  <c r="BA6"/>
  <c r="BB6"/>
  <c r="BC6"/>
  <c r="BD6"/>
  <c r="BE6"/>
  <c r="BF6"/>
  <c r="BG6"/>
  <c r="BH6"/>
  <c r="BI6"/>
  <c r="BJ6"/>
  <c r="BK6"/>
  <c r="BL6"/>
  <c r="BM6"/>
  <c r="BN6"/>
  <c r="BO6"/>
  <c r="BP6"/>
  <c r="BQ6"/>
  <c r="BR6"/>
  <c r="BS6"/>
  <c r="BT6"/>
  <c r="BU6"/>
  <c r="BV6"/>
  <c r="BW6"/>
  <c r="BX6"/>
  <c r="BY6"/>
  <c r="BZ6"/>
  <c r="CA6"/>
  <c r="CB6"/>
  <c r="CC6"/>
  <c r="CD6"/>
  <c r="CE6"/>
  <c r="CF6"/>
  <c r="CG6"/>
  <c r="CH6"/>
  <c r="CI6"/>
  <c r="CJ6"/>
  <c r="CK6"/>
  <c r="CL6"/>
  <c r="CM6"/>
  <c r="CN6"/>
  <c r="CO6"/>
  <c r="CP6"/>
  <c r="CQ6"/>
  <c r="CR6"/>
  <c r="CS6"/>
  <c r="CT6"/>
  <c r="CU6"/>
  <c r="CV6"/>
  <c r="AZ7"/>
  <c r="BA7"/>
  <c r="BB7"/>
  <c r="BC7"/>
  <c r="BD7"/>
  <c r="BE7"/>
  <c r="BF7"/>
  <c r="BG7"/>
  <c r="BH7"/>
  <c r="BI7"/>
  <c r="BJ7"/>
  <c r="BK7"/>
  <c r="BL7"/>
  <c r="BM7"/>
  <c r="BN7"/>
  <c r="BO7"/>
  <c r="BP7"/>
  <c r="BQ7"/>
  <c r="BR7"/>
  <c r="BS7"/>
  <c r="BT7"/>
  <c r="BU7"/>
  <c r="BV7"/>
  <c r="BW7"/>
  <c r="BX7"/>
  <c r="BY7"/>
  <c r="BZ7"/>
  <c r="CA7"/>
  <c r="CB7"/>
  <c r="CC7"/>
  <c r="CD7"/>
  <c r="CE7"/>
  <c r="CF7"/>
  <c r="CG7"/>
  <c r="CH7"/>
  <c r="CI7"/>
  <c r="CJ7"/>
  <c r="CK7"/>
  <c r="CL7"/>
  <c r="CM7"/>
  <c r="CN7"/>
  <c r="CO7"/>
  <c r="CP7"/>
  <c r="CQ7"/>
  <c r="CR7"/>
  <c r="CS7"/>
  <c r="CT7"/>
  <c r="CU7"/>
  <c r="CV7"/>
  <c r="AZ8"/>
  <c r="BA8"/>
  <c r="BB8"/>
  <c r="BC8"/>
  <c r="BD8"/>
  <c r="BE8"/>
  <c r="BF8"/>
  <c r="BG8"/>
  <c r="BH8"/>
  <c r="BI8"/>
  <c r="BJ8"/>
  <c r="BK8"/>
  <c r="BL8"/>
  <c r="BM8"/>
  <c r="BN8"/>
  <c r="BO8"/>
  <c r="BP8"/>
  <c r="BQ8"/>
  <c r="BR8"/>
  <c r="BS8"/>
  <c r="BT8"/>
  <c r="BU8"/>
  <c r="BV8"/>
  <c r="BW8"/>
  <c r="BX8"/>
  <c r="BY8"/>
  <c r="BZ8"/>
  <c r="CA8"/>
  <c r="CB8"/>
  <c r="CC8"/>
  <c r="CD8"/>
  <c r="CE8"/>
  <c r="CF8"/>
  <c r="CG8"/>
  <c r="CH8"/>
  <c r="CI8"/>
  <c r="CJ8"/>
  <c r="CK8"/>
  <c r="CL8"/>
  <c r="CM8"/>
  <c r="CN8"/>
  <c r="CO8"/>
  <c r="CP8"/>
  <c r="CQ8"/>
  <c r="CR8"/>
  <c r="CS8"/>
  <c r="CT8"/>
  <c r="CU8"/>
  <c r="CV8"/>
  <c r="AZ9"/>
  <c r="BA9"/>
  <c r="BB9"/>
  <c r="BC9"/>
  <c r="BD9"/>
  <c r="BE9"/>
  <c r="BF9"/>
  <c r="BG9"/>
  <c r="BH9"/>
  <c r="BI9"/>
  <c r="BJ9"/>
  <c r="BK9"/>
  <c r="BL9"/>
  <c r="BM9"/>
  <c r="BN9"/>
  <c r="BO9"/>
  <c r="BP9"/>
  <c r="BQ9"/>
  <c r="BR9"/>
  <c r="BS9"/>
  <c r="BT9"/>
  <c r="BU9"/>
  <c r="BV9"/>
  <c r="BW9"/>
  <c r="BX9"/>
  <c r="BY9"/>
  <c r="BZ9"/>
  <c r="CA9"/>
  <c r="CB9"/>
  <c r="CC9"/>
  <c r="CD9"/>
  <c r="CE9"/>
  <c r="CF9"/>
  <c r="CG9"/>
  <c r="CH9"/>
  <c r="CI9"/>
  <c r="CJ9"/>
  <c r="CK9"/>
  <c r="CL9"/>
  <c r="CM9"/>
  <c r="CN9"/>
  <c r="CO9"/>
  <c r="CP9"/>
  <c r="CQ9"/>
  <c r="CR9"/>
  <c r="CS9"/>
  <c r="CT9"/>
  <c r="CU9"/>
  <c r="CV9"/>
  <c r="AZ14"/>
  <c r="BA14"/>
  <c r="BB14"/>
  <c r="BC14"/>
  <c r="BD14"/>
  <c r="BE14"/>
  <c r="BF14"/>
  <c r="BG14"/>
  <c r="BH14"/>
  <c r="BI14"/>
  <c r="BJ14"/>
  <c r="BK14"/>
  <c r="BL14"/>
  <c r="BM14"/>
  <c r="BN14"/>
  <c r="BO14"/>
  <c r="BP14"/>
  <c r="BQ14"/>
  <c r="BR14"/>
  <c r="BS14"/>
  <c r="BT14"/>
  <c r="BU14"/>
  <c r="BV14"/>
  <c r="BW14"/>
  <c r="BX14"/>
  <c r="BY14"/>
  <c r="BZ14"/>
  <c r="CA14"/>
  <c r="CB14"/>
  <c r="CC14"/>
  <c r="CD14"/>
  <c r="CE14"/>
  <c r="CF14"/>
  <c r="CG14"/>
  <c r="CH14"/>
  <c r="CI14"/>
  <c r="CJ14"/>
  <c r="CK14"/>
  <c r="CL14"/>
  <c r="CM14"/>
  <c r="CN14"/>
  <c r="CO14"/>
  <c r="CP14"/>
  <c r="CQ14"/>
  <c r="CR14"/>
  <c r="CS14"/>
  <c r="CT14"/>
  <c r="CU14"/>
  <c r="CV14"/>
  <c r="AZ15"/>
  <c r="BA15"/>
  <c r="BB15"/>
  <c r="BC15"/>
  <c r="BD15"/>
  <c r="BE15"/>
  <c r="BF15"/>
  <c r="BG15"/>
  <c r="BH15"/>
  <c r="BI15"/>
  <c r="BJ15"/>
  <c r="BK15"/>
  <c r="BL15"/>
  <c r="BM15"/>
  <c r="BN15"/>
  <c r="BO15"/>
  <c r="BP15"/>
  <c r="BQ15"/>
  <c r="BR15"/>
  <c r="BS15"/>
  <c r="BT15"/>
  <c r="BU15"/>
  <c r="BV15"/>
  <c r="BW15"/>
  <c r="BX15"/>
  <c r="BY15"/>
  <c r="BZ15"/>
  <c r="CA15"/>
  <c r="CB15"/>
  <c r="CC15"/>
  <c r="CD15"/>
  <c r="CE15"/>
  <c r="CF15"/>
  <c r="CG15"/>
  <c r="CH15"/>
  <c r="CI15"/>
  <c r="CJ15"/>
  <c r="CK15"/>
  <c r="CL15"/>
  <c r="CM15"/>
  <c r="CN15"/>
  <c r="CO15"/>
  <c r="CP15"/>
  <c r="CQ15"/>
  <c r="CR15"/>
  <c r="CS15"/>
  <c r="CT15"/>
  <c r="CU15"/>
  <c r="CV15"/>
  <c r="AZ16"/>
  <c r="BA16"/>
  <c r="BB16"/>
  <c r="BC16"/>
  <c r="BD16"/>
  <c r="BE16"/>
  <c r="BF16"/>
  <c r="BG16"/>
  <c r="BH16"/>
  <c r="BI16"/>
  <c r="BJ16"/>
  <c r="BK16"/>
  <c r="BL16"/>
  <c r="BM16"/>
  <c r="BN16"/>
  <c r="BO16"/>
  <c r="BP16"/>
  <c r="BQ16"/>
  <c r="BR16"/>
  <c r="BS16"/>
  <c r="BT16"/>
  <c r="BU16"/>
  <c r="BV16"/>
  <c r="BW16"/>
  <c r="BX16"/>
  <c r="BY16"/>
  <c r="BZ16"/>
  <c r="CA16"/>
  <c r="CB16"/>
  <c r="CC16"/>
  <c r="CD16"/>
  <c r="CE16"/>
  <c r="CF16"/>
  <c r="CG16"/>
  <c r="CH16"/>
  <c r="CI16"/>
  <c r="CJ16"/>
  <c r="CK16"/>
  <c r="CL16"/>
  <c r="CM16"/>
  <c r="CN16"/>
  <c r="CO16"/>
  <c r="CP16"/>
  <c r="CQ16"/>
  <c r="CR16"/>
  <c r="CS16"/>
  <c r="CT16"/>
  <c r="CU16"/>
  <c r="CV16"/>
  <c r="CW4"/>
  <c r="CW5"/>
  <c r="CW6"/>
  <c r="CW7"/>
  <c r="CW8"/>
  <c r="CW9"/>
  <c r="CW14"/>
  <c r="CW15"/>
  <c r="CW16"/>
  <c r="CY4"/>
  <c r="J17" i="10"/>
  <c r="J14"/>
  <c r="IU2" i="9" l="1"/>
  <c r="IS2" s="1"/>
  <c r="IT2" s="1"/>
  <c r="CV17"/>
  <c r="CV13"/>
  <c r="CV12"/>
  <c r="CV11"/>
  <c r="CV27"/>
  <c r="CV10"/>
  <c r="CV26"/>
  <c r="CV25"/>
  <c r="CV24"/>
  <c r="CV23"/>
  <c r="CV22"/>
  <c r="CV21"/>
  <c r="CV20"/>
  <c r="CV19"/>
  <c r="CV18"/>
  <c r="AV4" l="1"/>
  <c r="CU18"/>
  <c r="CU17"/>
  <c r="CU13"/>
  <c r="CU12"/>
  <c r="CU11"/>
  <c r="CU27"/>
  <c r="CU10"/>
  <c r="CU26"/>
  <c r="CU25"/>
  <c r="CU24"/>
  <c r="CU23"/>
  <c r="CU22"/>
  <c r="CU21"/>
  <c r="CU20"/>
  <c r="CU19"/>
  <c r="B26" i="10"/>
  <c r="B28"/>
  <c r="B30"/>
  <c r="B31"/>
  <c r="B29"/>
  <c r="B41"/>
  <c r="B37"/>
  <c r="B33"/>
  <c r="CT19" i="9" l="1"/>
  <c r="CT18"/>
  <c r="CT17"/>
  <c r="CT13"/>
  <c r="CT12"/>
  <c r="CT11"/>
  <c r="CT27"/>
  <c r="CT10"/>
  <c r="CT26"/>
  <c r="CT25"/>
  <c r="CT24"/>
  <c r="CT23"/>
  <c r="CT22"/>
  <c r="CT21"/>
  <c r="CT20"/>
  <c r="D31" i="10"/>
  <c r="H31"/>
  <c r="L31"/>
  <c r="P31"/>
  <c r="T31"/>
  <c r="C31"/>
  <c r="D30"/>
  <c r="H30"/>
  <c r="L30"/>
  <c r="P30"/>
  <c r="T30"/>
  <c r="C30"/>
  <c r="D29"/>
  <c r="H29"/>
  <c r="L29"/>
  <c r="P29"/>
  <c r="T29"/>
  <c r="C29"/>
  <c r="C28" s="1"/>
  <c r="H27"/>
  <c r="L27"/>
  <c r="P27"/>
  <c r="T27"/>
  <c r="D27"/>
  <c r="C27"/>
  <c r="AK82" i="11"/>
  <c r="AJ82"/>
  <c r="AI82"/>
  <c r="AG82"/>
  <c r="AF82"/>
  <c r="AE82"/>
  <c r="AD82"/>
  <c r="AC82"/>
  <c r="AB82"/>
  <c r="AA82"/>
  <c r="Z82"/>
  <c r="Y82"/>
  <c r="X82"/>
  <c r="W82"/>
  <c r="V82"/>
  <c r="U82"/>
  <c r="T82"/>
  <c r="S82"/>
  <c r="AK81"/>
  <c r="AJ81"/>
  <c r="AI81"/>
  <c r="AG81"/>
  <c r="AF81"/>
  <c r="AE81"/>
  <c r="AD81"/>
  <c r="AC81"/>
  <c r="AB81"/>
  <c r="AA81"/>
  <c r="Z81"/>
  <c r="Y81"/>
  <c r="X81"/>
  <c r="W81"/>
  <c r="V81"/>
  <c r="U81"/>
  <c r="T81"/>
  <c r="S81"/>
  <c r="AK80"/>
  <c r="AJ80"/>
  <c r="AI80"/>
  <c r="AG80"/>
  <c r="AF80"/>
  <c r="AE80"/>
  <c r="AD80"/>
  <c r="AC80"/>
  <c r="AB80"/>
  <c r="AA80"/>
  <c r="Z80"/>
  <c r="Y80"/>
  <c r="X80"/>
  <c r="W80"/>
  <c r="V80"/>
  <c r="U80"/>
  <c r="T80"/>
  <c r="S80"/>
  <c r="AK79"/>
  <c r="AJ79"/>
  <c r="AI79"/>
  <c r="AG79"/>
  <c r="AF79"/>
  <c r="AE79"/>
  <c r="AD79"/>
  <c r="AC79"/>
  <c r="AB79"/>
  <c r="AA79"/>
  <c r="Z79"/>
  <c r="Y79"/>
  <c r="X79"/>
  <c r="W79"/>
  <c r="V79"/>
  <c r="U79"/>
  <c r="T79"/>
  <c r="S79"/>
  <c r="AK78"/>
  <c r="AJ78"/>
  <c r="AI78"/>
  <c r="AG78"/>
  <c r="AF78"/>
  <c r="AE78"/>
  <c r="AD78"/>
  <c r="AC78"/>
  <c r="AB78"/>
  <c r="AA78"/>
  <c r="Z78"/>
  <c r="Y78"/>
  <c r="X78"/>
  <c r="W78"/>
  <c r="V78"/>
  <c r="U78"/>
  <c r="T78"/>
  <c r="S78"/>
  <c r="AK77"/>
  <c r="AJ77"/>
  <c r="AI77"/>
  <c r="AG77"/>
  <c r="AF77"/>
  <c r="AE77"/>
  <c r="AD77"/>
  <c r="AC77"/>
  <c r="AB77"/>
  <c r="AA77"/>
  <c r="Z77"/>
  <c r="Y77"/>
  <c r="X77"/>
  <c r="W77"/>
  <c r="V77"/>
  <c r="U77"/>
  <c r="T77"/>
  <c r="S77"/>
  <c r="AK76"/>
  <c r="AJ76"/>
  <c r="AI76"/>
  <c r="AG76"/>
  <c r="AF76"/>
  <c r="AE76"/>
  <c r="AD76"/>
  <c r="AC76"/>
  <c r="AB76"/>
  <c r="AA76"/>
  <c r="Z76"/>
  <c r="Y76"/>
  <c r="X76"/>
  <c r="W76"/>
  <c r="V76"/>
  <c r="U76"/>
  <c r="T76"/>
  <c r="S76"/>
  <c r="AK75"/>
  <c r="AJ75"/>
  <c r="AI75"/>
  <c r="AG75"/>
  <c r="AF75"/>
  <c r="AE75"/>
  <c r="AD75"/>
  <c r="AC75"/>
  <c r="AB75"/>
  <c r="AA75"/>
  <c r="Z75"/>
  <c r="Y75"/>
  <c r="X75"/>
  <c r="W75"/>
  <c r="V75"/>
  <c r="U75"/>
  <c r="T75"/>
  <c r="S75"/>
  <c r="AK74"/>
  <c r="AJ74"/>
  <c r="AI74"/>
  <c r="AG74"/>
  <c r="AF74"/>
  <c r="AE74"/>
  <c r="AD74"/>
  <c r="AC74"/>
  <c r="AB74"/>
  <c r="AA74"/>
  <c r="Z74"/>
  <c r="Y74"/>
  <c r="X74"/>
  <c r="W74"/>
  <c r="V74"/>
  <c r="U74"/>
  <c r="T74"/>
  <c r="S74"/>
  <c r="AK73"/>
  <c r="AJ73"/>
  <c r="AI73"/>
  <c r="W73"/>
  <c r="V73"/>
  <c r="U73"/>
  <c r="T73"/>
  <c r="S73"/>
  <c r="AK72"/>
  <c r="AJ72"/>
  <c r="AI72"/>
  <c r="AG72"/>
  <c r="AF72"/>
  <c r="AE72"/>
  <c r="AD72"/>
  <c r="AC72"/>
  <c r="AB72"/>
  <c r="AA72"/>
  <c r="Z72"/>
  <c r="Y72"/>
  <c r="X72"/>
  <c r="W72"/>
  <c r="V72"/>
  <c r="U72"/>
  <c r="T72"/>
  <c r="S72"/>
  <c r="R70"/>
  <c r="Q70"/>
  <c r="P70"/>
  <c r="P71" s="1"/>
  <c r="O70"/>
  <c r="N70"/>
  <c r="M70"/>
  <c r="L70"/>
  <c r="L71" s="1"/>
  <c r="K70"/>
  <c r="J70"/>
  <c r="I70"/>
  <c r="H70"/>
  <c r="G70"/>
  <c r="F70"/>
  <c r="F71" s="1"/>
  <c r="E70"/>
  <c r="D70"/>
  <c r="C70"/>
  <c r="AK69"/>
  <c r="AJ69"/>
  <c r="AI69"/>
  <c r="AG69"/>
  <c r="AF69"/>
  <c r="AE69"/>
  <c r="AD69"/>
  <c r="AC69"/>
  <c r="AB69"/>
  <c r="AA69"/>
  <c r="Z69"/>
  <c r="Y69"/>
  <c r="X69"/>
  <c r="W69"/>
  <c r="V69"/>
  <c r="U69"/>
  <c r="T69"/>
  <c r="S69"/>
  <c r="AK68"/>
  <c r="AJ68"/>
  <c r="AI68"/>
  <c r="AG68"/>
  <c r="AF68"/>
  <c r="AE68"/>
  <c r="AD68"/>
  <c r="AC68"/>
  <c r="AB68"/>
  <c r="AA68"/>
  <c r="Z68"/>
  <c r="Y68"/>
  <c r="X68"/>
  <c r="W68"/>
  <c r="V68"/>
  <c r="U68"/>
  <c r="T68"/>
  <c r="S68"/>
  <c r="AK67"/>
  <c r="AJ67"/>
  <c r="AI67"/>
  <c r="AG67"/>
  <c r="AF67"/>
  <c r="AE67"/>
  <c r="AD67"/>
  <c r="AC67"/>
  <c r="AB67"/>
  <c r="AA67"/>
  <c r="Z67"/>
  <c r="Y67"/>
  <c r="X67"/>
  <c r="W67"/>
  <c r="V67"/>
  <c r="U67"/>
  <c r="T67"/>
  <c r="S67"/>
  <c r="AK66"/>
  <c r="AJ66"/>
  <c r="AI66"/>
  <c r="AG66"/>
  <c r="AF66"/>
  <c r="AE66"/>
  <c r="AD66"/>
  <c r="AC66"/>
  <c r="AB66"/>
  <c r="AA66"/>
  <c r="Z66"/>
  <c r="Y66"/>
  <c r="X66"/>
  <c r="W66"/>
  <c r="V66"/>
  <c r="U66"/>
  <c r="T66"/>
  <c r="S66"/>
  <c r="AK65"/>
  <c r="AJ65"/>
  <c r="AI65"/>
  <c r="AG65"/>
  <c r="AF65"/>
  <c r="AE65"/>
  <c r="AD65"/>
  <c r="AC65"/>
  <c r="AB65"/>
  <c r="AA65"/>
  <c r="Z65"/>
  <c r="Y65"/>
  <c r="X65"/>
  <c r="W65"/>
  <c r="V65"/>
  <c r="U65"/>
  <c r="T65"/>
  <c r="S65"/>
  <c r="AK64"/>
  <c r="AJ64"/>
  <c r="AI64"/>
  <c r="AG64"/>
  <c r="AF64"/>
  <c r="AE64"/>
  <c r="AD64"/>
  <c r="AC64"/>
  <c r="AB64"/>
  <c r="AA64"/>
  <c r="Z64"/>
  <c r="Y64"/>
  <c r="X64"/>
  <c r="W64"/>
  <c r="V64"/>
  <c r="U64"/>
  <c r="T64"/>
  <c r="S64"/>
  <c r="AK63"/>
  <c r="AJ63"/>
  <c r="AI63"/>
  <c r="AG63"/>
  <c r="AF63"/>
  <c r="AE63"/>
  <c r="AD63"/>
  <c r="AC63"/>
  <c r="AB63"/>
  <c r="AA63"/>
  <c r="Z63"/>
  <c r="Y63"/>
  <c r="X63"/>
  <c r="W63"/>
  <c r="V63"/>
  <c r="U63"/>
  <c r="T63"/>
  <c r="S63"/>
  <c r="AK62"/>
  <c r="AJ62"/>
  <c r="AI62"/>
  <c r="AG62"/>
  <c r="AF62"/>
  <c r="AE62"/>
  <c r="AD62"/>
  <c r="AC62"/>
  <c r="AB62"/>
  <c r="AA62"/>
  <c r="Z62"/>
  <c r="Y62"/>
  <c r="X62"/>
  <c r="W62"/>
  <c r="V62"/>
  <c r="U62"/>
  <c r="T62"/>
  <c r="S62"/>
  <c r="AK61"/>
  <c r="AJ61"/>
  <c r="AI61"/>
  <c r="AG61"/>
  <c r="AF61"/>
  <c r="AE61"/>
  <c r="AD61"/>
  <c r="AC61"/>
  <c r="AB61"/>
  <c r="AA61"/>
  <c r="Z61"/>
  <c r="Y61"/>
  <c r="X61"/>
  <c r="W61"/>
  <c r="V61"/>
  <c r="U61"/>
  <c r="T61"/>
  <c r="S61"/>
  <c r="AK60"/>
  <c r="AJ60"/>
  <c r="AI60"/>
  <c r="AG60"/>
  <c r="AF60"/>
  <c r="AE60"/>
  <c r="AD60"/>
  <c r="AC60"/>
  <c r="AB60"/>
  <c r="AA60"/>
  <c r="Z60"/>
  <c r="Y60"/>
  <c r="X60"/>
  <c r="W60"/>
  <c r="V60"/>
  <c r="U60"/>
  <c r="T60"/>
  <c r="S60"/>
  <c r="AK59"/>
  <c r="AJ59"/>
  <c r="AI59"/>
  <c r="AG59"/>
  <c r="AF59"/>
  <c r="AE59"/>
  <c r="AD59"/>
  <c r="AC59"/>
  <c r="AB59"/>
  <c r="AA59"/>
  <c r="Z59"/>
  <c r="Y59"/>
  <c r="X59"/>
  <c r="W59"/>
  <c r="V59"/>
  <c r="U59"/>
  <c r="T59"/>
  <c r="S59"/>
  <c r="R57"/>
  <c r="Q57"/>
  <c r="P57"/>
  <c r="P58" s="1"/>
  <c r="O57"/>
  <c r="N57"/>
  <c r="N58" s="1"/>
  <c r="M57"/>
  <c r="L57"/>
  <c r="K57"/>
  <c r="J57"/>
  <c r="J58" s="1"/>
  <c r="I57"/>
  <c r="H57"/>
  <c r="G57"/>
  <c r="F57"/>
  <c r="F58" s="1"/>
  <c r="E57"/>
  <c r="D57"/>
  <c r="C57"/>
  <c r="AK56"/>
  <c r="AJ56"/>
  <c r="AI56"/>
  <c r="AG56"/>
  <c r="AF56"/>
  <c r="AE56"/>
  <c r="AD56"/>
  <c r="AC56"/>
  <c r="AB56"/>
  <c r="AA56"/>
  <c r="Z56"/>
  <c r="Y56"/>
  <c r="X56"/>
  <c r="W56"/>
  <c r="V56"/>
  <c r="U56"/>
  <c r="T56"/>
  <c r="S56"/>
  <c r="AK55"/>
  <c r="AJ55"/>
  <c r="AI55"/>
  <c r="AG55"/>
  <c r="AF55"/>
  <c r="AE55"/>
  <c r="AD55"/>
  <c r="AC55"/>
  <c r="AB55"/>
  <c r="AA55"/>
  <c r="Z55"/>
  <c r="Y55"/>
  <c r="X55"/>
  <c r="W55"/>
  <c r="V55"/>
  <c r="U55"/>
  <c r="T55"/>
  <c r="S55"/>
  <c r="AK54"/>
  <c r="AJ54"/>
  <c r="AI54"/>
  <c r="AG54"/>
  <c r="AF54"/>
  <c r="AE54"/>
  <c r="AD54"/>
  <c r="AC54"/>
  <c r="AB54"/>
  <c r="AA54"/>
  <c r="Z54"/>
  <c r="Y54"/>
  <c r="X54"/>
  <c r="W54"/>
  <c r="V54"/>
  <c r="U54"/>
  <c r="T54"/>
  <c r="S54"/>
  <c r="AK53"/>
  <c r="AJ53"/>
  <c r="AI53"/>
  <c r="AG53"/>
  <c r="AF53"/>
  <c r="AE53"/>
  <c r="AD53"/>
  <c r="AC53"/>
  <c r="AB53"/>
  <c r="AA53"/>
  <c r="Z53"/>
  <c r="Y53"/>
  <c r="X53"/>
  <c r="W53"/>
  <c r="V53"/>
  <c r="U53"/>
  <c r="T53"/>
  <c r="S53"/>
  <c r="AK52"/>
  <c r="AJ52"/>
  <c r="AI52"/>
  <c r="AG52"/>
  <c r="AF52"/>
  <c r="AE52"/>
  <c r="AD52"/>
  <c r="AC52"/>
  <c r="AB52"/>
  <c r="AA52"/>
  <c r="Z52"/>
  <c r="Y52"/>
  <c r="X52"/>
  <c r="W52"/>
  <c r="V52"/>
  <c r="U52"/>
  <c r="T52"/>
  <c r="S52"/>
  <c r="AK51"/>
  <c r="AJ51"/>
  <c r="AI51"/>
  <c r="AG51"/>
  <c r="AF51"/>
  <c r="AE51"/>
  <c r="AD51"/>
  <c r="AC51"/>
  <c r="AB51"/>
  <c r="AA51"/>
  <c r="Z51"/>
  <c r="Y51"/>
  <c r="X51"/>
  <c r="W51"/>
  <c r="V51"/>
  <c r="U51"/>
  <c r="T51"/>
  <c r="S51"/>
  <c r="AK50"/>
  <c r="AJ50"/>
  <c r="AI50"/>
  <c r="AG50"/>
  <c r="AF50"/>
  <c r="AE50"/>
  <c r="AD50"/>
  <c r="AC50"/>
  <c r="AB50"/>
  <c r="AA50"/>
  <c r="Z50"/>
  <c r="Y50"/>
  <c r="X50"/>
  <c r="W50"/>
  <c r="V50"/>
  <c r="U50"/>
  <c r="T50"/>
  <c r="S50"/>
  <c r="AK49"/>
  <c r="AJ49"/>
  <c r="AI49"/>
  <c r="AG49"/>
  <c r="AF49"/>
  <c r="AE49"/>
  <c r="AD49"/>
  <c r="AC49"/>
  <c r="AB49"/>
  <c r="AA49"/>
  <c r="Z49"/>
  <c r="Y49"/>
  <c r="X49"/>
  <c r="W49"/>
  <c r="V49"/>
  <c r="U49"/>
  <c r="T49"/>
  <c r="S49"/>
  <c r="AK48"/>
  <c r="AJ48"/>
  <c r="AI48"/>
  <c r="AG48"/>
  <c r="AF48"/>
  <c r="AE48"/>
  <c r="AD48"/>
  <c r="AC48"/>
  <c r="AB48"/>
  <c r="AA48"/>
  <c r="Z48"/>
  <c r="Y48"/>
  <c r="X48"/>
  <c r="W48"/>
  <c r="V48"/>
  <c r="U48"/>
  <c r="T48"/>
  <c r="S48"/>
  <c r="AK47"/>
  <c r="AJ47"/>
  <c r="AI47"/>
  <c r="AG47"/>
  <c r="AF47"/>
  <c r="AE47"/>
  <c r="AD47"/>
  <c r="AC47"/>
  <c r="AB47"/>
  <c r="AA47"/>
  <c r="Z47"/>
  <c r="Y47"/>
  <c r="X47"/>
  <c r="W47"/>
  <c r="V47"/>
  <c r="U47"/>
  <c r="T47"/>
  <c r="S47"/>
  <c r="AK46"/>
  <c r="AJ46"/>
  <c r="AI46"/>
  <c r="AG46"/>
  <c r="AF46"/>
  <c r="AE46"/>
  <c r="AD46"/>
  <c r="AC46"/>
  <c r="AB46"/>
  <c r="AA46"/>
  <c r="Z46"/>
  <c r="Y46"/>
  <c r="X46"/>
  <c r="W46"/>
  <c r="V46"/>
  <c r="U46"/>
  <c r="T46"/>
  <c r="S46"/>
  <c r="R44"/>
  <c r="Q44"/>
  <c r="P44"/>
  <c r="O44"/>
  <c r="N44"/>
  <c r="M44"/>
  <c r="L44"/>
  <c r="K44"/>
  <c r="J44"/>
  <c r="J45" s="1"/>
  <c r="I44"/>
  <c r="H44"/>
  <c r="G44"/>
  <c r="F44"/>
  <c r="E44"/>
  <c r="D44"/>
  <c r="C44"/>
  <c r="R43"/>
  <c r="R17" s="1"/>
  <c r="Q43"/>
  <c r="Q17" s="1"/>
  <c r="P43"/>
  <c r="P17" s="1"/>
  <c r="O43"/>
  <c r="O17" s="1"/>
  <c r="N43"/>
  <c r="N17" s="1"/>
  <c r="M43"/>
  <c r="M17" s="1"/>
  <c r="L43"/>
  <c r="L17" s="1"/>
  <c r="K43"/>
  <c r="J43"/>
  <c r="I43"/>
  <c r="I17" s="1"/>
  <c r="H43"/>
  <c r="H17" s="1"/>
  <c r="G43"/>
  <c r="G17" s="1"/>
  <c r="F43"/>
  <c r="F17" s="1"/>
  <c r="E43"/>
  <c r="E17" s="1"/>
  <c r="D43"/>
  <c r="C43"/>
  <c r="C17" s="1"/>
  <c r="R42"/>
  <c r="R16" s="1"/>
  <c r="Q42"/>
  <c r="Q16" s="1"/>
  <c r="P42"/>
  <c r="P16" s="1"/>
  <c r="O42"/>
  <c r="O16" s="1"/>
  <c r="N42"/>
  <c r="N16" s="1"/>
  <c r="M42"/>
  <c r="M16" s="1"/>
  <c r="L42"/>
  <c r="K42"/>
  <c r="K16" s="1"/>
  <c r="J42"/>
  <c r="J16" s="1"/>
  <c r="I42"/>
  <c r="I16" s="1"/>
  <c r="H42"/>
  <c r="H16" s="1"/>
  <c r="G42"/>
  <c r="F42"/>
  <c r="F16" s="1"/>
  <c r="E42"/>
  <c r="E16" s="1"/>
  <c r="D42"/>
  <c r="D16" s="1"/>
  <c r="C42"/>
  <c r="C16" s="1"/>
  <c r="R41"/>
  <c r="R15" s="1"/>
  <c r="Q41"/>
  <c r="Q15" s="1"/>
  <c r="P41"/>
  <c r="P15" s="1"/>
  <c r="O41"/>
  <c r="O15" s="1"/>
  <c r="N41"/>
  <c r="N15" s="1"/>
  <c r="M41"/>
  <c r="L41"/>
  <c r="K41"/>
  <c r="K15" s="1"/>
  <c r="J41"/>
  <c r="J15" s="1"/>
  <c r="I41"/>
  <c r="H41"/>
  <c r="H15" s="1"/>
  <c r="G41"/>
  <c r="G15" s="1"/>
  <c r="F41"/>
  <c r="E41"/>
  <c r="D41"/>
  <c r="D15" s="1"/>
  <c r="C41"/>
  <c r="R40"/>
  <c r="R14" s="1"/>
  <c r="Q40"/>
  <c r="Q14" s="1"/>
  <c r="P40"/>
  <c r="P14" s="1"/>
  <c r="O40"/>
  <c r="O14" s="1"/>
  <c r="N40"/>
  <c r="M40"/>
  <c r="M14" s="1"/>
  <c r="L40"/>
  <c r="K40"/>
  <c r="K14" s="1"/>
  <c r="J40"/>
  <c r="J14" s="1"/>
  <c r="I40"/>
  <c r="I14" s="1"/>
  <c r="H40"/>
  <c r="H14" s="1"/>
  <c r="G40"/>
  <c r="G14" s="1"/>
  <c r="F40"/>
  <c r="E40"/>
  <c r="D40"/>
  <c r="D14" s="1"/>
  <c r="C40"/>
  <c r="R39"/>
  <c r="R13" s="1"/>
  <c r="Q39"/>
  <c r="Q13" s="1"/>
  <c r="P39"/>
  <c r="P13" s="1"/>
  <c r="O39"/>
  <c r="O13" s="1"/>
  <c r="N39"/>
  <c r="N13" s="1"/>
  <c r="M39"/>
  <c r="M13" s="1"/>
  <c r="L39"/>
  <c r="K39"/>
  <c r="K13" s="1"/>
  <c r="J39"/>
  <c r="J13" s="1"/>
  <c r="I39"/>
  <c r="I13" s="1"/>
  <c r="H39"/>
  <c r="H13" s="1"/>
  <c r="G39"/>
  <c r="G13" s="1"/>
  <c r="F39"/>
  <c r="E39"/>
  <c r="D39"/>
  <c r="D13" s="1"/>
  <c r="C39"/>
  <c r="R38"/>
  <c r="R12" s="1"/>
  <c r="Q38"/>
  <c r="Q12" s="1"/>
  <c r="P38"/>
  <c r="P12" s="1"/>
  <c r="O38"/>
  <c r="O12" s="1"/>
  <c r="N38"/>
  <c r="N12" s="1"/>
  <c r="M38"/>
  <c r="L38"/>
  <c r="L12" s="1"/>
  <c r="K38"/>
  <c r="K12" s="1"/>
  <c r="J38"/>
  <c r="J12" s="1"/>
  <c r="I38"/>
  <c r="I12" s="1"/>
  <c r="H38"/>
  <c r="H12" s="1"/>
  <c r="G38"/>
  <c r="G12" s="1"/>
  <c r="F38"/>
  <c r="F12" s="1"/>
  <c r="E38"/>
  <c r="E12" s="1"/>
  <c r="D38"/>
  <c r="D12" s="1"/>
  <c r="C38"/>
  <c r="R37"/>
  <c r="R11" s="1"/>
  <c r="Q37"/>
  <c r="Q11" s="1"/>
  <c r="P37"/>
  <c r="P11" s="1"/>
  <c r="O37"/>
  <c r="O11" s="1"/>
  <c r="N37"/>
  <c r="N11" s="1"/>
  <c r="M37"/>
  <c r="L37"/>
  <c r="L11" s="1"/>
  <c r="K37"/>
  <c r="K11" s="1"/>
  <c r="J37"/>
  <c r="J11" s="1"/>
  <c r="I37"/>
  <c r="I11" s="1"/>
  <c r="H37"/>
  <c r="G37"/>
  <c r="G11" s="1"/>
  <c r="F37"/>
  <c r="E37"/>
  <c r="D37"/>
  <c r="D11" s="1"/>
  <c r="C37"/>
  <c r="R36"/>
  <c r="R10" s="1"/>
  <c r="Q36"/>
  <c r="Q10" s="1"/>
  <c r="P36"/>
  <c r="P10" s="1"/>
  <c r="O36"/>
  <c r="O10" s="1"/>
  <c r="N36"/>
  <c r="N10" s="1"/>
  <c r="M36"/>
  <c r="L36"/>
  <c r="L10" s="1"/>
  <c r="K36"/>
  <c r="K10" s="1"/>
  <c r="J36"/>
  <c r="J10" s="1"/>
  <c r="I36"/>
  <c r="H36"/>
  <c r="H10" s="1"/>
  <c r="G36"/>
  <c r="G10" s="1"/>
  <c r="F36"/>
  <c r="E36"/>
  <c r="E10" s="1"/>
  <c r="D36"/>
  <c r="D10" s="1"/>
  <c r="C36"/>
  <c r="C10" s="1"/>
  <c r="R35"/>
  <c r="R9" s="1"/>
  <c r="Q35"/>
  <c r="Q9" s="1"/>
  <c r="P35"/>
  <c r="P9" s="1"/>
  <c r="O35"/>
  <c r="O9" s="1"/>
  <c r="N35"/>
  <c r="N9" s="1"/>
  <c r="M35"/>
  <c r="L35"/>
  <c r="L9" s="1"/>
  <c r="K35"/>
  <c r="K9" s="1"/>
  <c r="J35"/>
  <c r="J9" s="1"/>
  <c r="I35"/>
  <c r="I9" s="1"/>
  <c r="H35"/>
  <c r="H9" s="1"/>
  <c r="G35"/>
  <c r="G9" s="1"/>
  <c r="F35"/>
  <c r="E35"/>
  <c r="D35"/>
  <c r="D9" s="1"/>
  <c r="C35"/>
  <c r="C9" s="1"/>
  <c r="R34"/>
  <c r="R8" s="1"/>
  <c r="Q34"/>
  <c r="Q8" s="1"/>
  <c r="P34"/>
  <c r="P8" s="1"/>
  <c r="O34"/>
  <c r="O8" s="1"/>
  <c r="N34"/>
  <c r="N8" s="1"/>
  <c r="M34"/>
  <c r="M8" s="1"/>
  <c r="L34"/>
  <c r="K34"/>
  <c r="K8" s="1"/>
  <c r="J34"/>
  <c r="J8" s="1"/>
  <c r="I34"/>
  <c r="I8" s="1"/>
  <c r="H34"/>
  <c r="H8" s="1"/>
  <c r="G34"/>
  <c r="F34"/>
  <c r="F8" s="1"/>
  <c r="E34"/>
  <c r="E8" s="1"/>
  <c r="D34"/>
  <c r="D8" s="1"/>
  <c r="C34"/>
  <c r="C8" s="1"/>
  <c r="R33"/>
  <c r="R7" s="1"/>
  <c r="Q33"/>
  <c r="Q7" s="1"/>
  <c r="P33"/>
  <c r="O33"/>
  <c r="O7" s="1"/>
  <c r="N33"/>
  <c r="N7" s="1"/>
  <c r="M33"/>
  <c r="M7" s="1"/>
  <c r="L33"/>
  <c r="K33"/>
  <c r="K7" s="1"/>
  <c r="J33"/>
  <c r="J7" s="1"/>
  <c r="I33"/>
  <c r="I7" s="1"/>
  <c r="H33"/>
  <c r="H7" s="1"/>
  <c r="G33"/>
  <c r="F33"/>
  <c r="F7" s="1"/>
  <c r="E33"/>
  <c r="E7" s="1"/>
  <c r="D33"/>
  <c r="D7" s="1"/>
  <c r="C33"/>
  <c r="C7" s="1"/>
  <c r="AK30"/>
  <c r="AJ30"/>
  <c r="AI30"/>
  <c r="AG30"/>
  <c r="AF30"/>
  <c r="AE30"/>
  <c r="AD30"/>
  <c r="AC30"/>
  <c r="AB30"/>
  <c r="AA30"/>
  <c r="Z30"/>
  <c r="Y30"/>
  <c r="X30"/>
  <c r="W30"/>
  <c r="V30"/>
  <c r="U30"/>
  <c r="T30"/>
  <c r="S30"/>
  <c r="AK29"/>
  <c r="AJ29"/>
  <c r="AI29"/>
  <c r="AG29"/>
  <c r="AF29"/>
  <c r="AE29"/>
  <c r="AD29"/>
  <c r="AC29"/>
  <c r="AB29"/>
  <c r="AA29"/>
  <c r="Z29"/>
  <c r="Y29"/>
  <c r="X29"/>
  <c r="W29"/>
  <c r="V29"/>
  <c r="U29"/>
  <c r="T29"/>
  <c r="S29"/>
  <c r="AK28"/>
  <c r="AJ28"/>
  <c r="AI28"/>
  <c r="AG28"/>
  <c r="AF28"/>
  <c r="AE28"/>
  <c r="AD28"/>
  <c r="AC28"/>
  <c r="AB28"/>
  <c r="AA28"/>
  <c r="Z28"/>
  <c r="Y28"/>
  <c r="X28"/>
  <c r="W28"/>
  <c r="V28"/>
  <c r="U28"/>
  <c r="T28"/>
  <c r="S28"/>
  <c r="AK27"/>
  <c r="AJ27"/>
  <c r="AI27"/>
  <c r="AG27"/>
  <c r="AF27"/>
  <c r="AE27"/>
  <c r="AD27"/>
  <c r="AC27"/>
  <c r="AB27"/>
  <c r="AA27"/>
  <c r="Z27"/>
  <c r="Y27"/>
  <c r="X27"/>
  <c r="W27"/>
  <c r="V27"/>
  <c r="U27"/>
  <c r="T27"/>
  <c r="S27"/>
  <c r="AK26"/>
  <c r="AJ26"/>
  <c r="AI26"/>
  <c r="AG26"/>
  <c r="AF26"/>
  <c r="AE26"/>
  <c r="AD26"/>
  <c r="AC26"/>
  <c r="AB26"/>
  <c r="AA26"/>
  <c r="Z26"/>
  <c r="Y26"/>
  <c r="X26"/>
  <c r="W26"/>
  <c r="V26"/>
  <c r="U26"/>
  <c r="T26"/>
  <c r="S26"/>
  <c r="AK25"/>
  <c r="AJ25"/>
  <c r="AI25"/>
  <c r="AG25"/>
  <c r="AF25"/>
  <c r="AE25"/>
  <c r="AD25"/>
  <c r="AC25"/>
  <c r="AB25"/>
  <c r="AA25"/>
  <c r="Z25"/>
  <c r="Y25"/>
  <c r="X25"/>
  <c r="W25"/>
  <c r="V25"/>
  <c r="U25"/>
  <c r="T25"/>
  <c r="S25"/>
  <c r="AK24"/>
  <c r="AJ24"/>
  <c r="AI24"/>
  <c r="AG24"/>
  <c r="AF24"/>
  <c r="AE24"/>
  <c r="AD24"/>
  <c r="AC24"/>
  <c r="AB24"/>
  <c r="AA24"/>
  <c r="Z24"/>
  <c r="Y24"/>
  <c r="X24"/>
  <c r="W24"/>
  <c r="V24"/>
  <c r="U24"/>
  <c r="T24"/>
  <c r="S24"/>
  <c r="AK23"/>
  <c r="AJ23"/>
  <c r="AI23"/>
  <c r="AG23"/>
  <c r="AF23"/>
  <c r="AE23"/>
  <c r="AD23"/>
  <c r="AC23"/>
  <c r="AB23"/>
  <c r="AA23"/>
  <c r="Z23"/>
  <c r="Y23"/>
  <c r="X23"/>
  <c r="W23"/>
  <c r="V23"/>
  <c r="U23"/>
  <c r="T23"/>
  <c r="S23"/>
  <c r="AK22"/>
  <c r="AJ22"/>
  <c r="AI22"/>
  <c r="AG22"/>
  <c r="AF22"/>
  <c r="AE22"/>
  <c r="AD22"/>
  <c r="AC22"/>
  <c r="AB22"/>
  <c r="AA22"/>
  <c r="Z22"/>
  <c r="Y22"/>
  <c r="X22"/>
  <c r="W22"/>
  <c r="V22"/>
  <c r="U22"/>
  <c r="T22"/>
  <c r="S22"/>
  <c r="AK21"/>
  <c r="AJ21"/>
  <c r="AI21"/>
  <c r="AG21"/>
  <c r="AF21"/>
  <c r="AE21"/>
  <c r="AD21"/>
  <c r="AC21"/>
  <c r="AB21"/>
  <c r="AA21"/>
  <c r="Z21"/>
  <c r="Y21"/>
  <c r="X21"/>
  <c r="W21"/>
  <c r="V21"/>
  <c r="U21"/>
  <c r="T21"/>
  <c r="S21"/>
  <c r="AK20"/>
  <c r="AJ20"/>
  <c r="AI20"/>
  <c r="AG20"/>
  <c r="AF20"/>
  <c r="AE20"/>
  <c r="AD20"/>
  <c r="AC20"/>
  <c r="AB20"/>
  <c r="AA20"/>
  <c r="Z20"/>
  <c r="Y20"/>
  <c r="X20"/>
  <c r="W20"/>
  <c r="V20"/>
  <c r="U20"/>
  <c r="T20"/>
  <c r="S20"/>
  <c r="R18"/>
  <c r="Q18"/>
  <c r="P18"/>
  <c r="O18"/>
  <c r="N18"/>
  <c r="M18"/>
  <c r="L18"/>
  <c r="K18"/>
  <c r="J18"/>
  <c r="I18"/>
  <c r="H18"/>
  <c r="G18"/>
  <c r="F18"/>
  <c r="E18"/>
  <c r="D18"/>
  <c r="C18"/>
  <c r="N14"/>
  <c r="H11"/>
  <c r="E9"/>
  <c r="CS20" i="9" l="1"/>
  <c r="CS19"/>
  <c r="CS18"/>
  <c r="CS17"/>
  <c r="CS13"/>
  <c r="CS12"/>
  <c r="CS11"/>
  <c r="CS27"/>
  <c r="CS10"/>
  <c r="CS26"/>
  <c r="CS25"/>
  <c r="CS24"/>
  <c r="CS23"/>
  <c r="CS22"/>
  <c r="CS21"/>
  <c r="H44" i="10"/>
  <c r="I44" s="1"/>
  <c r="J44" s="1"/>
  <c r="K44" s="1"/>
  <c r="H36"/>
  <c r="I36" s="1"/>
  <c r="H40"/>
  <c r="I40" s="1"/>
  <c r="J40" s="1"/>
  <c r="K40" s="1"/>
  <c r="H38"/>
  <c r="H34"/>
  <c r="H42"/>
  <c r="D36"/>
  <c r="E36" s="1"/>
  <c r="D40"/>
  <c r="E40" s="1"/>
  <c r="F40" s="1"/>
  <c r="G40" s="1"/>
  <c r="D44"/>
  <c r="E44" s="1"/>
  <c r="F44" s="1"/>
  <c r="G44" s="1"/>
  <c r="I27"/>
  <c r="L40"/>
  <c r="M40" s="1"/>
  <c r="N40" s="1"/>
  <c r="O40" s="1"/>
  <c r="L36"/>
  <c r="M36" s="1"/>
  <c r="L44"/>
  <c r="M44" s="1"/>
  <c r="N44" s="1"/>
  <c r="O44" s="1"/>
  <c r="M27"/>
  <c r="P44"/>
  <c r="Q44" s="1"/>
  <c r="R44" s="1"/>
  <c r="S44" s="1"/>
  <c r="P36"/>
  <c r="Q36" s="1"/>
  <c r="P40"/>
  <c r="Q40" s="1"/>
  <c r="R40" s="1"/>
  <c r="S40" s="1"/>
  <c r="P26"/>
  <c r="Q27"/>
  <c r="T44"/>
  <c r="U44" s="1"/>
  <c r="V44" s="1"/>
  <c r="W44" s="1"/>
  <c r="T36"/>
  <c r="U36" s="1"/>
  <c r="T40"/>
  <c r="U40" s="1"/>
  <c r="V40" s="1"/>
  <c r="W40" s="1"/>
  <c r="P34"/>
  <c r="P38"/>
  <c r="P42"/>
  <c r="T42"/>
  <c r="T34"/>
  <c r="T38"/>
  <c r="U27"/>
  <c r="E27"/>
  <c r="D35"/>
  <c r="E35" s="1"/>
  <c r="D39"/>
  <c r="E39" s="1"/>
  <c r="F39" s="1"/>
  <c r="G39" s="1"/>
  <c r="D43"/>
  <c r="E43" s="1"/>
  <c r="F43" s="1"/>
  <c r="G43" s="1"/>
  <c r="H43"/>
  <c r="I43" s="1"/>
  <c r="J43" s="1"/>
  <c r="K43" s="1"/>
  <c r="H35"/>
  <c r="I35" s="1"/>
  <c r="J35" s="1"/>
  <c r="K35" s="1"/>
  <c r="H39"/>
  <c r="I39" s="1"/>
  <c r="J39" s="1"/>
  <c r="K39" s="1"/>
  <c r="L43"/>
  <c r="M43" s="1"/>
  <c r="N43" s="1"/>
  <c r="O43" s="1"/>
  <c r="L35"/>
  <c r="M35" s="1"/>
  <c r="L39"/>
  <c r="M39" s="1"/>
  <c r="N39" s="1"/>
  <c r="O39" s="1"/>
  <c r="P43"/>
  <c r="Q43" s="1"/>
  <c r="R43" s="1"/>
  <c r="S43" s="1"/>
  <c r="P35"/>
  <c r="Q35" s="1"/>
  <c r="P39"/>
  <c r="Q39" s="1"/>
  <c r="R39" s="1"/>
  <c r="S39" s="1"/>
  <c r="T43"/>
  <c r="U43" s="1"/>
  <c r="V43" s="1"/>
  <c r="W43" s="1"/>
  <c r="T35"/>
  <c r="U35" s="1"/>
  <c r="T39"/>
  <c r="U39" s="1"/>
  <c r="V39" s="1"/>
  <c r="W39" s="1"/>
  <c r="D38"/>
  <c r="D42"/>
  <c r="D34"/>
  <c r="L34"/>
  <c r="L38"/>
  <c r="L42"/>
  <c r="C26"/>
  <c r="P28"/>
  <c r="T28"/>
  <c r="T26" s="1"/>
  <c r="L28"/>
  <c r="L26" s="1"/>
  <c r="H28"/>
  <c r="H26" s="1"/>
  <c r="D28"/>
  <c r="D26" s="1"/>
  <c r="U36" i="11"/>
  <c r="U37"/>
  <c r="U39"/>
  <c r="U40"/>
  <c r="U41"/>
  <c r="U16"/>
  <c r="F13"/>
  <c r="V13" s="1"/>
  <c r="Y41"/>
  <c r="AK42"/>
  <c r="W18"/>
  <c r="T70"/>
  <c r="AF14"/>
  <c r="AD9"/>
  <c r="AD17"/>
  <c r="X36"/>
  <c r="W70"/>
  <c r="X18"/>
  <c r="Y70"/>
  <c r="U17"/>
  <c r="F11"/>
  <c r="V11" s="1"/>
  <c r="F15"/>
  <c r="V15" s="1"/>
  <c r="AE16"/>
  <c r="S44"/>
  <c r="F14"/>
  <c r="V14" s="1"/>
  <c r="AE38"/>
  <c r="AI15"/>
  <c r="Y9"/>
  <c r="W15"/>
  <c r="AK10"/>
  <c r="Y13"/>
  <c r="W14"/>
  <c r="I10"/>
  <c r="X10" s="1"/>
  <c r="Z11"/>
  <c r="AA33"/>
  <c r="AA34"/>
  <c r="AA12"/>
  <c r="AA41"/>
  <c r="AA42"/>
  <c r="Y11"/>
  <c r="Z35"/>
  <c r="Z41"/>
  <c r="Z43"/>
  <c r="I15"/>
  <c r="Y15" s="1"/>
  <c r="AF17"/>
  <c r="AE18"/>
  <c r="Y34"/>
  <c r="Y43"/>
  <c r="S57"/>
  <c r="W34"/>
  <c r="L7"/>
  <c r="J17"/>
  <c r="Y17" s="1"/>
  <c r="V38"/>
  <c r="G16"/>
  <c r="W16" s="1"/>
  <c r="T44"/>
  <c r="AD57"/>
  <c r="Y7"/>
  <c r="S16"/>
  <c r="L8"/>
  <c r="AA8" s="1"/>
  <c r="S36"/>
  <c r="S39"/>
  <c r="AK34"/>
  <c r="AG43"/>
  <c r="AG11"/>
  <c r="AJ13"/>
  <c r="AF33"/>
  <c r="AF41"/>
  <c r="Y14"/>
  <c r="AD39"/>
  <c r="AD41"/>
  <c r="U8"/>
  <c r="AC43"/>
  <c r="AC44"/>
  <c r="M11"/>
  <c r="AB11" s="1"/>
  <c r="M12"/>
  <c r="AB12" s="1"/>
  <c r="M15"/>
  <c r="AC15" s="1"/>
  <c r="L16"/>
  <c r="AG35"/>
  <c r="AJ36"/>
  <c r="AI37"/>
  <c r="AG38"/>
  <c r="AG39"/>
  <c r="AI40"/>
  <c r="AF70"/>
  <c r="X8"/>
  <c r="AC13"/>
  <c r="P7"/>
  <c r="AF7" s="1"/>
  <c r="M9"/>
  <c r="M10"/>
  <c r="AB10" s="1"/>
  <c r="L13"/>
  <c r="AA13" s="1"/>
  <c r="L14"/>
  <c r="AA14" s="1"/>
  <c r="L15"/>
  <c r="AA15" s="1"/>
  <c r="K17"/>
  <c r="AA17" s="1"/>
  <c r="J31"/>
  <c r="J32" s="1"/>
  <c r="AG34"/>
  <c r="AF38"/>
  <c r="AF40"/>
  <c r="AE70"/>
  <c r="AE40"/>
  <c r="AE42"/>
  <c r="Z12"/>
  <c r="AC7"/>
  <c r="X12"/>
  <c r="AC35"/>
  <c r="AC36"/>
  <c r="AC37"/>
  <c r="AC41"/>
  <c r="U57"/>
  <c r="AB40"/>
  <c r="AB35"/>
  <c r="W10"/>
  <c r="U12"/>
  <c r="G8"/>
  <c r="V8" s="1"/>
  <c r="F9"/>
  <c r="U9" s="1"/>
  <c r="F10"/>
  <c r="U10" s="1"/>
  <c r="E11"/>
  <c r="E13"/>
  <c r="E14"/>
  <c r="T14" s="1"/>
  <c r="E15"/>
  <c r="D17"/>
  <c r="T17" s="1"/>
  <c r="S18"/>
  <c r="H19"/>
  <c r="G19"/>
  <c r="G7"/>
  <c r="AJ7" s="1"/>
  <c r="S9"/>
  <c r="S10"/>
  <c r="C11"/>
  <c r="S11" s="1"/>
  <c r="C12"/>
  <c r="S12" s="1"/>
  <c r="C13"/>
  <c r="S13" s="1"/>
  <c r="C14"/>
  <c r="S14" s="1"/>
  <c r="C15"/>
  <c r="S15" s="1"/>
  <c r="AG17"/>
  <c r="AG18"/>
  <c r="X34"/>
  <c r="W35"/>
  <c r="W36"/>
  <c r="W38"/>
  <c r="W39"/>
  <c r="V43"/>
  <c r="AJ15"/>
  <c r="AG13"/>
  <c r="AE10"/>
  <c r="AE14"/>
  <c r="AD18"/>
  <c r="T39"/>
  <c r="S40"/>
  <c r="AA57"/>
  <c r="T7"/>
  <c r="E19"/>
  <c r="R31"/>
  <c r="R32" s="1"/>
  <c r="AG37"/>
  <c r="AD42"/>
  <c r="R5"/>
  <c r="R6" s="1"/>
  <c r="AE8"/>
  <c r="AD10"/>
  <c r="AK18"/>
  <c r="F31"/>
  <c r="F32" s="1"/>
  <c r="Q31"/>
  <c r="Q32" s="1"/>
  <c r="AE35"/>
  <c r="AE36"/>
  <c r="AE39"/>
  <c r="AC40"/>
  <c r="AB42"/>
  <c r="AB43"/>
  <c r="AA44"/>
  <c r="AC57"/>
  <c r="AF9"/>
  <c r="AI17"/>
  <c r="C31"/>
  <c r="P31"/>
  <c r="P32" s="1"/>
  <c r="J5"/>
  <c r="J6" s="1"/>
  <c r="AC8"/>
  <c r="AA9"/>
  <c r="AA10"/>
  <c r="O31"/>
  <c r="Z44"/>
  <c r="Q45"/>
  <c r="Q5"/>
  <c r="N5"/>
  <c r="H5"/>
  <c r="AD7"/>
  <c r="Z9"/>
  <c r="W12"/>
  <c r="X13"/>
  <c r="AK15"/>
  <c r="N31"/>
  <c r="N32" s="1"/>
  <c r="AD34"/>
  <c r="AC39"/>
  <c r="AA40"/>
  <c r="Y42"/>
  <c r="X44"/>
  <c r="N45"/>
  <c r="Z57"/>
  <c r="Q58"/>
  <c r="AF58" s="1"/>
  <c r="AA70"/>
  <c r="W11"/>
  <c r="AF16"/>
  <c r="M31"/>
  <c r="AA36"/>
  <c r="AA37"/>
  <c r="AA38"/>
  <c r="X42"/>
  <c r="W43"/>
  <c r="W44"/>
  <c r="K45"/>
  <c r="Z45" s="1"/>
  <c r="Y57"/>
  <c r="T12"/>
  <c r="AC17"/>
  <c r="AB18"/>
  <c r="Z33"/>
  <c r="Y35"/>
  <c r="Z36"/>
  <c r="Y37"/>
  <c r="Y38"/>
  <c r="Y39"/>
  <c r="W40"/>
  <c r="W42"/>
  <c r="U43"/>
  <c r="U44"/>
  <c r="H45"/>
  <c r="M58"/>
  <c r="AC58" s="1"/>
  <c r="O71"/>
  <c r="AE71" s="1"/>
  <c r="Z15"/>
  <c r="AC16"/>
  <c r="AA18"/>
  <c r="G45"/>
  <c r="R19"/>
  <c r="Y33"/>
  <c r="X37"/>
  <c r="D45"/>
  <c r="I58"/>
  <c r="Y58" s="1"/>
  <c r="J71"/>
  <c r="AJ12"/>
  <c r="AI13"/>
  <c r="AG14"/>
  <c r="AG15"/>
  <c r="Y18"/>
  <c r="O19"/>
  <c r="V35"/>
  <c r="AJ37"/>
  <c r="S41"/>
  <c r="S42"/>
  <c r="C45"/>
  <c r="G58"/>
  <c r="V70"/>
  <c r="G71"/>
  <c r="N19"/>
  <c r="AJ44"/>
  <c r="AF10"/>
  <c r="AE12"/>
  <c r="AE15"/>
  <c r="L19"/>
  <c r="U33"/>
  <c r="U35"/>
  <c r="T36"/>
  <c r="T38"/>
  <c r="AK40"/>
  <c r="AG41"/>
  <c r="AG42"/>
  <c r="D58"/>
  <c r="S70"/>
  <c r="D71"/>
  <c r="D5"/>
  <c r="AG9"/>
  <c r="AG10"/>
  <c r="AE11"/>
  <c r="AD15"/>
  <c r="K19"/>
  <c r="S37"/>
  <c r="S38"/>
  <c r="AK39"/>
  <c r="AE43"/>
  <c r="AE44"/>
  <c r="AG57"/>
  <c r="C71"/>
  <c r="S33"/>
  <c r="D31"/>
  <c r="D32" s="1"/>
  <c r="AJ39"/>
  <c r="AG70"/>
  <c r="AF57"/>
  <c r="Z8"/>
  <c r="X9"/>
  <c r="AK11"/>
  <c r="AI12"/>
  <c r="AF13"/>
  <c r="AD14"/>
  <c r="Z16"/>
  <c r="X17"/>
  <c r="V18"/>
  <c r="D19"/>
  <c r="L31"/>
  <c r="X33"/>
  <c r="V34"/>
  <c r="T35"/>
  <c r="AK35"/>
  <c r="AI36"/>
  <c r="AF37"/>
  <c r="AD38"/>
  <c r="AB39"/>
  <c r="Z40"/>
  <c r="X41"/>
  <c r="V42"/>
  <c r="T43"/>
  <c r="AK43"/>
  <c r="AI44"/>
  <c r="P45"/>
  <c r="X57"/>
  <c r="AD70"/>
  <c r="O5"/>
  <c r="Y8"/>
  <c r="W9"/>
  <c r="AJ11"/>
  <c r="AG12"/>
  <c r="AE13"/>
  <c r="AC14"/>
  <c r="Y16"/>
  <c r="W17"/>
  <c r="U18"/>
  <c r="C19"/>
  <c r="K31"/>
  <c r="W33"/>
  <c r="U34"/>
  <c r="S35"/>
  <c r="AJ35"/>
  <c r="AG36"/>
  <c r="AE37"/>
  <c r="AC38"/>
  <c r="AA39"/>
  <c r="Y40"/>
  <c r="W41"/>
  <c r="U42"/>
  <c r="S43"/>
  <c r="AJ43"/>
  <c r="AG44"/>
  <c r="O45"/>
  <c r="W57"/>
  <c r="E58"/>
  <c r="AC70"/>
  <c r="K71"/>
  <c r="Z7"/>
  <c r="T10"/>
  <c r="X16"/>
  <c r="V17"/>
  <c r="T18"/>
  <c r="V33"/>
  <c r="T34"/>
  <c r="AI35"/>
  <c r="AF36"/>
  <c r="AD37"/>
  <c r="AB38"/>
  <c r="Z39"/>
  <c r="X40"/>
  <c r="V41"/>
  <c r="T42"/>
  <c r="AI43"/>
  <c r="AF44"/>
  <c r="V57"/>
  <c r="AB70"/>
  <c r="AI11"/>
  <c r="AF12"/>
  <c r="AD13"/>
  <c r="AJ10"/>
  <c r="AJ18"/>
  <c r="Q19"/>
  <c r="I31"/>
  <c r="S34"/>
  <c r="AJ34"/>
  <c r="AJ42"/>
  <c r="M45"/>
  <c r="C58"/>
  <c r="I71"/>
  <c r="X7"/>
  <c r="T9"/>
  <c r="AK9"/>
  <c r="AI10"/>
  <c r="AF11"/>
  <c r="AD12"/>
  <c r="AB13"/>
  <c r="Z14"/>
  <c r="AK17"/>
  <c r="AI18"/>
  <c r="P19"/>
  <c r="H31"/>
  <c r="T33"/>
  <c r="AK33"/>
  <c r="AI34"/>
  <c r="AF35"/>
  <c r="AD36"/>
  <c r="AB37"/>
  <c r="Z38"/>
  <c r="X39"/>
  <c r="V40"/>
  <c r="T41"/>
  <c r="AK41"/>
  <c r="AI42"/>
  <c r="AF43"/>
  <c r="AD44"/>
  <c r="L45"/>
  <c r="T57"/>
  <c r="AK57"/>
  <c r="R58"/>
  <c r="Z70"/>
  <c r="H71"/>
  <c r="K5"/>
  <c r="AJ9"/>
  <c r="AJ17"/>
  <c r="G31"/>
  <c r="AJ33"/>
  <c r="AJ41"/>
  <c r="AJ57"/>
  <c r="T8"/>
  <c r="AI9"/>
  <c r="Z13"/>
  <c r="X14"/>
  <c r="AF18"/>
  <c r="AI33"/>
  <c r="AF34"/>
  <c r="AD35"/>
  <c r="AB36"/>
  <c r="Z37"/>
  <c r="X38"/>
  <c r="V39"/>
  <c r="T40"/>
  <c r="AI41"/>
  <c r="AF42"/>
  <c r="AD43"/>
  <c r="AB44"/>
  <c r="AI57"/>
  <c r="X70"/>
  <c r="AD11"/>
  <c r="T16"/>
  <c r="U7"/>
  <c r="S8"/>
  <c r="M19"/>
  <c r="E31"/>
  <c r="AG33"/>
  <c r="AE34"/>
  <c r="AJ40"/>
  <c r="I45"/>
  <c r="Y45" s="1"/>
  <c r="O58"/>
  <c r="AE58" s="1"/>
  <c r="E71"/>
  <c r="U71" s="1"/>
  <c r="S7"/>
  <c r="AG8"/>
  <c r="AE9"/>
  <c r="AA11"/>
  <c r="Y12"/>
  <c r="W13"/>
  <c r="AG16"/>
  <c r="AE17"/>
  <c r="AC18"/>
  <c r="AE33"/>
  <c r="AC34"/>
  <c r="AA35"/>
  <c r="Y36"/>
  <c r="W37"/>
  <c r="U38"/>
  <c r="AG40"/>
  <c r="AE41"/>
  <c r="AC42"/>
  <c r="AA43"/>
  <c r="Y44"/>
  <c r="AE57"/>
  <c r="U70"/>
  <c r="AF8"/>
  <c r="AK14"/>
  <c r="J19"/>
  <c r="AD33"/>
  <c r="AB34"/>
  <c r="V37"/>
  <c r="AK38"/>
  <c r="AI39"/>
  <c r="F45"/>
  <c r="L58"/>
  <c r="AK70"/>
  <c r="R71"/>
  <c r="AG7"/>
  <c r="AJ14"/>
  <c r="I19"/>
  <c r="AC33"/>
  <c r="AJ38"/>
  <c r="E45"/>
  <c r="K58"/>
  <c r="AJ70"/>
  <c r="Q71"/>
  <c r="AD8"/>
  <c r="Z10"/>
  <c r="X11"/>
  <c r="V12"/>
  <c r="AK13"/>
  <c r="AI14"/>
  <c r="AF15"/>
  <c r="AD16"/>
  <c r="AB17"/>
  <c r="Z18"/>
  <c r="AB33"/>
  <c r="Z34"/>
  <c r="X35"/>
  <c r="V36"/>
  <c r="T37"/>
  <c r="AK37"/>
  <c r="AI38"/>
  <c r="AF39"/>
  <c r="AD40"/>
  <c r="AB41"/>
  <c r="Z42"/>
  <c r="X43"/>
  <c r="V44"/>
  <c r="AB57"/>
  <c r="AI70"/>
  <c r="AK12"/>
  <c r="F19"/>
  <c r="AK36"/>
  <c r="AK44"/>
  <c r="R45"/>
  <c r="H58"/>
  <c r="N71"/>
  <c r="M71"/>
  <c r="CR21" i="9" l="1"/>
  <c r="CR20"/>
  <c r="CR19"/>
  <c r="CR18"/>
  <c r="CR17"/>
  <c r="CR13"/>
  <c r="CR12"/>
  <c r="CR11"/>
  <c r="CR27"/>
  <c r="CR10"/>
  <c r="CR26"/>
  <c r="CR25"/>
  <c r="CR24"/>
  <c r="CR23"/>
  <c r="CR22"/>
  <c r="E42" i="10"/>
  <c r="D41"/>
  <c r="F35"/>
  <c r="G35" s="1"/>
  <c r="E30"/>
  <c r="F30" s="1"/>
  <c r="G30" s="1"/>
  <c r="E34"/>
  <c r="D33"/>
  <c r="I38"/>
  <c r="I37" s="1"/>
  <c r="H37"/>
  <c r="I30"/>
  <c r="J30" s="1"/>
  <c r="K30" s="1"/>
  <c r="R36"/>
  <c r="S36" s="1"/>
  <c r="Q31"/>
  <c r="R31" s="1"/>
  <c r="S31" s="1"/>
  <c r="M34"/>
  <c r="L33"/>
  <c r="I34"/>
  <c r="H33"/>
  <c r="M38"/>
  <c r="L37"/>
  <c r="I42"/>
  <c r="I41" s="1"/>
  <c r="H41"/>
  <c r="E38"/>
  <c r="D37"/>
  <c r="M42"/>
  <c r="L41"/>
  <c r="V36"/>
  <c r="W36" s="1"/>
  <c r="U31"/>
  <c r="V31" s="1"/>
  <c r="W31" s="1"/>
  <c r="F36"/>
  <c r="G36" s="1"/>
  <c r="E31"/>
  <c r="F31" s="1"/>
  <c r="G31" s="1"/>
  <c r="Q34"/>
  <c r="P33"/>
  <c r="M30"/>
  <c r="N30" s="1"/>
  <c r="O30" s="1"/>
  <c r="N35"/>
  <c r="O35" s="1"/>
  <c r="Q38"/>
  <c r="P37"/>
  <c r="V35"/>
  <c r="W35" s="1"/>
  <c r="U30"/>
  <c r="V30" s="1"/>
  <c r="W30" s="1"/>
  <c r="Q42"/>
  <c r="P41"/>
  <c r="U42"/>
  <c r="T41"/>
  <c r="R35"/>
  <c r="S35" s="1"/>
  <c r="Q30"/>
  <c r="R30" s="1"/>
  <c r="S30" s="1"/>
  <c r="U34"/>
  <c r="T33"/>
  <c r="N36"/>
  <c r="O36" s="1"/>
  <c r="M31"/>
  <c r="N31" s="1"/>
  <c r="O31" s="1"/>
  <c r="U38"/>
  <c r="T37"/>
  <c r="AC11" i="11"/>
  <c r="AC10"/>
  <c r="AD31"/>
  <c r="AB8"/>
  <c r="U31"/>
  <c r="AG31"/>
  <c r="AF31"/>
  <c r="U13"/>
  <c r="AJ31"/>
  <c r="U11"/>
  <c r="W7"/>
  <c r="U14"/>
  <c r="T13"/>
  <c r="AI19"/>
  <c r="W19"/>
  <c r="X15"/>
  <c r="AE7"/>
  <c r="V16"/>
  <c r="AJ19"/>
  <c r="AK19"/>
  <c r="Z17"/>
  <c r="AA19"/>
  <c r="I5"/>
  <c r="I6" s="1"/>
  <c r="Y6" s="1"/>
  <c r="P5"/>
  <c r="AE5" s="1"/>
  <c r="W45"/>
  <c r="Y10"/>
  <c r="U15"/>
  <c r="AG19"/>
  <c r="T15"/>
  <c r="L5"/>
  <c r="L6" s="1"/>
  <c r="E5"/>
  <c r="E6" s="1"/>
  <c r="AI16"/>
  <c r="AC19"/>
  <c r="S17"/>
  <c r="AJ16"/>
  <c r="AA7"/>
  <c r="AI7"/>
  <c r="T11"/>
  <c r="AE31"/>
  <c r="AK16"/>
  <c r="V19"/>
  <c r="V9"/>
  <c r="AB7"/>
  <c r="O32"/>
  <c r="AD32" s="1"/>
  <c r="V45"/>
  <c r="V7"/>
  <c r="AB14"/>
  <c r="M32"/>
  <c r="AC32" s="1"/>
  <c r="Y31"/>
  <c r="G5"/>
  <c r="AC12"/>
  <c r="AB16"/>
  <c r="M5"/>
  <c r="AC5" s="1"/>
  <c r="AB31"/>
  <c r="AG5"/>
  <c r="AB15"/>
  <c r="AC9"/>
  <c r="AK7"/>
  <c r="C5"/>
  <c r="S5" s="1"/>
  <c r="F5"/>
  <c r="AA16"/>
  <c r="AB9"/>
  <c r="AJ8"/>
  <c r="V58"/>
  <c r="N6"/>
  <c r="AK8"/>
  <c r="AI8"/>
  <c r="AK31"/>
  <c r="C32"/>
  <c r="S32" s="1"/>
  <c r="V10"/>
  <c r="AC31"/>
  <c r="W8"/>
  <c r="S45"/>
  <c r="AD71"/>
  <c r="AD19"/>
  <c r="Q6"/>
  <c r="AG6" s="1"/>
  <c r="V71"/>
  <c r="S71"/>
  <c r="S58"/>
  <c r="AI31"/>
  <c r="H6"/>
  <c r="D6"/>
  <c r="S31"/>
  <c r="Y19"/>
  <c r="S19"/>
  <c r="T19"/>
  <c r="W71"/>
  <c r="U19"/>
  <c r="AA58"/>
  <c r="AD58"/>
  <c r="AD45"/>
  <c r="AB58"/>
  <c r="Z19"/>
  <c r="L32"/>
  <c r="AA31"/>
  <c r="AB71"/>
  <c r="T71"/>
  <c r="K32"/>
  <c r="Z31"/>
  <c r="O6"/>
  <c r="AD5"/>
  <c r="AG71"/>
  <c r="AI71"/>
  <c r="AJ71"/>
  <c r="AK71"/>
  <c r="T58"/>
  <c r="AB45"/>
  <c r="W58"/>
  <c r="K6"/>
  <c r="Z5"/>
  <c r="U58"/>
  <c r="AC71"/>
  <c r="X71"/>
  <c r="Z71"/>
  <c r="AG45"/>
  <c r="AI45"/>
  <c r="AJ45"/>
  <c r="AK45"/>
  <c r="X19"/>
  <c r="AE19"/>
  <c r="V31"/>
  <c r="G32"/>
  <c r="AI32" s="1"/>
  <c r="AA45"/>
  <c r="W31"/>
  <c r="H32"/>
  <c r="T45"/>
  <c r="AA71"/>
  <c r="X58"/>
  <c r="Z58"/>
  <c r="AB19"/>
  <c r="Y71"/>
  <c r="T31"/>
  <c r="E32"/>
  <c r="AG58"/>
  <c r="AI58"/>
  <c r="AJ58"/>
  <c r="AK58"/>
  <c r="AC45"/>
  <c r="AF71"/>
  <c r="AE45"/>
  <c r="AF45"/>
  <c r="AF19"/>
  <c r="U45"/>
  <c r="X45"/>
  <c r="X31"/>
  <c r="I32"/>
  <c r="Y32" s="1"/>
  <c r="AF32"/>
  <c r="AG32"/>
  <c r="CQ22" i="9" l="1"/>
  <c r="CQ21"/>
  <c r="CQ20"/>
  <c r="CQ19"/>
  <c r="CQ18"/>
  <c r="CQ17"/>
  <c r="CQ13"/>
  <c r="CQ12"/>
  <c r="CQ11"/>
  <c r="CQ27"/>
  <c r="CQ10"/>
  <c r="CQ26"/>
  <c r="CQ25"/>
  <c r="CQ24"/>
  <c r="CQ23"/>
  <c r="E41" i="10"/>
  <c r="F41" s="1"/>
  <c r="G41" s="1"/>
  <c r="F42"/>
  <c r="G42" s="1"/>
  <c r="I33"/>
  <c r="J34"/>
  <c r="K34" s="1"/>
  <c r="R38"/>
  <c r="S38" s="1"/>
  <c r="Q37"/>
  <c r="R37" s="1"/>
  <c r="S37" s="1"/>
  <c r="U37"/>
  <c r="V37" s="1"/>
  <c r="W37" s="1"/>
  <c r="V38"/>
  <c r="W38" s="1"/>
  <c r="N38"/>
  <c r="O38" s="1"/>
  <c r="M37"/>
  <c r="N37" s="1"/>
  <c r="O37" s="1"/>
  <c r="R42"/>
  <c r="S42" s="1"/>
  <c r="Q41"/>
  <c r="R41" s="1"/>
  <c r="S41" s="1"/>
  <c r="E37"/>
  <c r="F37" s="1"/>
  <c r="G37" s="1"/>
  <c r="F38"/>
  <c r="G38" s="1"/>
  <c r="F34"/>
  <c r="G34" s="1"/>
  <c r="E33"/>
  <c r="E29"/>
  <c r="F29" s="1"/>
  <c r="G29" s="1"/>
  <c r="V42"/>
  <c r="W42" s="1"/>
  <c r="U41"/>
  <c r="V41" s="1"/>
  <c r="W41" s="1"/>
  <c r="N42"/>
  <c r="O42" s="1"/>
  <c r="M41"/>
  <c r="N41" s="1"/>
  <c r="O41" s="1"/>
  <c r="V34"/>
  <c r="W34" s="1"/>
  <c r="U33"/>
  <c r="U29"/>
  <c r="V29" s="1"/>
  <c r="W29" s="1"/>
  <c r="Q33"/>
  <c r="R34"/>
  <c r="S34" s="1"/>
  <c r="Q29"/>
  <c r="R29" s="1"/>
  <c r="S29" s="1"/>
  <c r="M33"/>
  <c r="N34"/>
  <c r="O34" s="1"/>
  <c r="M29"/>
  <c r="N29" s="1"/>
  <c r="O29" s="1"/>
  <c r="J42"/>
  <c r="K42" s="1"/>
  <c r="J41"/>
  <c r="K41" s="1"/>
  <c r="J38"/>
  <c r="K38" s="1"/>
  <c r="J37"/>
  <c r="K37" s="1"/>
  <c r="I29"/>
  <c r="J29" s="1"/>
  <c r="K29" s="1"/>
  <c r="J36"/>
  <c r="K36" s="1"/>
  <c r="I31"/>
  <c r="J31" s="1"/>
  <c r="K31" s="1"/>
  <c r="P6" i="11"/>
  <c r="AE6" s="1"/>
  <c r="AF5"/>
  <c r="AA5"/>
  <c r="T6"/>
  <c r="X5"/>
  <c r="M6"/>
  <c r="AC6" s="1"/>
  <c r="AJ32"/>
  <c r="AK32"/>
  <c r="T5"/>
  <c r="Y5"/>
  <c r="AE32"/>
  <c r="AB5"/>
  <c r="C6"/>
  <c r="AB32"/>
  <c r="F6"/>
  <c r="U5"/>
  <c r="W5"/>
  <c r="AK5"/>
  <c r="G6"/>
  <c r="W6" s="1"/>
  <c r="AI5"/>
  <c r="V5"/>
  <c r="AJ5"/>
  <c r="AD6"/>
  <c r="T32"/>
  <c r="W32"/>
  <c r="X6"/>
  <c r="AA32"/>
  <c r="U32"/>
  <c r="X32"/>
  <c r="AA6"/>
  <c r="Z6"/>
  <c r="Z32"/>
  <c r="V32"/>
  <c r="CP23" i="9" l="1"/>
  <c r="CP22"/>
  <c r="CP21"/>
  <c r="CP20"/>
  <c r="CP19"/>
  <c r="CP18"/>
  <c r="CP17"/>
  <c r="CP13"/>
  <c r="CP12"/>
  <c r="CP11"/>
  <c r="CP27"/>
  <c r="CP10"/>
  <c r="CP26"/>
  <c r="CP25"/>
  <c r="CP24"/>
  <c r="F33" i="10"/>
  <c r="G33" s="1"/>
  <c r="E28"/>
  <c r="R33"/>
  <c r="S33" s="1"/>
  <c r="Q28"/>
  <c r="V33"/>
  <c r="W33" s="1"/>
  <c r="U28"/>
  <c r="N33"/>
  <c r="O33" s="1"/>
  <c r="M28"/>
  <c r="J33"/>
  <c r="K33" s="1"/>
  <c r="I28"/>
  <c r="AF6" i="11"/>
  <c r="AB6"/>
  <c r="S6"/>
  <c r="U6"/>
  <c r="AI6"/>
  <c r="V6"/>
  <c r="AK6"/>
  <c r="AJ6"/>
  <c r="CO24" i="9" l="1"/>
  <c r="CO23"/>
  <c r="CO22"/>
  <c r="CO21"/>
  <c r="CO20"/>
  <c r="CO19"/>
  <c r="CO18"/>
  <c r="CO17"/>
  <c r="CO13"/>
  <c r="CO12"/>
  <c r="CO11"/>
  <c r="CO27"/>
  <c r="CO10"/>
  <c r="CO26"/>
  <c r="CO25"/>
  <c r="N28" i="10"/>
  <c r="O28" s="1"/>
  <c r="M26"/>
  <c r="N26" s="1"/>
  <c r="O26" s="1"/>
  <c r="E26"/>
  <c r="F26" s="1"/>
  <c r="G26" s="1"/>
  <c r="F28"/>
  <c r="G28" s="1"/>
  <c r="R28"/>
  <c r="S28" s="1"/>
  <c r="Q26"/>
  <c r="R26" s="1"/>
  <c r="S26" s="1"/>
  <c r="V28"/>
  <c r="W28" s="1"/>
  <c r="U26"/>
  <c r="V26" s="1"/>
  <c r="W26" s="1"/>
  <c r="J28"/>
  <c r="K28" s="1"/>
  <c r="I26"/>
  <c r="J26" s="1"/>
  <c r="K26" s="1"/>
  <c r="AU27" i="9"/>
  <c r="AF27"/>
  <c r="AE27"/>
  <c r="AF26"/>
  <c r="AE26"/>
  <c r="AF25"/>
  <c r="AE25"/>
  <c r="AF24"/>
  <c r="AE24"/>
  <c r="AU23"/>
  <c r="AF23"/>
  <c r="AE23"/>
  <c r="AU22"/>
  <c r="AF22"/>
  <c r="AE22"/>
  <c r="AU21"/>
  <c r="AF21"/>
  <c r="AE21"/>
  <c r="AU20"/>
  <c r="AF20"/>
  <c r="AE20"/>
  <c r="AU19"/>
  <c r="AF19"/>
  <c r="AE19"/>
  <c r="AU18"/>
  <c r="AF18"/>
  <c r="AE18"/>
  <c r="AU17"/>
  <c r="AF17"/>
  <c r="AE17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DA16"/>
  <c r="CZ16"/>
  <c r="CY16"/>
  <c r="CX16"/>
  <c r="AF16"/>
  <c r="AE16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DA15"/>
  <c r="CZ15"/>
  <c r="CY15"/>
  <c r="CX15"/>
  <c r="AF15"/>
  <c r="AE15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DA14"/>
  <c r="CZ14"/>
  <c r="CY14"/>
  <c r="CX14"/>
  <c r="AF14"/>
  <c r="AE14"/>
  <c r="AU13"/>
  <c r="AF13"/>
  <c r="AE13"/>
  <c r="AF12"/>
  <c r="AE12"/>
  <c r="AF11"/>
  <c r="AE11"/>
  <c r="AF10"/>
  <c r="AE10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DA9"/>
  <c r="CZ9"/>
  <c r="CY9"/>
  <c r="CX9"/>
  <c r="AF9"/>
  <c r="AE9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DA8"/>
  <c r="CZ8"/>
  <c r="CY8"/>
  <c r="CX8"/>
  <c r="AG8"/>
  <c r="AF8"/>
  <c r="AE8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DA7"/>
  <c r="CZ7"/>
  <c r="CY7"/>
  <c r="CX7"/>
  <c r="AF7"/>
  <c r="AE7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DA6"/>
  <c r="CZ6"/>
  <c r="CY6"/>
  <c r="CX6"/>
  <c r="AF6"/>
  <c r="AE6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DA5"/>
  <c r="CZ5"/>
  <c r="CY5"/>
  <c r="CX5"/>
  <c r="AF5"/>
  <c r="AE5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DA4"/>
  <c r="CZ4"/>
  <c r="CX4"/>
  <c r="AF4"/>
  <c r="AE4"/>
  <c r="AF27" i="1"/>
  <c r="AF26"/>
  <c r="AF25"/>
  <c r="AF24"/>
  <c r="AF23"/>
  <c r="AF22"/>
  <c r="AF20"/>
  <c r="AF19"/>
  <c r="AF17"/>
  <c r="AF12"/>
  <c r="AF11"/>
  <c r="AF10"/>
  <c r="AF9"/>
  <c r="AF8"/>
  <c r="AF7"/>
  <c r="AF5"/>
  <c r="AF21"/>
  <c r="AF18"/>
  <c r="AF16"/>
  <c r="AF15"/>
  <c r="AF14"/>
  <c r="AF13"/>
  <c r="AF6"/>
  <c r="AF4"/>
  <c r="AJ8"/>
  <c r="AJ6"/>
  <c r="AJ7"/>
  <c r="AJ4"/>
  <c r="AJ23"/>
  <c r="AJ20"/>
  <c r="AK20" s="1"/>
  <c r="AJ19"/>
  <c r="AJ17"/>
  <c r="AJ16"/>
  <c r="AJ14"/>
  <c r="AJ13"/>
  <c r="AJ11"/>
  <c r="AJ10"/>
  <c r="AJ9"/>
  <c r="AJ5"/>
  <c r="AJ27"/>
  <c r="AJ26"/>
  <c r="AJ25"/>
  <c r="AJ24"/>
  <c r="AJ22"/>
  <c r="AJ21"/>
  <c r="AJ15"/>
  <c r="AK15" s="1"/>
  <c r="AJ12"/>
  <c r="AJ18"/>
  <c r="C1" i="6"/>
  <c r="D21" s="1"/>
  <c r="AG5" i="9" s="1"/>
  <c r="B2" i="5"/>
  <c r="CN25" i="9" l="1"/>
  <c r="CN24"/>
  <c r="CN23"/>
  <c r="CN22"/>
  <c r="CN21"/>
  <c r="CN20"/>
  <c r="CN19"/>
  <c r="CN18"/>
  <c r="CN17"/>
  <c r="CN13"/>
  <c r="CN12"/>
  <c r="CN11"/>
  <c r="CN27"/>
  <c r="CN10"/>
  <c r="CN26"/>
  <c r="AY20"/>
  <c r="AY5"/>
  <c r="AY8"/>
  <c r="AY7"/>
  <c r="AK10" i="1"/>
  <c r="AK24"/>
  <c r="AK7"/>
  <c r="AK13"/>
  <c r="AK11"/>
  <c r="AK12"/>
  <c r="AK19"/>
  <c r="AK27"/>
  <c r="AK26"/>
  <c r="AK8"/>
  <c r="AK25"/>
  <c r="AK6"/>
  <c r="AK22"/>
  <c r="AK4"/>
  <c r="AK21"/>
  <c r="AK23"/>
  <c r="AK18"/>
  <c r="AK17"/>
  <c r="AG22" i="9"/>
  <c r="AN22" s="1"/>
  <c r="AK16" i="1"/>
  <c r="AK14"/>
  <c r="AG25" i="9"/>
  <c r="AN25" s="1"/>
  <c r="AG18"/>
  <c r="AL18" s="1"/>
  <c r="AK9" i="1"/>
  <c r="AG15" i="9"/>
  <c r="AL15" s="1"/>
  <c r="AK5" i="1"/>
  <c r="AG11" i="9"/>
  <c r="AL11" s="1"/>
  <c r="AN5"/>
  <c r="AN7"/>
  <c r="AL20"/>
  <c r="AL5"/>
  <c r="AL8"/>
  <c r="AL7"/>
  <c r="AN8"/>
  <c r="AN20"/>
  <c r="D12" i="6"/>
  <c r="AJ15" i="9" s="1"/>
  <c r="D13" i="6"/>
  <c r="AJ16" i="9" s="1"/>
  <c r="D5" i="6"/>
  <c r="D6"/>
  <c r="D7"/>
  <c r="D11"/>
  <c r="AJ14" i="9" s="1"/>
  <c r="AX14" s="1"/>
  <c r="D16" i="6"/>
  <c r="AJ17" i="9" s="1"/>
  <c r="D17" i="6"/>
  <c r="D20"/>
  <c r="D22"/>
  <c r="CM10" i="9" l="1"/>
  <c r="CM26"/>
  <c r="CM25"/>
  <c r="CM24"/>
  <c r="CM23"/>
  <c r="CM22"/>
  <c r="CM21"/>
  <c r="CM20"/>
  <c r="CM19"/>
  <c r="CM18"/>
  <c r="CM17"/>
  <c r="CM13"/>
  <c r="CM12"/>
  <c r="CM11"/>
  <c r="CM27"/>
  <c r="AX17"/>
  <c r="AY11"/>
  <c r="AQ16"/>
  <c r="AQ14"/>
  <c r="AY25"/>
  <c r="AX16"/>
  <c r="AY18"/>
  <c r="AK15"/>
  <c r="AV15"/>
  <c r="AQ17"/>
  <c r="AY22"/>
  <c r="AY15"/>
  <c r="AX15"/>
  <c r="AW15"/>
  <c r="AP15"/>
  <c r="AN11"/>
  <c r="AG12"/>
  <c r="AG19"/>
  <c r="AG16"/>
  <c r="AV16" s="1"/>
  <c r="AG9"/>
  <c r="AG6"/>
  <c r="AG26"/>
  <c r="AG23"/>
  <c r="AQ15"/>
  <c r="AG24"/>
  <c r="AG21"/>
  <c r="AG13"/>
  <c r="AG4"/>
  <c r="AG27"/>
  <c r="AG14"/>
  <c r="AV14" s="1"/>
  <c r="AG17"/>
  <c r="AV17" s="1"/>
  <c r="AG10"/>
  <c r="EW15"/>
  <c r="EX15" s="1"/>
  <c r="EY15" s="1"/>
  <c r="EZ15" s="1"/>
  <c r="FA15" s="1"/>
  <c r="FB15" s="1"/>
  <c r="FC15" s="1"/>
  <c r="FD15" s="1"/>
  <c r="FE15" s="1"/>
  <c r="FF15" s="1"/>
  <c r="AK16"/>
  <c r="AL25"/>
  <c r="AL22"/>
  <c r="AR22" s="1"/>
  <c r="AN18"/>
  <c r="AN15"/>
  <c r="AO15" s="1"/>
  <c r="AJ11"/>
  <c r="AJ5"/>
  <c r="AJ18"/>
  <c r="AJ8"/>
  <c r="AJ25"/>
  <c r="AJ22"/>
  <c r="AJ12"/>
  <c r="AJ9"/>
  <c r="AJ19"/>
  <c r="AJ6"/>
  <c r="AJ26"/>
  <c r="AJ23"/>
  <c r="AK17"/>
  <c r="AK14"/>
  <c r="AJ4"/>
  <c r="AJ24"/>
  <c r="AJ21"/>
  <c r="AJ13"/>
  <c r="AJ7"/>
  <c r="AJ10"/>
  <c r="AJ27"/>
  <c r="AJ20"/>
  <c r="AR7"/>
  <c r="AR8"/>
  <c r="AR20"/>
  <c r="AM15"/>
  <c r="AR15"/>
  <c r="AR5"/>
  <c r="AR11"/>
  <c r="AR18"/>
  <c r="CL11" l="1"/>
  <c r="CL27"/>
  <c r="CL10"/>
  <c r="CL26"/>
  <c r="CL25"/>
  <c r="CL24"/>
  <c r="CL23"/>
  <c r="CL22"/>
  <c r="CL21"/>
  <c r="CL20"/>
  <c r="CL19"/>
  <c r="CL18"/>
  <c r="CL17"/>
  <c r="CL13"/>
  <c r="CL12"/>
  <c r="AW25"/>
  <c r="AV5"/>
  <c r="AW5"/>
  <c r="AX5"/>
  <c r="AV10"/>
  <c r="AX10"/>
  <c r="AV25"/>
  <c r="AX25"/>
  <c r="AV22"/>
  <c r="AX22"/>
  <c r="AV12"/>
  <c r="AX12"/>
  <c r="AW27"/>
  <c r="AY27"/>
  <c r="AW26"/>
  <c r="AY26"/>
  <c r="AP18"/>
  <c r="AV18"/>
  <c r="AX18"/>
  <c r="AY24"/>
  <c r="AW24"/>
  <c r="AV27"/>
  <c r="AX27"/>
  <c r="AM20"/>
  <c r="AV20"/>
  <c r="AW20"/>
  <c r="AX20"/>
  <c r="AY4"/>
  <c r="AW4"/>
  <c r="AV9"/>
  <c r="AX9"/>
  <c r="EW14"/>
  <c r="EX14" s="1"/>
  <c r="EY14" s="1"/>
  <c r="EZ14" s="1"/>
  <c r="FA14" s="1"/>
  <c r="FB14" s="1"/>
  <c r="FC14" s="1"/>
  <c r="FD14" s="1"/>
  <c r="FE14" s="1"/>
  <c r="FF14" s="1"/>
  <c r="FG14" s="1"/>
  <c r="FH14" s="1"/>
  <c r="FI14" s="1"/>
  <c r="FJ14" s="1"/>
  <c r="FK14" s="1"/>
  <c r="FL14" s="1"/>
  <c r="FM14" s="1"/>
  <c r="FN14" s="1"/>
  <c r="FO14" s="1"/>
  <c r="FP14" s="1"/>
  <c r="FQ14" s="1"/>
  <c r="FR14" s="1"/>
  <c r="FS14" s="1"/>
  <c r="FT14" s="1"/>
  <c r="FU14" s="1"/>
  <c r="FV14" s="1"/>
  <c r="FW14" s="1"/>
  <c r="FX14" s="1"/>
  <c r="FY14" s="1"/>
  <c r="FZ14" s="1"/>
  <c r="GA14" s="1"/>
  <c r="GB14" s="1"/>
  <c r="GC14" s="1"/>
  <c r="GD14" s="1"/>
  <c r="GE14" s="1"/>
  <c r="GF14" s="1"/>
  <c r="GG14" s="1"/>
  <c r="GH14" s="1"/>
  <c r="GI14" s="1"/>
  <c r="GJ14" s="1"/>
  <c r="GK14" s="1"/>
  <c r="GL14" s="1"/>
  <c r="GM14" s="1"/>
  <c r="GN14" s="1"/>
  <c r="GO14" s="1"/>
  <c r="GP14" s="1"/>
  <c r="GQ14" s="1"/>
  <c r="GR14" s="1"/>
  <c r="GS14" s="1"/>
  <c r="GT14" s="1"/>
  <c r="GU14" s="1"/>
  <c r="GV14" s="1"/>
  <c r="GW14" s="1"/>
  <c r="GX14" s="1"/>
  <c r="GY14" s="1"/>
  <c r="GZ14" s="1"/>
  <c r="HA14" s="1"/>
  <c r="HB14" s="1"/>
  <c r="HC14" s="1"/>
  <c r="HD14" s="1"/>
  <c r="HE14" s="1"/>
  <c r="HF14" s="1"/>
  <c r="HG14" s="1"/>
  <c r="HH14" s="1"/>
  <c r="HI14" s="1"/>
  <c r="HJ14" s="1"/>
  <c r="HK14" s="1"/>
  <c r="HL14" s="1"/>
  <c r="HM14" s="1"/>
  <c r="HN14" s="1"/>
  <c r="HO14" s="1"/>
  <c r="HP14" s="1"/>
  <c r="HQ14" s="1"/>
  <c r="HR14" s="1"/>
  <c r="HS14" s="1"/>
  <c r="HT14" s="1"/>
  <c r="HU14" s="1"/>
  <c r="HV14" s="1"/>
  <c r="HW14" s="1"/>
  <c r="HX14" s="1"/>
  <c r="HY14" s="1"/>
  <c r="HZ14" s="1"/>
  <c r="IA14" s="1"/>
  <c r="IB14" s="1"/>
  <c r="IC14" s="1"/>
  <c r="ID14" s="1"/>
  <c r="IE14" s="1"/>
  <c r="IF14" s="1"/>
  <c r="IG14" s="1"/>
  <c r="IH14" s="1"/>
  <c r="II14" s="1"/>
  <c r="IJ14" s="1"/>
  <c r="IK14" s="1"/>
  <c r="IL14" s="1"/>
  <c r="IM14" s="1"/>
  <c r="IN14" s="1"/>
  <c r="IO14" s="1"/>
  <c r="IP14" s="1"/>
  <c r="IQ14" s="1"/>
  <c r="IR14" s="1"/>
  <c r="AW14"/>
  <c r="AY14"/>
  <c r="AX4"/>
  <c r="AV23"/>
  <c r="AX23"/>
  <c r="AV19"/>
  <c r="AX19"/>
  <c r="AY17"/>
  <c r="AW17"/>
  <c r="AV6"/>
  <c r="AX6"/>
  <c r="AW10"/>
  <c r="AY10"/>
  <c r="AY12"/>
  <c r="AW12"/>
  <c r="AW19"/>
  <c r="AY19"/>
  <c r="EW16"/>
  <c r="EX16" s="1"/>
  <c r="EY16" s="1"/>
  <c r="EZ16" s="1"/>
  <c r="FA16" s="1"/>
  <c r="FB16" s="1"/>
  <c r="FC16" s="1"/>
  <c r="FD16" s="1"/>
  <c r="FE16" s="1"/>
  <c r="FF16" s="1"/>
  <c r="AW16"/>
  <c r="AY16"/>
  <c r="AW9"/>
  <c r="AY9"/>
  <c r="AW6"/>
  <c r="AY6"/>
  <c r="AW18"/>
  <c r="AV24"/>
  <c r="AX24"/>
  <c r="AV13"/>
  <c r="AX13"/>
  <c r="AW23"/>
  <c r="AY23"/>
  <c r="AV11"/>
  <c r="AX11"/>
  <c r="AW11"/>
  <c r="AV21"/>
  <c r="AX21"/>
  <c r="AV26"/>
  <c r="AX26"/>
  <c r="AP7"/>
  <c r="AV7"/>
  <c r="AW7"/>
  <c r="AX7"/>
  <c r="AO8"/>
  <c r="AV8"/>
  <c r="AW8"/>
  <c r="AX8"/>
  <c r="AW21"/>
  <c r="AY21"/>
  <c r="AY13"/>
  <c r="AW13"/>
  <c r="AW22"/>
  <c r="FG15"/>
  <c r="FH15" s="1"/>
  <c r="FI15" s="1"/>
  <c r="FJ15" s="1"/>
  <c r="FK15" s="1"/>
  <c r="FL15" s="1"/>
  <c r="FM15" s="1"/>
  <c r="FN15" s="1"/>
  <c r="FO15" s="1"/>
  <c r="FP15" s="1"/>
  <c r="FQ15" s="1"/>
  <c r="FR15" s="1"/>
  <c r="FS15" s="1"/>
  <c r="FT15" s="1"/>
  <c r="FU15" s="1"/>
  <c r="FV15" s="1"/>
  <c r="FW15" s="1"/>
  <c r="FX15" s="1"/>
  <c r="FY15" s="1"/>
  <c r="FZ15" s="1"/>
  <c r="GA15" s="1"/>
  <c r="GB15" s="1"/>
  <c r="GC15" s="1"/>
  <c r="GD15" s="1"/>
  <c r="GE15" s="1"/>
  <c r="GF15" s="1"/>
  <c r="GG15" s="1"/>
  <c r="GH15" s="1"/>
  <c r="GI15" s="1"/>
  <c r="GJ15" s="1"/>
  <c r="GK15" s="1"/>
  <c r="GL15" s="1"/>
  <c r="GM15" s="1"/>
  <c r="GN15" s="1"/>
  <c r="GO15" s="1"/>
  <c r="GP15" s="1"/>
  <c r="GQ15" s="1"/>
  <c r="GR15" s="1"/>
  <c r="GS15" s="1"/>
  <c r="GT15" s="1"/>
  <c r="GU15" s="1"/>
  <c r="GV15" s="1"/>
  <c r="GW15" s="1"/>
  <c r="GX15" s="1"/>
  <c r="GY15" s="1"/>
  <c r="GZ15" s="1"/>
  <c r="HA15" s="1"/>
  <c r="HB15" s="1"/>
  <c r="HC15" s="1"/>
  <c r="HD15" s="1"/>
  <c r="HE15" s="1"/>
  <c r="HF15" s="1"/>
  <c r="HG15" s="1"/>
  <c r="HH15" s="1"/>
  <c r="HI15" s="1"/>
  <c r="HJ15" s="1"/>
  <c r="HK15" s="1"/>
  <c r="HL15" s="1"/>
  <c r="HM15" s="1"/>
  <c r="HN15" s="1"/>
  <c r="HO15" s="1"/>
  <c r="HP15" s="1"/>
  <c r="HQ15" s="1"/>
  <c r="HR15" s="1"/>
  <c r="HS15" s="1"/>
  <c r="HT15" s="1"/>
  <c r="HU15" s="1"/>
  <c r="HV15" s="1"/>
  <c r="HW15" s="1"/>
  <c r="HX15" s="1"/>
  <c r="HY15" s="1"/>
  <c r="HZ15" s="1"/>
  <c r="IA15" s="1"/>
  <c r="IB15" s="1"/>
  <c r="IC15" s="1"/>
  <c r="ID15" s="1"/>
  <c r="IE15" s="1"/>
  <c r="IF15" s="1"/>
  <c r="IG15" s="1"/>
  <c r="IH15" s="1"/>
  <c r="II15" s="1"/>
  <c r="IJ15" s="1"/>
  <c r="IK15" s="1"/>
  <c r="IL15" s="1"/>
  <c r="IM15" s="1"/>
  <c r="IN15" s="1"/>
  <c r="IO15" s="1"/>
  <c r="IP15" s="1"/>
  <c r="IQ15" s="1"/>
  <c r="IR15" s="1"/>
  <c r="AM8"/>
  <c r="AQ5"/>
  <c r="EW5"/>
  <c r="EX5" s="1"/>
  <c r="EY5" s="1"/>
  <c r="EZ5" s="1"/>
  <c r="FA5" s="1"/>
  <c r="FB5" s="1"/>
  <c r="FC5" s="1"/>
  <c r="FD5" s="1"/>
  <c r="FE5" s="1"/>
  <c r="FF5" s="1"/>
  <c r="AK5"/>
  <c r="AL27"/>
  <c r="AR27" s="1"/>
  <c r="AN27"/>
  <c r="AO27" s="1"/>
  <c r="CW27" s="1"/>
  <c r="EW18"/>
  <c r="EX18" s="1"/>
  <c r="EY18" s="1"/>
  <c r="EZ18" s="1"/>
  <c r="FA18" s="1"/>
  <c r="FB18" s="1"/>
  <c r="FC18" s="1"/>
  <c r="FD18" s="1"/>
  <c r="FE18" s="1"/>
  <c r="FF18" s="1"/>
  <c r="AO18"/>
  <c r="DH18" s="1"/>
  <c r="AQ18"/>
  <c r="AK18"/>
  <c r="AN14"/>
  <c r="AO14" s="1"/>
  <c r="AL14"/>
  <c r="AM18"/>
  <c r="EW8"/>
  <c r="EX8" s="1"/>
  <c r="EY8" s="1"/>
  <c r="EZ8" s="1"/>
  <c r="FA8" s="1"/>
  <c r="FB8" s="1"/>
  <c r="FC8" s="1"/>
  <c r="FD8" s="1"/>
  <c r="FE8" s="1"/>
  <c r="FF8" s="1"/>
  <c r="AK8"/>
  <c r="AQ8"/>
  <c r="AN17"/>
  <c r="AO17" s="1"/>
  <c r="EL17" s="1"/>
  <c r="AL17"/>
  <c r="AP11"/>
  <c r="AQ25"/>
  <c r="AO25"/>
  <c r="DL25" s="1"/>
  <c r="AM25"/>
  <c r="AK25"/>
  <c r="EW25"/>
  <c r="EX25" s="1"/>
  <c r="EY25" s="1"/>
  <c r="EZ25" s="1"/>
  <c r="FA25" s="1"/>
  <c r="FB25" s="1"/>
  <c r="FC25" s="1"/>
  <c r="FD25" s="1"/>
  <c r="FE25" s="1"/>
  <c r="FF25" s="1"/>
  <c r="AN10"/>
  <c r="AO10" s="1"/>
  <c r="CW10" s="1"/>
  <c r="AL10"/>
  <c r="AP10" s="1"/>
  <c r="AM22"/>
  <c r="AO22"/>
  <c r="ER22" s="1"/>
  <c r="AN12"/>
  <c r="AO12" s="1"/>
  <c r="DI12" s="1"/>
  <c r="AL12"/>
  <c r="AN19"/>
  <c r="AO19" s="1"/>
  <c r="DT19" s="1"/>
  <c r="AL19"/>
  <c r="EW12"/>
  <c r="EX12" s="1"/>
  <c r="EY12" s="1"/>
  <c r="EZ12" s="1"/>
  <c r="FA12" s="1"/>
  <c r="FB12" s="1"/>
  <c r="FC12" s="1"/>
  <c r="FD12" s="1"/>
  <c r="FE12" s="1"/>
  <c r="FF12" s="1"/>
  <c r="AQ12"/>
  <c r="AK12"/>
  <c r="AN16"/>
  <c r="AO16" s="1"/>
  <c r="AL16"/>
  <c r="AP25"/>
  <c r="AK9"/>
  <c r="EW9"/>
  <c r="EX9" s="1"/>
  <c r="EY9" s="1"/>
  <c r="EZ9" s="1"/>
  <c r="FA9" s="1"/>
  <c r="FB9" s="1"/>
  <c r="FC9" s="1"/>
  <c r="FD9" s="1"/>
  <c r="FE9" s="1"/>
  <c r="FF9" s="1"/>
  <c r="AQ9"/>
  <c r="AN9"/>
  <c r="AO9" s="1"/>
  <c r="AL9"/>
  <c r="AP22"/>
  <c r="AK19"/>
  <c r="AQ19"/>
  <c r="EW19"/>
  <c r="EX19" s="1"/>
  <c r="EY19" s="1"/>
  <c r="EZ19" s="1"/>
  <c r="FA19" s="1"/>
  <c r="FB19" s="1"/>
  <c r="FC19" s="1"/>
  <c r="FD19" s="1"/>
  <c r="FE19" s="1"/>
  <c r="FF19" s="1"/>
  <c r="AL6"/>
  <c r="AN6"/>
  <c r="AO6" s="1"/>
  <c r="AK6"/>
  <c r="AQ6"/>
  <c r="EW6"/>
  <c r="EX6" s="1"/>
  <c r="EY6" s="1"/>
  <c r="EZ6" s="1"/>
  <c r="FA6" s="1"/>
  <c r="FB6" s="1"/>
  <c r="FC6" s="1"/>
  <c r="FD6" s="1"/>
  <c r="FE6" s="1"/>
  <c r="FF6" s="1"/>
  <c r="AN26"/>
  <c r="AO26" s="1"/>
  <c r="DL26" s="1"/>
  <c r="AL26"/>
  <c r="EW17"/>
  <c r="EX17" s="1"/>
  <c r="EY17" s="1"/>
  <c r="EZ17" s="1"/>
  <c r="FA17" s="1"/>
  <c r="FB17" s="1"/>
  <c r="FC17" s="1"/>
  <c r="FD17" s="1"/>
  <c r="FE17" s="1"/>
  <c r="FF17" s="1"/>
  <c r="AK26"/>
  <c r="EW26"/>
  <c r="EX26" s="1"/>
  <c r="EY26" s="1"/>
  <c r="EZ26" s="1"/>
  <c r="FA26" s="1"/>
  <c r="FB26" s="1"/>
  <c r="FC26" s="1"/>
  <c r="FD26" s="1"/>
  <c r="FE26" s="1"/>
  <c r="FF26" s="1"/>
  <c r="AQ26"/>
  <c r="AL23"/>
  <c r="AM23" s="1"/>
  <c r="AN23"/>
  <c r="AO23" s="1"/>
  <c r="ED23" s="1"/>
  <c r="EW22"/>
  <c r="EX22" s="1"/>
  <c r="EY22" s="1"/>
  <c r="EZ22" s="1"/>
  <c r="FA22" s="1"/>
  <c r="FB22" s="1"/>
  <c r="FC22" s="1"/>
  <c r="FD22" s="1"/>
  <c r="FE22" s="1"/>
  <c r="FF22" s="1"/>
  <c r="AK22"/>
  <c r="AQ22"/>
  <c r="AQ23"/>
  <c r="EW23"/>
  <c r="EX23" s="1"/>
  <c r="EY23" s="1"/>
  <c r="EZ23" s="1"/>
  <c r="FA23" s="1"/>
  <c r="FB23" s="1"/>
  <c r="FC23" s="1"/>
  <c r="FD23" s="1"/>
  <c r="FE23" s="1"/>
  <c r="FF23" s="1"/>
  <c r="AK23"/>
  <c r="AN24"/>
  <c r="AO24" s="1"/>
  <c r="CW24" s="1"/>
  <c r="AL24"/>
  <c r="AO11"/>
  <c r="EP11" s="1"/>
  <c r="AL21"/>
  <c r="AM21" s="1"/>
  <c r="AN21"/>
  <c r="AO21" s="1"/>
  <c r="CW21" s="1"/>
  <c r="AP5"/>
  <c r="AO5"/>
  <c r="AN13"/>
  <c r="AO13" s="1"/>
  <c r="EN13" s="1"/>
  <c r="AL13"/>
  <c r="AR13" s="1"/>
  <c r="AM11"/>
  <c r="AR25"/>
  <c r="AP8"/>
  <c r="AM5"/>
  <c r="AQ11"/>
  <c r="AK11"/>
  <c r="EW11"/>
  <c r="EX11" s="1"/>
  <c r="EY11" s="1"/>
  <c r="EZ11" s="1"/>
  <c r="FA11" s="1"/>
  <c r="FB11" s="1"/>
  <c r="FC11" s="1"/>
  <c r="FD11" s="1"/>
  <c r="FE11" s="1"/>
  <c r="FF11" s="1"/>
  <c r="AL4"/>
  <c r="AN4"/>
  <c r="AO4" s="1"/>
  <c r="AM7"/>
  <c r="AP20"/>
  <c r="AO7"/>
  <c r="AO20"/>
  <c r="DW20" s="1"/>
  <c r="AQ4"/>
  <c r="EW4"/>
  <c r="EX4" s="1"/>
  <c r="EY4" s="1"/>
  <c r="EZ4" s="1"/>
  <c r="FA4" s="1"/>
  <c r="FB4" s="1"/>
  <c r="FC4" s="1"/>
  <c r="FD4" s="1"/>
  <c r="FE4" s="1"/>
  <c r="FF4" s="1"/>
  <c r="AK4"/>
  <c r="EW24"/>
  <c r="EX24" s="1"/>
  <c r="EY24" s="1"/>
  <c r="EZ24" s="1"/>
  <c r="FA24" s="1"/>
  <c r="FB24" s="1"/>
  <c r="FC24" s="1"/>
  <c r="FD24" s="1"/>
  <c r="FE24" s="1"/>
  <c r="FF24" s="1"/>
  <c r="AQ24"/>
  <c r="AK24"/>
  <c r="AQ21"/>
  <c r="AK21"/>
  <c r="EW21"/>
  <c r="EX21" s="1"/>
  <c r="EY21" s="1"/>
  <c r="EZ21" s="1"/>
  <c r="FA21" s="1"/>
  <c r="FB21" s="1"/>
  <c r="FC21" s="1"/>
  <c r="FD21" s="1"/>
  <c r="FE21" s="1"/>
  <c r="FF21" s="1"/>
  <c r="EW13"/>
  <c r="EX13" s="1"/>
  <c r="EY13" s="1"/>
  <c r="EZ13" s="1"/>
  <c r="FA13" s="1"/>
  <c r="FB13" s="1"/>
  <c r="FC13" s="1"/>
  <c r="FD13" s="1"/>
  <c r="FE13" s="1"/>
  <c r="FF13" s="1"/>
  <c r="AQ13"/>
  <c r="AK13"/>
  <c r="EW7"/>
  <c r="EX7" s="1"/>
  <c r="EY7" s="1"/>
  <c r="EZ7" s="1"/>
  <c r="FA7" s="1"/>
  <c r="FB7" s="1"/>
  <c r="FC7" s="1"/>
  <c r="FD7" s="1"/>
  <c r="FE7" s="1"/>
  <c r="FF7" s="1"/>
  <c r="AQ7"/>
  <c r="AK7"/>
  <c r="AQ10"/>
  <c r="AK10"/>
  <c r="EW10"/>
  <c r="EX10" s="1"/>
  <c r="EY10" s="1"/>
  <c r="EZ10" s="1"/>
  <c r="FA10" s="1"/>
  <c r="FB10" s="1"/>
  <c r="FC10" s="1"/>
  <c r="FD10" s="1"/>
  <c r="FE10" s="1"/>
  <c r="FF10" s="1"/>
  <c r="EW27"/>
  <c r="EX27" s="1"/>
  <c r="EY27" s="1"/>
  <c r="EZ27" s="1"/>
  <c r="FA27" s="1"/>
  <c r="FB27" s="1"/>
  <c r="FC27" s="1"/>
  <c r="FD27" s="1"/>
  <c r="FE27" s="1"/>
  <c r="FF27" s="1"/>
  <c r="AQ27"/>
  <c r="AK27"/>
  <c r="AK20"/>
  <c r="EW20"/>
  <c r="EX20" s="1"/>
  <c r="EY20" s="1"/>
  <c r="EZ20" s="1"/>
  <c r="FA20" s="1"/>
  <c r="FB20" s="1"/>
  <c r="FC20" s="1"/>
  <c r="FD20" s="1"/>
  <c r="FE20" s="1"/>
  <c r="FF20" s="1"/>
  <c r="AQ20"/>
  <c r="AP27"/>
  <c r="AQ23" i="1"/>
  <c r="AQ20"/>
  <c r="AQ19"/>
  <c r="AQ17"/>
  <c r="AQ16"/>
  <c r="AQ14"/>
  <c r="AQ13"/>
  <c r="AQ11"/>
  <c r="AQ10"/>
  <c r="AQ9"/>
  <c r="AQ8"/>
  <c r="AQ7"/>
  <c r="AQ6"/>
  <c r="AQ5"/>
  <c r="AQ4"/>
  <c r="AQ27"/>
  <c r="AQ26"/>
  <c r="AQ25"/>
  <c r="AQ24"/>
  <c r="AQ22"/>
  <c r="AQ21"/>
  <c r="AQ15"/>
  <c r="AQ12"/>
  <c r="CK12" i="9" l="1"/>
  <c r="CK11"/>
  <c r="CK27"/>
  <c r="CK10"/>
  <c r="CK26"/>
  <c r="CK25"/>
  <c r="CK24"/>
  <c r="CK23"/>
  <c r="CK22"/>
  <c r="CK21"/>
  <c r="CK20"/>
  <c r="CK19"/>
  <c r="CK18"/>
  <c r="CK17"/>
  <c r="CK13"/>
  <c r="CW12"/>
  <c r="CW22"/>
  <c r="CW25"/>
  <c r="CW26"/>
  <c r="CW17"/>
  <c r="CW23"/>
  <c r="CW11"/>
  <c r="CW20"/>
  <c r="CW13"/>
  <c r="CW18"/>
  <c r="CW19"/>
  <c r="FG16"/>
  <c r="FH16" s="1"/>
  <c r="FI16" s="1"/>
  <c r="FJ16" s="1"/>
  <c r="FK16" s="1"/>
  <c r="FL16" s="1"/>
  <c r="FM16" s="1"/>
  <c r="FN16" s="1"/>
  <c r="FO16" s="1"/>
  <c r="FP16" s="1"/>
  <c r="FQ16" s="1"/>
  <c r="FR16" s="1"/>
  <c r="FS16" s="1"/>
  <c r="FT16" s="1"/>
  <c r="FU16" s="1"/>
  <c r="FV16" s="1"/>
  <c r="FW16" s="1"/>
  <c r="FX16" s="1"/>
  <c r="FY16" s="1"/>
  <c r="FZ16" s="1"/>
  <c r="GA16" s="1"/>
  <c r="GB16" s="1"/>
  <c r="GC16" s="1"/>
  <c r="GD16" s="1"/>
  <c r="GE16" s="1"/>
  <c r="GF16" s="1"/>
  <c r="GG16" s="1"/>
  <c r="GH16" s="1"/>
  <c r="GI16" s="1"/>
  <c r="GJ16" s="1"/>
  <c r="GK16" s="1"/>
  <c r="GL16" s="1"/>
  <c r="GM16" s="1"/>
  <c r="GN16" s="1"/>
  <c r="GO16" s="1"/>
  <c r="GP16" s="1"/>
  <c r="GQ16" s="1"/>
  <c r="GR16" s="1"/>
  <c r="GS16" s="1"/>
  <c r="GT16" s="1"/>
  <c r="GU16" s="1"/>
  <c r="GV16" s="1"/>
  <c r="GW16" s="1"/>
  <c r="GX16" s="1"/>
  <c r="GY16" s="1"/>
  <c r="GZ16" s="1"/>
  <c r="HA16" s="1"/>
  <c r="HB16" s="1"/>
  <c r="HC16" s="1"/>
  <c r="HD16" s="1"/>
  <c r="HE16" s="1"/>
  <c r="HF16" s="1"/>
  <c r="HG16" s="1"/>
  <c r="HH16" s="1"/>
  <c r="HI16" s="1"/>
  <c r="HJ16" s="1"/>
  <c r="HK16" s="1"/>
  <c r="HL16" s="1"/>
  <c r="HM16" s="1"/>
  <c r="HN16" s="1"/>
  <c r="HO16" s="1"/>
  <c r="HP16" s="1"/>
  <c r="HQ16" s="1"/>
  <c r="HR16" s="1"/>
  <c r="HS16" s="1"/>
  <c r="HT16" s="1"/>
  <c r="HU16" s="1"/>
  <c r="HV16" s="1"/>
  <c r="HW16" s="1"/>
  <c r="HX16" s="1"/>
  <c r="HY16" s="1"/>
  <c r="HZ16" s="1"/>
  <c r="IA16" s="1"/>
  <c r="IB16" s="1"/>
  <c r="IC16" s="1"/>
  <c r="ID16" s="1"/>
  <c r="IE16" s="1"/>
  <c r="IF16" s="1"/>
  <c r="IG16" s="1"/>
  <c r="IH16" s="1"/>
  <c r="II16" s="1"/>
  <c r="IJ16" s="1"/>
  <c r="IK16" s="1"/>
  <c r="IL16" s="1"/>
  <c r="IM16" s="1"/>
  <c r="IN16" s="1"/>
  <c r="IO16" s="1"/>
  <c r="IP16" s="1"/>
  <c r="IQ16" s="1"/>
  <c r="IR16" s="1"/>
  <c r="AM4"/>
  <c r="AP4"/>
  <c r="DL19"/>
  <c r="FG13"/>
  <c r="FH13" s="1"/>
  <c r="FI13" s="1"/>
  <c r="FJ13" s="1"/>
  <c r="FK13" s="1"/>
  <c r="FL13" s="1"/>
  <c r="FM13" s="1"/>
  <c r="FN13" s="1"/>
  <c r="FO13" s="1"/>
  <c r="FP13" s="1"/>
  <c r="FQ13" s="1"/>
  <c r="FR13" s="1"/>
  <c r="FS13" s="1"/>
  <c r="FT13" s="1"/>
  <c r="FU13" s="1"/>
  <c r="FV13" s="1"/>
  <c r="FW13" s="1"/>
  <c r="FX13" s="1"/>
  <c r="FY13" s="1"/>
  <c r="FZ13" s="1"/>
  <c r="GA13" s="1"/>
  <c r="GB13" s="1"/>
  <c r="GC13" s="1"/>
  <c r="GD13" s="1"/>
  <c r="GE13" s="1"/>
  <c r="GF13" s="1"/>
  <c r="GG13" s="1"/>
  <c r="GH13" s="1"/>
  <c r="GI13" s="1"/>
  <c r="GJ13" s="1"/>
  <c r="GK13" s="1"/>
  <c r="GL13" s="1"/>
  <c r="GM13" s="1"/>
  <c r="GN13" s="1"/>
  <c r="GO13" s="1"/>
  <c r="GP13" s="1"/>
  <c r="GQ13" s="1"/>
  <c r="GR13" s="1"/>
  <c r="GS13" s="1"/>
  <c r="GT13" s="1"/>
  <c r="GU13" s="1"/>
  <c r="GV13" s="1"/>
  <c r="GW13" s="1"/>
  <c r="GX13" s="1"/>
  <c r="GY13" s="1"/>
  <c r="GZ13" s="1"/>
  <c r="HA13" s="1"/>
  <c r="HB13" s="1"/>
  <c r="HC13" s="1"/>
  <c r="HD13" s="1"/>
  <c r="HE13" s="1"/>
  <c r="HF13" s="1"/>
  <c r="HG13" s="1"/>
  <c r="HH13" s="1"/>
  <c r="HI13" s="1"/>
  <c r="HJ13" s="1"/>
  <c r="HK13" s="1"/>
  <c r="HL13" s="1"/>
  <c r="HM13" s="1"/>
  <c r="HN13" s="1"/>
  <c r="HO13" s="1"/>
  <c r="HP13" s="1"/>
  <c r="HQ13" s="1"/>
  <c r="HR13" s="1"/>
  <c r="HS13" s="1"/>
  <c r="HT13" s="1"/>
  <c r="HU13" s="1"/>
  <c r="HV13" s="1"/>
  <c r="HW13" s="1"/>
  <c r="HX13" s="1"/>
  <c r="HY13" s="1"/>
  <c r="HZ13" s="1"/>
  <c r="IA13" s="1"/>
  <c r="IB13" s="1"/>
  <c r="IC13" s="1"/>
  <c r="ID13" s="1"/>
  <c r="IE13" s="1"/>
  <c r="IF13" s="1"/>
  <c r="IG13" s="1"/>
  <c r="IH13" s="1"/>
  <c r="II13" s="1"/>
  <c r="IJ13" s="1"/>
  <c r="IK13" s="1"/>
  <c r="IL13" s="1"/>
  <c r="IM13" s="1"/>
  <c r="IN13" s="1"/>
  <c r="IO13" s="1"/>
  <c r="IP13" s="1"/>
  <c r="IQ13" s="1"/>
  <c r="IR13" s="1"/>
  <c r="CY22"/>
  <c r="FG18"/>
  <c r="FH18" s="1"/>
  <c r="FI18" s="1"/>
  <c r="FJ18" s="1"/>
  <c r="FK18" s="1"/>
  <c r="FL18" s="1"/>
  <c r="FM18" s="1"/>
  <c r="FN18" s="1"/>
  <c r="FO18" s="1"/>
  <c r="FP18" s="1"/>
  <c r="FQ18" s="1"/>
  <c r="FR18" s="1"/>
  <c r="FS18" s="1"/>
  <c r="FT18" s="1"/>
  <c r="FU18" s="1"/>
  <c r="FV18" s="1"/>
  <c r="FW18" s="1"/>
  <c r="FX18" s="1"/>
  <c r="FY18" s="1"/>
  <c r="FZ18" s="1"/>
  <c r="GA18" s="1"/>
  <c r="GB18" s="1"/>
  <c r="GC18" s="1"/>
  <c r="GD18" s="1"/>
  <c r="GE18" s="1"/>
  <c r="GF18" s="1"/>
  <c r="GG18" s="1"/>
  <c r="GH18" s="1"/>
  <c r="GI18" s="1"/>
  <c r="GJ18" s="1"/>
  <c r="GK18" s="1"/>
  <c r="GL18" s="1"/>
  <c r="GM18" s="1"/>
  <c r="GN18" s="1"/>
  <c r="GO18" s="1"/>
  <c r="GP18" s="1"/>
  <c r="GQ18" s="1"/>
  <c r="GR18" s="1"/>
  <c r="GS18" s="1"/>
  <c r="GT18" s="1"/>
  <c r="GU18" s="1"/>
  <c r="GV18" s="1"/>
  <c r="GW18" s="1"/>
  <c r="GX18" s="1"/>
  <c r="GY18" s="1"/>
  <c r="GZ18" s="1"/>
  <c r="HA18" s="1"/>
  <c r="HB18" s="1"/>
  <c r="HC18" s="1"/>
  <c r="HD18" s="1"/>
  <c r="HE18" s="1"/>
  <c r="HF18" s="1"/>
  <c r="HG18" s="1"/>
  <c r="HH18" s="1"/>
  <c r="HI18" s="1"/>
  <c r="HJ18" s="1"/>
  <c r="HK18" s="1"/>
  <c r="HL18" s="1"/>
  <c r="HM18" s="1"/>
  <c r="HN18" s="1"/>
  <c r="HO18" s="1"/>
  <c r="HP18" s="1"/>
  <c r="HQ18" s="1"/>
  <c r="HR18" s="1"/>
  <c r="HS18" s="1"/>
  <c r="HT18" s="1"/>
  <c r="HU18" s="1"/>
  <c r="HV18" s="1"/>
  <c r="HW18" s="1"/>
  <c r="HX18" s="1"/>
  <c r="HY18" s="1"/>
  <c r="HZ18" s="1"/>
  <c r="IA18" s="1"/>
  <c r="IB18" s="1"/>
  <c r="IC18" s="1"/>
  <c r="ID18" s="1"/>
  <c r="IE18" s="1"/>
  <c r="IF18" s="1"/>
  <c r="IG18" s="1"/>
  <c r="IH18" s="1"/>
  <c r="II18" s="1"/>
  <c r="IJ18" s="1"/>
  <c r="IK18" s="1"/>
  <c r="IL18" s="1"/>
  <c r="IM18" s="1"/>
  <c r="IN18" s="1"/>
  <c r="IO18" s="1"/>
  <c r="IP18" s="1"/>
  <c r="IQ18" s="1"/>
  <c r="IR18" s="1"/>
  <c r="FG25"/>
  <c r="FH25" s="1"/>
  <c r="FI25" s="1"/>
  <c r="FJ25" s="1"/>
  <c r="FK25" s="1"/>
  <c r="FL25" s="1"/>
  <c r="FM25" s="1"/>
  <c r="FN25" s="1"/>
  <c r="FO25" s="1"/>
  <c r="FP25" s="1"/>
  <c r="FQ25" s="1"/>
  <c r="FR25" s="1"/>
  <c r="FS25" s="1"/>
  <c r="FT25" s="1"/>
  <c r="FU25" s="1"/>
  <c r="FV25" s="1"/>
  <c r="FW25" s="1"/>
  <c r="FX25" s="1"/>
  <c r="FY25" s="1"/>
  <c r="FZ25" s="1"/>
  <c r="GA25" s="1"/>
  <c r="GB25" s="1"/>
  <c r="GC25" s="1"/>
  <c r="GD25" s="1"/>
  <c r="GE25" s="1"/>
  <c r="GF25" s="1"/>
  <c r="GG25" s="1"/>
  <c r="GH25" s="1"/>
  <c r="GI25" s="1"/>
  <c r="GJ25" s="1"/>
  <c r="GK25" s="1"/>
  <c r="GL25" s="1"/>
  <c r="GM25" s="1"/>
  <c r="GN25" s="1"/>
  <c r="GO25" s="1"/>
  <c r="GP25" s="1"/>
  <c r="GQ25" s="1"/>
  <c r="GR25" s="1"/>
  <c r="GS25" s="1"/>
  <c r="GT25" s="1"/>
  <c r="GU25" s="1"/>
  <c r="GV25" s="1"/>
  <c r="GW25" s="1"/>
  <c r="GX25" s="1"/>
  <c r="GY25" s="1"/>
  <c r="GZ25" s="1"/>
  <c r="HA25" s="1"/>
  <c r="HB25" s="1"/>
  <c r="HC25" s="1"/>
  <c r="HD25" s="1"/>
  <c r="HE25" s="1"/>
  <c r="HF25" s="1"/>
  <c r="HG25" s="1"/>
  <c r="HH25" s="1"/>
  <c r="HI25" s="1"/>
  <c r="HJ25" s="1"/>
  <c r="HK25" s="1"/>
  <c r="HL25" s="1"/>
  <c r="HM25" s="1"/>
  <c r="HN25" s="1"/>
  <c r="HO25" s="1"/>
  <c r="HP25" s="1"/>
  <c r="HQ25" s="1"/>
  <c r="HR25" s="1"/>
  <c r="HS25" s="1"/>
  <c r="HT25" s="1"/>
  <c r="HU25" s="1"/>
  <c r="HV25" s="1"/>
  <c r="HW25" s="1"/>
  <c r="HX25" s="1"/>
  <c r="HY25" s="1"/>
  <c r="HZ25" s="1"/>
  <c r="IA25" s="1"/>
  <c r="IB25" s="1"/>
  <c r="IC25" s="1"/>
  <c r="ID25" s="1"/>
  <c r="IE25" s="1"/>
  <c r="IF25" s="1"/>
  <c r="IG25" s="1"/>
  <c r="IH25" s="1"/>
  <c r="II25" s="1"/>
  <c r="IJ25" s="1"/>
  <c r="IK25" s="1"/>
  <c r="IL25" s="1"/>
  <c r="IM25" s="1"/>
  <c r="IN25" s="1"/>
  <c r="IO25" s="1"/>
  <c r="IP25" s="1"/>
  <c r="IQ25" s="1"/>
  <c r="IR25" s="1"/>
  <c r="FG17"/>
  <c r="FH17" s="1"/>
  <c r="FI17" s="1"/>
  <c r="FJ17" s="1"/>
  <c r="FK17" s="1"/>
  <c r="FL17" s="1"/>
  <c r="FM17" s="1"/>
  <c r="FN17" s="1"/>
  <c r="FO17" s="1"/>
  <c r="FP17" s="1"/>
  <c r="FQ17" s="1"/>
  <c r="FR17" s="1"/>
  <c r="FS17" s="1"/>
  <c r="FT17" s="1"/>
  <c r="FU17" s="1"/>
  <c r="FV17" s="1"/>
  <c r="FW17" s="1"/>
  <c r="FX17" s="1"/>
  <c r="FY17" s="1"/>
  <c r="FZ17" s="1"/>
  <c r="GA17" s="1"/>
  <c r="GB17" s="1"/>
  <c r="GC17" s="1"/>
  <c r="GD17" s="1"/>
  <c r="GE17" s="1"/>
  <c r="GF17" s="1"/>
  <c r="GG17" s="1"/>
  <c r="GH17" s="1"/>
  <c r="GI17" s="1"/>
  <c r="GJ17" s="1"/>
  <c r="GK17" s="1"/>
  <c r="GL17" s="1"/>
  <c r="GM17" s="1"/>
  <c r="GN17" s="1"/>
  <c r="GO17" s="1"/>
  <c r="GP17" s="1"/>
  <c r="GQ17" s="1"/>
  <c r="GR17" s="1"/>
  <c r="GS17" s="1"/>
  <c r="GT17" s="1"/>
  <c r="GU17" s="1"/>
  <c r="GV17" s="1"/>
  <c r="GW17" s="1"/>
  <c r="GX17" s="1"/>
  <c r="GY17" s="1"/>
  <c r="GZ17" s="1"/>
  <c r="HA17" s="1"/>
  <c r="HB17" s="1"/>
  <c r="HC17" s="1"/>
  <c r="HD17" s="1"/>
  <c r="HE17" s="1"/>
  <c r="HF17" s="1"/>
  <c r="HG17" s="1"/>
  <c r="HH17" s="1"/>
  <c r="HI17" s="1"/>
  <c r="HJ17" s="1"/>
  <c r="HK17" s="1"/>
  <c r="HL17" s="1"/>
  <c r="HM17" s="1"/>
  <c r="HN17" s="1"/>
  <c r="HO17" s="1"/>
  <c r="HP17" s="1"/>
  <c r="HQ17" s="1"/>
  <c r="HR17" s="1"/>
  <c r="HS17" s="1"/>
  <c r="HT17" s="1"/>
  <c r="HU17" s="1"/>
  <c r="HV17" s="1"/>
  <c r="HW17" s="1"/>
  <c r="HX17" s="1"/>
  <c r="HY17" s="1"/>
  <c r="HZ17" s="1"/>
  <c r="IA17" s="1"/>
  <c r="IB17" s="1"/>
  <c r="IC17" s="1"/>
  <c r="ID17" s="1"/>
  <c r="IE17" s="1"/>
  <c r="IF17" s="1"/>
  <c r="IG17" s="1"/>
  <c r="IH17" s="1"/>
  <c r="II17" s="1"/>
  <c r="IJ17" s="1"/>
  <c r="IK17" s="1"/>
  <c r="IL17" s="1"/>
  <c r="IM17" s="1"/>
  <c r="IN17" s="1"/>
  <c r="IO17" s="1"/>
  <c r="IP17" s="1"/>
  <c r="IQ17" s="1"/>
  <c r="IR17" s="1"/>
  <c r="FG26"/>
  <c r="FH26" s="1"/>
  <c r="FI26" s="1"/>
  <c r="FJ26" s="1"/>
  <c r="FK26" s="1"/>
  <c r="FL26" s="1"/>
  <c r="FM26" s="1"/>
  <c r="FN26" s="1"/>
  <c r="FO26" s="1"/>
  <c r="FP26" s="1"/>
  <c r="FQ26" s="1"/>
  <c r="FR26" s="1"/>
  <c r="FS26" s="1"/>
  <c r="FT26" s="1"/>
  <c r="FU26" s="1"/>
  <c r="FV26" s="1"/>
  <c r="FW26" s="1"/>
  <c r="FX26" s="1"/>
  <c r="FY26" s="1"/>
  <c r="FZ26" s="1"/>
  <c r="GA26" s="1"/>
  <c r="GB26" s="1"/>
  <c r="GC26" s="1"/>
  <c r="GD26" s="1"/>
  <c r="GE26" s="1"/>
  <c r="GF26" s="1"/>
  <c r="GG26" s="1"/>
  <c r="GH26" s="1"/>
  <c r="GI26" s="1"/>
  <c r="GJ26" s="1"/>
  <c r="GK26" s="1"/>
  <c r="GL26" s="1"/>
  <c r="GM26" s="1"/>
  <c r="GN26" s="1"/>
  <c r="GO26" s="1"/>
  <c r="GP26" s="1"/>
  <c r="GQ26" s="1"/>
  <c r="GR26" s="1"/>
  <c r="GS26" s="1"/>
  <c r="GT26" s="1"/>
  <c r="GU26" s="1"/>
  <c r="GV26" s="1"/>
  <c r="GW26" s="1"/>
  <c r="GX26" s="1"/>
  <c r="GY26" s="1"/>
  <c r="GZ26" s="1"/>
  <c r="HA26" s="1"/>
  <c r="HB26" s="1"/>
  <c r="HC26" s="1"/>
  <c r="HD26" s="1"/>
  <c r="HE26" s="1"/>
  <c r="HF26" s="1"/>
  <c r="HG26" s="1"/>
  <c r="HH26" s="1"/>
  <c r="HI26" s="1"/>
  <c r="HJ26" s="1"/>
  <c r="HK26" s="1"/>
  <c r="HL26" s="1"/>
  <c r="HM26" s="1"/>
  <c r="HN26" s="1"/>
  <c r="HO26" s="1"/>
  <c r="HP26" s="1"/>
  <c r="HQ26" s="1"/>
  <c r="HR26" s="1"/>
  <c r="HS26" s="1"/>
  <c r="HT26" s="1"/>
  <c r="HU26" s="1"/>
  <c r="HV26" s="1"/>
  <c r="HW26" s="1"/>
  <c r="HX26" s="1"/>
  <c r="HY26" s="1"/>
  <c r="HZ26" s="1"/>
  <c r="IA26" s="1"/>
  <c r="IB26" s="1"/>
  <c r="IC26" s="1"/>
  <c r="ID26" s="1"/>
  <c r="IE26" s="1"/>
  <c r="IF26" s="1"/>
  <c r="IG26" s="1"/>
  <c r="IH26" s="1"/>
  <c r="II26" s="1"/>
  <c r="IJ26" s="1"/>
  <c r="IK26" s="1"/>
  <c r="IL26" s="1"/>
  <c r="IM26" s="1"/>
  <c r="IN26" s="1"/>
  <c r="IO26" s="1"/>
  <c r="IP26" s="1"/>
  <c r="IQ26" s="1"/>
  <c r="IR26" s="1"/>
  <c r="FG9"/>
  <c r="FH9" s="1"/>
  <c r="FI9" s="1"/>
  <c r="FJ9" s="1"/>
  <c r="FK9" s="1"/>
  <c r="FL9" s="1"/>
  <c r="FM9" s="1"/>
  <c r="FN9" s="1"/>
  <c r="FO9" s="1"/>
  <c r="FP9" s="1"/>
  <c r="FQ9" s="1"/>
  <c r="FR9" s="1"/>
  <c r="FS9" s="1"/>
  <c r="FT9" s="1"/>
  <c r="FU9" s="1"/>
  <c r="FV9" s="1"/>
  <c r="FW9" s="1"/>
  <c r="FX9" s="1"/>
  <c r="FY9" s="1"/>
  <c r="FZ9" s="1"/>
  <c r="GA9" s="1"/>
  <c r="GB9" s="1"/>
  <c r="GC9" s="1"/>
  <c r="GD9" s="1"/>
  <c r="GE9" s="1"/>
  <c r="GF9" s="1"/>
  <c r="GG9" s="1"/>
  <c r="GH9" s="1"/>
  <c r="GI9" s="1"/>
  <c r="GJ9" s="1"/>
  <c r="GK9" s="1"/>
  <c r="GL9" s="1"/>
  <c r="GM9" s="1"/>
  <c r="GN9" s="1"/>
  <c r="GO9" s="1"/>
  <c r="GP9" s="1"/>
  <c r="GQ9" s="1"/>
  <c r="GR9" s="1"/>
  <c r="GS9" s="1"/>
  <c r="GT9" s="1"/>
  <c r="GU9" s="1"/>
  <c r="GV9" s="1"/>
  <c r="GW9" s="1"/>
  <c r="GX9" s="1"/>
  <c r="GY9" s="1"/>
  <c r="GZ9" s="1"/>
  <c r="HA9" s="1"/>
  <c r="HB9" s="1"/>
  <c r="HC9" s="1"/>
  <c r="HD9" s="1"/>
  <c r="HE9" s="1"/>
  <c r="HF9" s="1"/>
  <c r="HG9" s="1"/>
  <c r="HH9" s="1"/>
  <c r="HI9" s="1"/>
  <c r="HJ9" s="1"/>
  <c r="HK9" s="1"/>
  <c r="HL9" s="1"/>
  <c r="HM9" s="1"/>
  <c r="HN9" s="1"/>
  <c r="HO9" s="1"/>
  <c r="HP9" s="1"/>
  <c r="HQ9" s="1"/>
  <c r="HR9" s="1"/>
  <c r="HS9" s="1"/>
  <c r="HT9" s="1"/>
  <c r="HU9" s="1"/>
  <c r="HV9" s="1"/>
  <c r="HW9" s="1"/>
  <c r="HX9" s="1"/>
  <c r="HY9" s="1"/>
  <c r="HZ9" s="1"/>
  <c r="IA9" s="1"/>
  <c r="IB9" s="1"/>
  <c r="IC9" s="1"/>
  <c r="ID9" s="1"/>
  <c r="IE9" s="1"/>
  <c r="IF9" s="1"/>
  <c r="IG9" s="1"/>
  <c r="IH9" s="1"/>
  <c r="II9" s="1"/>
  <c r="IJ9" s="1"/>
  <c r="IK9" s="1"/>
  <c r="IL9" s="1"/>
  <c r="IM9" s="1"/>
  <c r="IN9" s="1"/>
  <c r="IO9" s="1"/>
  <c r="IP9" s="1"/>
  <c r="IQ9" s="1"/>
  <c r="IR9" s="1"/>
  <c r="FG4"/>
  <c r="FH4" s="1"/>
  <c r="FI4" s="1"/>
  <c r="FJ4" s="1"/>
  <c r="FK4" s="1"/>
  <c r="FL4" s="1"/>
  <c r="FM4" s="1"/>
  <c r="FN4" s="1"/>
  <c r="FO4" s="1"/>
  <c r="FP4" s="1"/>
  <c r="FQ4" s="1"/>
  <c r="FR4" s="1"/>
  <c r="FS4" s="1"/>
  <c r="FT4" s="1"/>
  <c r="FU4" s="1"/>
  <c r="FV4" s="1"/>
  <c r="FW4" s="1"/>
  <c r="FX4" s="1"/>
  <c r="FY4" s="1"/>
  <c r="FZ4" s="1"/>
  <c r="GA4" s="1"/>
  <c r="GB4" s="1"/>
  <c r="GC4" s="1"/>
  <c r="GD4" s="1"/>
  <c r="GE4" s="1"/>
  <c r="GF4" s="1"/>
  <c r="GG4" s="1"/>
  <c r="GH4" s="1"/>
  <c r="GI4" s="1"/>
  <c r="GJ4" s="1"/>
  <c r="GK4" s="1"/>
  <c r="GL4" s="1"/>
  <c r="GM4" s="1"/>
  <c r="GN4" s="1"/>
  <c r="GO4" s="1"/>
  <c r="GP4" s="1"/>
  <c r="GQ4" s="1"/>
  <c r="GR4" s="1"/>
  <c r="GS4" s="1"/>
  <c r="GT4" s="1"/>
  <c r="GU4" s="1"/>
  <c r="GV4" s="1"/>
  <c r="GW4" s="1"/>
  <c r="GX4" s="1"/>
  <c r="GY4" s="1"/>
  <c r="GZ4" s="1"/>
  <c r="HA4" s="1"/>
  <c r="HB4" s="1"/>
  <c r="HC4" s="1"/>
  <c r="HD4" s="1"/>
  <c r="HE4" s="1"/>
  <c r="HF4" s="1"/>
  <c r="HG4" s="1"/>
  <c r="HH4" s="1"/>
  <c r="HI4" s="1"/>
  <c r="HJ4" s="1"/>
  <c r="HK4" s="1"/>
  <c r="HL4" s="1"/>
  <c r="HM4" s="1"/>
  <c r="HN4" s="1"/>
  <c r="HO4" s="1"/>
  <c r="HP4" s="1"/>
  <c r="HQ4" s="1"/>
  <c r="HR4" s="1"/>
  <c r="HS4" s="1"/>
  <c r="HT4" s="1"/>
  <c r="HU4" s="1"/>
  <c r="HV4" s="1"/>
  <c r="HW4" s="1"/>
  <c r="HX4" s="1"/>
  <c r="HY4" s="1"/>
  <c r="HZ4" s="1"/>
  <c r="IA4" s="1"/>
  <c r="IB4" s="1"/>
  <c r="IC4" s="1"/>
  <c r="ID4" s="1"/>
  <c r="IE4" s="1"/>
  <c r="IF4" s="1"/>
  <c r="IG4" s="1"/>
  <c r="IH4" s="1"/>
  <c r="II4" s="1"/>
  <c r="IJ4" s="1"/>
  <c r="IK4" s="1"/>
  <c r="IL4" s="1"/>
  <c r="IM4" s="1"/>
  <c r="IN4" s="1"/>
  <c r="IO4" s="1"/>
  <c r="IP4" s="1"/>
  <c r="IQ4" s="1"/>
  <c r="IR4" s="1"/>
  <c r="FG7"/>
  <c r="FH7" s="1"/>
  <c r="FI7" s="1"/>
  <c r="FJ7" s="1"/>
  <c r="FK7" s="1"/>
  <c r="FL7" s="1"/>
  <c r="FM7" s="1"/>
  <c r="FN7" s="1"/>
  <c r="FO7" s="1"/>
  <c r="FP7" s="1"/>
  <c r="FQ7" s="1"/>
  <c r="FR7" s="1"/>
  <c r="FS7" s="1"/>
  <c r="FT7" s="1"/>
  <c r="FU7" s="1"/>
  <c r="FV7" s="1"/>
  <c r="FW7" s="1"/>
  <c r="FX7" s="1"/>
  <c r="FY7" s="1"/>
  <c r="FZ7" s="1"/>
  <c r="GA7" s="1"/>
  <c r="GB7" s="1"/>
  <c r="GC7" s="1"/>
  <c r="GD7" s="1"/>
  <c r="GE7" s="1"/>
  <c r="GF7" s="1"/>
  <c r="GG7" s="1"/>
  <c r="GH7" s="1"/>
  <c r="GI7" s="1"/>
  <c r="GJ7" s="1"/>
  <c r="GK7" s="1"/>
  <c r="GL7" s="1"/>
  <c r="GM7" s="1"/>
  <c r="GN7" s="1"/>
  <c r="GO7" s="1"/>
  <c r="GP7" s="1"/>
  <c r="GQ7" s="1"/>
  <c r="GR7" s="1"/>
  <c r="GS7" s="1"/>
  <c r="GT7" s="1"/>
  <c r="GU7" s="1"/>
  <c r="GV7" s="1"/>
  <c r="GW7" s="1"/>
  <c r="GX7" s="1"/>
  <c r="GY7" s="1"/>
  <c r="GZ7" s="1"/>
  <c r="HA7" s="1"/>
  <c r="HB7" s="1"/>
  <c r="HC7" s="1"/>
  <c r="HD7" s="1"/>
  <c r="HE7" s="1"/>
  <c r="HF7" s="1"/>
  <c r="HG7" s="1"/>
  <c r="HH7" s="1"/>
  <c r="HI7" s="1"/>
  <c r="HJ7" s="1"/>
  <c r="HK7" s="1"/>
  <c r="HL7" s="1"/>
  <c r="HM7" s="1"/>
  <c r="HN7" s="1"/>
  <c r="HO7" s="1"/>
  <c r="HP7" s="1"/>
  <c r="HQ7" s="1"/>
  <c r="HR7" s="1"/>
  <c r="HS7" s="1"/>
  <c r="HT7" s="1"/>
  <c r="HU7" s="1"/>
  <c r="HV7" s="1"/>
  <c r="HW7" s="1"/>
  <c r="HX7" s="1"/>
  <c r="HY7" s="1"/>
  <c r="HZ7" s="1"/>
  <c r="IA7" s="1"/>
  <c r="IB7" s="1"/>
  <c r="IC7" s="1"/>
  <c r="ID7" s="1"/>
  <c r="IE7" s="1"/>
  <c r="IF7" s="1"/>
  <c r="IG7" s="1"/>
  <c r="IH7" s="1"/>
  <c r="II7" s="1"/>
  <c r="IJ7" s="1"/>
  <c r="IK7" s="1"/>
  <c r="IL7" s="1"/>
  <c r="IM7" s="1"/>
  <c r="IN7" s="1"/>
  <c r="IO7" s="1"/>
  <c r="IP7" s="1"/>
  <c r="IQ7" s="1"/>
  <c r="IR7" s="1"/>
  <c r="FG27"/>
  <c r="FH27" s="1"/>
  <c r="FI27" s="1"/>
  <c r="FJ27" s="1"/>
  <c r="FK27" s="1"/>
  <c r="FL27" s="1"/>
  <c r="FM27" s="1"/>
  <c r="FN27" s="1"/>
  <c r="FO27" s="1"/>
  <c r="FP27" s="1"/>
  <c r="FQ27" s="1"/>
  <c r="FR27" s="1"/>
  <c r="FS27" s="1"/>
  <c r="FT27" s="1"/>
  <c r="FU27" s="1"/>
  <c r="FV27" s="1"/>
  <c r="FW27" s="1"/>
  <c r="FX27" s="1"/>
  <c r="FY27" s="1"/>
  <c r="FZ27" s="1"/>
  <c r="GA27" s="1"/>
  <c r="GB27" s="1"/>
  <c r="GC27" s="1"/>
  <c r="GD27" s="1"/>
  <c r="GE27" s="1"/>
  <c r="GF27" s="1"/>
  <c r="GG27" s="1"/>
  <c r="GH27" s="1"/>
  <c r="GI27" s="1"/>
  <c r="GJ27" s="1"/>
  <c r="GK27" s="1"/>
  <c r="GL27" s="1"/>
  <c r="GM27" s="1"/>
  <c r="GN27" s="1"/>
  <c r="GO27" s="1"/>
  <c r="GP27" s="1"/>
  <c r="GQ27" s="1"/>
  <c r="GR27" s="1"/>
  <c r="GS27" s="1"/>
  <c r="GT27" s="1"/>
  <c r="GU27" s="1"/>
  <c r="GV27" s="1"/>
  <c r="GW27" s="1"/>
  <c r="GX27" s="1"/>
  <c r="GY27" s="1"/>
  <c r="GZ27" s="1"/>
  <c r="HA27" s="1"/>
  <c r="HB27" s="1"/>
  <c r="HC27" s="1"/>
  <c r="HD27" s="1"/>
  <c r="HE27" s="1"/>
  <c r="HF27" s="1"/>
  <c r="HG27" s="1"/>
  <c r="HH27" s="1"/>
  <c r="HI27" s="1"/>
  <c r="HJ27" s="1"/>
  <c r="HK27" s="1"/>
  <c r="HL27" s="1"/>
  <c r="HM27" s="1"/>
  <c r="HN27" s="1"/>
  <c r="HO27" s="1"/>
  <c r="HP27" s="1"/>
  <c r="HQ27" s="1"/>
  <c r="HR27" s="1"/>
  <c r="HS27" s="1"/>
  <c r="HT27" s="1"/>
  <c r="HU27" s="1"/>
  <c r="HV27" s="1"/>
  <c r="HW27" s="1"/>
  <c r="HX27" s="1"/>
  <c r="HY27" s="1"/>
  <c r="HZ27" s="1"/>
  <c r="IA27" s="1"/>
  <c r="IB27" s="1"/>
  <c r="IC27" s="1"/>
  <c r="ID27" s="1"/>
  <c r="IE27" s="1"/>
  <c r="IF27" s="1"/>
  <c r="IG27" s="1"/>
  <c r="IH27" s="1"/>
  <c r="II27" s="1"/>
  <c r="IJ27" s="1"/>
  <c r="IK27" s="1"/>
  <c r="IL27" s="1"/>
  <c r="IM27" s="1"/>
  <c r="IN27" s="1"/>
  <c r="IO27" s="1"/>
  <c r="IP27" s="1"/>
  <c r="IQ27" s="1"/>
  <c r="IR27" s="1"/>
  <c r="FG10"/>
  <c r="FH10" s="1"/>
  <c r="FI10" s="1"/>
  <c r="FJ10" s="1"/>
  <c r="FK10" s="1"/>
  <c r="FL10" s="1"/>
  <c r="FM10" s="1"/>
  <c r="FN10" s="1"/>
  <c r="FO10" s="1"/>
  <c r="FP10" s="1"/>
  <c r="FQ10" s="1"/>
  <c r="FR10" s="1"/>
  <c r="FS10" s="1"/>
  <c r="FT10" s="1"/>
  <c r="FU10" s="1"/>
  <c r="FV10" s="1"/>
  <c r="FW10" s="1"/>
  <c r="FX10" s="1"/>
  <c r="FY10" s="1"/>
  <c r="FZ10" s="1"/>
  <c r="GA10" s="1"/>
  <c r="GB10" s="1"/>
  <c r="GC10" s="1"/>
  <c r="GD10" s="1"/>
  <c r="GE10" s="1"/>
  <c r="GF10" s="1"/>
  <c r="GG10" s="1"/>
  <c r="GH10" s="1"/>
  <c r="GI10" s="1"/>
  <c r="GJ10" s="1"/>
  <c r="GK10" s="1"/>
  <c r="GL10" s="1"/>
  <c r="GM10" s="1"/>
  <c r="GN10" s="1"/>
  <c r="GO10" s="1"/>
  <c r="GP10" s="1"/>
  <c r="GQ10" s="1"/>
  <c r="GR10" s="1"/>
  <c r="GS10" s="1"/>
  <c r="GT10" s="1"/>
  <c r="GU10" s="1"/>
  <c r="GV10" s="1"/>
  <c r="GW10" s="1"/>
  <c r="GX10" s="1"/>
  <c r="GY10" s="1"/>
  <c r="GZ10" s="1"/>
  <c r="HA10" s="1"/>
  <c r="HB10" s="1"/>
  <c r="HC10" s="1"/>
  <c r="HD10" s="1"/>
  <c r="HE10" s="1"/>
  <c r="HF10" s="1"/>
  <c r="HG10" s="1"/>
  <c r="HH10" s="1"/>
  <c r="HI10" s="1"/>
  <c r="HJ10" s="1"/>
  <c r="HK10" s="1"/>
  <c r="HL10" s="1"/>
  <c r="HM10" s="1"/>
  <c r="HN10" s="1"/>
  <c r="HO10" s="1"/>
  <c r="HP10" s="1"/>
  <c r="HQ10" s="1"/>
  <c r="HR10" s="1"/>
  <c r="HS10" s="1"/>
  <c r="HT10" s="1"/>
  <c r="HU10" s="1"/>
  <c r="HV10" s="1"/>
  <c r="HW10" s="1"/>
  <c r="HX10" s="1"/>
  <c r="HY10" s="1"/>
  <c r="HZ10" s="1"/>
  <c r="IA10" s="1"/>
  <c r="IB10" s="1"/>
  <c r="IC10" s="1"/>
  <c r="ID10" s="1"/>
  <c r="IE10" s="1"/>
  <c r="IF10" s="1"/>
  <c r="IG10" s="1"/>
  <c r="IH10" s="1"/>
  <c r="II10" s="1"/>
  <c r="IJ10" s="1"/>
  <c r="IK10" s="1"/>
  <c r="IL10" s="1"/>
  <c r="IM10" s="1"/>
  <c r="IN10" s="1"/>
  <c r="IO10" s="1"/>
  <c r="FG22"/>
  <c r="FH22" s="1"/>
  <c r="FI22" s="1"/>
  <c r="FJ22" s="1"/>
  <c r="FK22" s="1"/>
  <c r="FL22" s="1"/>
  <c r="FM22" s="1"/>
  <c r="FN22" s="1"/>
  <c r="FO22" s="1"/>
  <c r="FP22" s="1"/>
  <c r="FQ22" s="1"/>
  <c r="FR22" s="1"/>
  <c r="FS22" s="1"/>
  <c r="FT22" s="1"/>
  <c r="FU22" s="1"/>
  <c r="FV22" s="1"/>
  <c r="FW22" s="1"/>
  <c r="FX22" s="1"/>
  <c r="FY22" s="1"/>
  <c r="FZ22" s="1"/>
  <c r="GA22" s="1"/>
  <c r="GB22" s="1"/>
  <c r="GC22" s="1"/>
  <c r="GD22" s="1"/>
  <c r="GE22" s="1"/>
  <c r="GF22" s="1"/>
  <c r="GG22" s="1"/>
  <c r="GH22" s="1"/>
  <c r="GI22" s="1"/>
  <c r="GJ22" s="1"/>
  <c r="GK22" s="1"/>
  <c r="GL22" s="1"/>
  <c r="GM22" s="1"/>
  <c r="GN22" s="1"/>
  <c r="GO22" s="1"/>
  <c r="GP22" s="1"/>
  <c r="GQ22" s="1"/>
  <c r="GR22" s="1"/>
  <c r="GS22" s="1"/>
  <c r="GT22" s="1"/>
  <c r="GU22" s="1"/>
  <c r="GV22" s="1"/>
  <c r="GW22" s="1"/>
  <c r="GX22" s="1"/>
  <c r="GY22" s="1"/>
  <c r="GZ22" s="1"/>
  <c r="HA22" s="1"/>
  <c r="HB22" s="1"/>
  <c r="HC22" s="1"/>
  <c r="HD22" s="1"/>
  <c r="HE22" s="1"/>
  <c r="HF22" s="1"/>
  <c r="HG22" s="1"/>
  <c r="HH22" s="1"/>
  <c r="HI22" s="1"/>
  <c r="HJ22" s="1"/>
  <c r="HK22" s="1"/>
  <c r="HL22" s="1"/>
  <c r="HM22" s="1"/>
  <c r="HN22" s="1"/>
  <c r="HO22" s="1"/>
  <c r="HP22" s="1"/>
  <c r="HQ22" s="1"/>
  <c r="HR22" s="1"/>
  <c r="HS22" s="1"/>
  <c r="HT22" s="1"/>
  <c r="HU22" s="1"/>
  <c r="HV22" s="1"/>
  <c r="HW22" s="1"/>
  <c r="HX22" s="1"/>
  <c r="HY22" s="1"/>
  <c r="HZ22" s="1"/>
  <c r="IA22" s="1"/>
  <c r="IB22" s="1"/>
  <c r="IC22" s="1"/>
  <c r="ID22" s="1"/>
  <c r="IE22" s="1"/>
  <c r="IF22" s="1"/>
  <c r="IG22" s="1"/>
  <c r="IH22" s="1"/>
  <c r="II22" s="1"/>
  <c r="IJ22" s="1"/>
  <c r="IK22" s="1"/>
  <c r="IL22" s="1"/>
  <c r="IM22" s="1"/>
  <c r="IN22" s="1"/>
  <c r="IO22" s="1"/>
  <c r="IP22" s="1"/>
  <c r="IQ22" s="1"/>
  <c r="IR22" s="1"/>
  <c r="FG8"/>
  <c r="FH8" s="1"/>
  <c r="FI8" s="1"/>
  <c r="FJ8" s="1"/>
  <c r="FK8" s="1"/>
  <c r="FL8" s="1"/>
  <c r="FM8" s="1"/>
  <c r="FN8" s="1"/>
  <c r="FO8" s="1"/>
  <c r="FP8" s="1"/>
  <c r="FQ8" s="1"/>
  <c r="FR8" s="1"/>
  <c r="FS8" s="1"/>
  <c r="FT8" s="1"/>
  <c r="FU8" s="1"/>
  <c r="FV8" s="1"/>
  <c r="FW8" s="1"/>
  <c r="FX8" s="1"/>
  <c r="FY8" s="1"/>
  <c r="FZ8" s="1"/>
  <c r="GA8" s="1"/>
  <c r="GB8" s="1"/>
  <c r="GC8" s="1"/>
  <c r="GD8" s="1"/>
  <c r="GE8" s="1"/>
  <c r="GF8" s="1"/>
  <c r="GG8" s="1"/>
  <c r="GH8" s="1"/>
  <c r="GI8" s="1"/>
  <c r="GJ8" s="1"/>
  <c r="GK8" s="1"/>
  <c r="GL8" s="1"/>
  <c r="GM8" s="1"/>
  <c r="GN8" s="1"/>
  <c r="GO8" s="1"/>
  <c r="GP8" s="1"/>
  <c r="GQ8" s="1"/>
  <c r="GR8" s="1"/>
  <c r="GS8" s="1"/>
  <c r="GT8" s="1"/>
  <c r="GU8" s="1"/>
  <c r="GV8" s="1"/>
  <c r="GW8" s="1"/>
  <c r="GX8" s="1"/>
  <c r="GY8" s="1"/>
  <c r="GZ8" s="1"/>
  <c r="HA8" s="1"/>
  <c r="HB8" s="1"/>
  <c r="HC8" s="1"/>
  <c r="HD8" s="1"/>
  <c r="HE8" s="1"/>
  <c r="HF8" s="1"/>
  <c r="HG8" s="1"/>
  <c r="HH8" s="1"/>
  <c r="HI8" s="1"/>
  <c r="HJ8" s="1"/>
  <c r="HK8" s="1"/>
  <c r="HL8" s="1"/>
  <c r="HM8" s="1"/>
  <c r="HN8" s="1"/>
  <c r="HO8" s="1"/>
  <c r="HP8" s="1"/>
  <c r="HQ8" s="1"/>
  <c r="HR8" s="1"/>
  <c r="HS8" s="1"/>
  <c r="HT8" s="1"/>
  <c r="HU8" s="1"/>
  <c r="HV8" s="1"/>
  <c r="HW8" s="1"/>
  <c r="HX8" s="1"/>
  <c r="HY8" s="1"/>
  <c r="HZ8" s="1"/>
  <c r="IA8" s="1"/>
  <c r="IB8" s="1"/>
  <c r="IC8" s="1"/>
  <c r="ID8" s="1"/>
  <c r="IE8" s="1"/>
  <c r="IF8" s="1"/>
  <c r="IG8" s="1"/>
  <c r="IH8" s="1"/>
  <c r="II8" s="1"/>
  <c r="IJ8" s="1"/>
  <c r="IK8" s="1"/>
  <c r="IL8" s="1"/>
  <c r="IM8" s="1"/>
  <c r="IN8" s="1"/>
  <c r="IO8" s="1"/>
  <c r="IP8" s="1"/>
  <c r="IQ8" s="1"/>
  <c r="IR8" s="1"/>
  <c r="FG24"/>
  <c r="FH24" s="1"/>
  <c r="FI24" s="1"/>
  <c r="FJ24" s="1"/>
  <c r="FK24" s="1"/>
  <c r="FL24" s="1"/>
  <c r="FM24" s="1"/>
  <c r="FN24" s="1"/>
  <c r="FO24" s="1"/>
  <c r="FP24" s="1"/>
  <c r="FQ24" s="1"/>
  <c r="FR24" s="1"/>
  <c r="FS24" s="1"/>
  <c r="FT24" s="1"/>
  <c r="FU24" s="1"/>
  <c r="FV24" s="1"/>
  <c r="FW24" s="1"/>
  <c r="FX24" s="1"/>
  <c r="FY24" s="1"/>
  <c r="FZ24" s="1"/>
  <c r="GA24" s="1"/>
  <c r="GB24" s="1"/>
  <c r="GC24" s="1"/>
  <c r="GD24" s="1"/>
  <c r="GE24" s="1"/>
  <c r="GF24" s="1"/>
  <c r="GG24" s="1"/>
  <c r="GH24" s="1"/>
  <c r="GI24" s="1"/>
  <c r="GJ24" s="1"/>
  <c r="GK24" s="1"/>
  <c r="GL24" s="1"/>
  <c r="GM24" s="1"/>
  <c r="GN24" s="1"/>
  <c r="GO24" s="1"/>
  <c r="GP24" s="1"/>
  <c r="GQ24" s="1"/>
  <c r="GR24" s="1"/>
  <c r="GS24" s="1"/>
  <c r="GT24" s="1"/>
  <c r="GU24" s="1"/>
  <c r="GV24" s="1"/>
  <c r="GW24" s="1"/>
  <c r="GX24" s="1"/>
  <c r="GY24" s="1"/>
  <c r="GZ24" s="1"/>
  <c r="HA24" s="1"/>
  <c r="HB24" s="1"/>
  <c r="HC24" s="1"/>
  <c r="HD24" s="1"/>
  <c r="HE24" s="1"/>
  <c r="HF24" s="1"/>
  <c r="HG24" s="1"/>
  <c r="HH24" s="1"/>
  <c r="HI24" s="1"/>
  <c r="HJ24" s="1"/>
  <c r="HK24" s="1"/>
  <c r="HL24" s="1"/>
  <c r="HM24" s="1"/>
  <c r="HN24" s="1"/>
  <c r="HO24" s="1"/>
  <c r="HP24" s="1"/>
  <c r="HQ24" s="1"/>
  <c r="HR24" s="1"/>
  <c r="HS24" s="1"/>
  <c r="HT24" s="1"/>
  <c r="HU24" s="1"/>
  <c r="HV24" s="1"/>
  <c r="HW24" s="1"/>
  <c r="HX24" s="1"/>
  <c r="HY24" s="1"/>
  <c r="HZ24" s="1"/>
  <c r="IA24" s="1"/>
  <c r="IB24" s="1"/>
  <c r="IC24" s="1"/>
  <c r="ID24" s="1"/>
  <c r="IE24" s="1"/>
  <c r="IF24" s="1"/>
  <c r="IG24" s="1"/>
  <c r="IH24" s="1"/>
  <c r="II24" s="1"/>
  <c r="IJ24" s="1"/>
  <c r="IK24" s="1"/>
  <c r="IL24" s="1"/>
  <c r="IM24" s="1"/>
  <c r="IN24" s="1"/>
  <c r="IO24" s="1"/>
  <c r="IP24" s="1"/>
  <c r="IQ24" s="1"/>
  <c r="IR24" s="1"/>
  <c r="FG19"/>
  <c r="FH19" s="1"/>
  <c r="FI19" s="1"/>
  <c r="FJ19" s="1"/>
  <c r="FK19" s="1"/>
  <c r="FL19" s="1"/>
  <c r="FM19" s="1"/>
  <c r="FN19" s="1"/>
  <c r="FO19" s="1"/>
  <c r="FP19" s="1"/>
  <c r="FQ19" s="1"/>
  <c r="FR19" s="1"/>
  <c r="FS19" s="1"/>
  <c r="FT19" s="1"/>
  <c r="FU19" s="1"/>
  <c r="FV19" s="1"/>
  <c r="FW19" s="1"/>
  <c r="FX19" s="1"/>
  <c r="FY19" s="1"/>
  <c r="FZ19" s="1"/>
  <c r="GA19" s="1"/>
  <c r="GB19" s="1"/>
  <c r="GC19" s="1"/>
  <c r="GD19" s="1"/>
  <c r="GE19" s="1"/>
  <c r="GF19" s="1"/>
  <c r="GG19" s="1"/>
  <c r="GH19" s="1"/>
  <c r="GI19" s="1"/>
  <c r="GJ19" s="1"/>
  <c r="GK19" s="1"/>
  <c r="GL19" s="1"/>
  <c r="GM19" s="1"/>
  <c r="GN19" s="1"/>
  <c r="GO19" s="1"/>
  <c r="GP19" s="1"/>
  <c r="GQ19" s="1"/>
  <c r="GR19" s="1"/>
  <c r="GS19" s="1"/>
  <c r="GT19" s="1"/>
  <c r="GU19" s="1"/>
  <c r="GV19" s="1"/>
  <c r="GW19" s="1"/>
  <c r="GX19" s="1"/>
  <c r="GY19" s="1"/>
  <c r="GZ19" s="1"/>
  <c r="HA19" s="1"/>
  <c r="HB19" s="1"/>
  <c r="HC19" s="1"/>
  <c r="HD19" s="1"/>
  <c r="HE19" s="1"/>
  <c r="HF19" s="1"/>
  <c r="HG19" s="1"/>
  <c r="HH19" s="1"/>
  <c r="HI19" s="1"/>
  <c r="HJ19" s="1"/>
  <c r="HK19" s="1"/>
  <c r="HL19" s="1"/>
  <c r="HM19" s="1"/>
  <c r="HN19" s="1"/>
  <c r="HO19" s="1"/>
  <c r="HP19" s="1"/>
  <c r="HQ19" s="1"/>
  <c r="HR19" s="1"/>
  <c r="HS19" s="1"/>
  <c r="HT19" s="1"/>
  <c r="HU19" s="1"/>
  <c r="HV19" s="1"/>
  <c r="HW19" s="1"/>
  <c r="HX19" s="1"/>
  <c r="HY19" s="1"/>
  <c r="HZ19" s="1"/>
  <c r="IA19" s="1"/>
  <c r="IB19" s="1"/>
  <c r="IC19" s="1"/>
  <c r="ID19" s="1"/>
  <c r="IE19" s="1"/>
  <c r="IF19" s="1"/>
  <c r="IG19" s="1"/>
  <c r="IH19" s="1"/>
  <c r="II19" s="1"/>
  <c r="IJ19" s="1"/>
  <c r="IK19" s="1"/>
  <c r="IL19" s="1"/>
  <c r="IM19" s="1"/>
  <c r="IN19" s="1"/>
  <c r="IO19" s="1"/>
  <c r="IP19" s="1"/>
  <c r="IQ19" s="1"/>
  <c r="IR19" s="1"/>
  <c r="FG12"/>
  <c r="FH12" s="1"/>
  <c r="FI12" s="1"/>
  <c r="FJ12" s="1"/>
  <c r="FK12" s="1"/>
  <c r="FL12" s="1"/>
  <c r="FM12" s="1"/>
  <c r="FN12" s="1"/>
  <c r="FO12" s="1"/>
  <c r="FP12" s="1"/>
  <c r="FQ12" s="1"/>
  <c r="FR12" s="1"/>
  <c r="FS12" s="1"/>
  <c r="FT12" s="1"/>
  <c r="FU12" s="1"/>
  <c r="FV12" s="1"/>
  <c r="FW12" s="1"/>
  <c r="FX12" s="1"/>
  <c r="FY12" s="1"/>
  <c r="FZ12" s="1"/>
  <c r="GA12" s="1"/>
  <c r="GB12" s="1"/>
  <c r="GC12" s="1"/>
  <c r="GD12" s="1"/>
  <c r="GE12" s="1"/>
  <c r="GF12" s="1"/>
  <c r="GG12" s="1"/>
  <c r="GH12" s="1"/>
  <c r="GI12" s="1"/>
  <c r="GJ12" s="1"/>
  <c r="GK12" s="1"/>
  <c r="GL12" s="1"/>
  <c r="GM12" s="1"/>
  <c r="GN12" s="1"/>
  <c r="GO12" s="1"/>
  <c r="GP12" s="1"/>
  <c r="GQ12" s="1"/>
  <c r="GR12" s="1"/>
  <c r="GS12" s="1"/>
  <c r="GT12" s="1"/>
  <c r="GU12" s="1"/>
  <c r="GV12" s="1"/>
  <c r="GW12" s="1"/>
  <c r="GX12" s="1"/>
  <c r="GY12" s="1"/>
  <c r="GZ12" s="1"/>
  <c r="HA12" s="1"/>
  <c r="HB12" s="1"/>
  <c r="HC12" s="1"/>
  <c r="HD12" s="1"/>
  <c r="HE12" s="1"/>
  <c r="HF12" s="1"/>
  <c r="HG12" s="1"/>
  <c r="HH12" s="1"/>
  <c r="HI12" s="1"/>
  <c r="HJ12" s="1"/>
  <c r="HK12" s="1"/>
  <c r="HL12" s="1"/>
  <c r="HM12" s="1"/>
  <c r="HN12" s="1"/>
  <c r="HO12" s="1"/>
  <c r="HP12" s="1"/>
  <c r="HQ12" s="1"/>
  <c r="HR12" s="1"/>
  <c r="HS12" s="1"/>
  <c r="HT12" s="1"/>
  <c r="HU12" s="1"/>
  <c r="HV12" s="1"/>
  <c r="HW12" s="1"/>
  <c r="HX12" s="1"/>
  <c r="HY12" s="1"/>
  <c r="HZ12" s="1"/>
  <c r="IA12" s="1"/>
  <c r="IB12" s="1"/>
  <c r="IC12" s="1"/>
  <c r="ID12" s="1"/>
  <c r="IE12" s="1"/>
  <c r="IF12" s="1"/>
  <c r="IG12" s="1"/>
  <c r="IH12" s="1"/>
  <c r="II12" s="1"/>
  <c r="IJ12" s="1"/>
  <c r="IK12" s="1"/>
  <c r="IL12" s="1"/>
  <c r="IM12" s="1"/>
  <c r="IN12" s="1"/>
  <c r="IO12" s="1"/>
  <c r="IP12" s="1"/>
  <c r="IQ12" s="1"/>
  <c r="IR12" s="1"/>
  <c r="FG20"/>
  <c r="FH20" s="1"/>
  <c r="FI20" s="1"/>
  <c r="FJ20" s="1"/>
  <c r="FK20" s="1"/>
  <c r="FL20" s="1"/>
  <c r="FM20" s="1"/>
  <c r="FN20" s="1"/>
  <c r="FO20" s="1"/>
  <c r="FP20" s="1"/>
  <c r="FQ20" s="1"/>
  <c r="FR20" s="1"/>
  <c r="FS20" s="1"/>
  <c r="FT20" s="1"/>
  <c r="FU20" s="1"/>
  <c r="FV20" s="1"/>
  <c r="FW20" s="1"/>
  <c r="FX20" s="1"/>
  <c r="FY20" s="1"/>
  <c r="FZ20" s="1"/>
  <c r="GA20" s="1"/>
  <c r="GB20" s="1"/>
  <c r="GC20" s="1"/>
  <c r="GD20" s="1"/>
  <c r="GE20" s="1"/>
  <c r="GF20" s="1"/>
  <c r="GG20" s="1"/>
  <c r="GH20" s="1"/>
  <c r="GI20" s="1"/>
  <c r="GJ20" s="1"/>
  <c r="GK20" s="1"/>
  <c r="GL20" s="1"/>
  <c r="GM20" s="1"/>
  <c r="GN20" s="1"/>
  <c r="GO20" s="1"/>
  <c r="GP20" s="1"/>
  <c r="GQ20" s="1"/>
  <c r="GR20" s="1"/>
  <c r="GS20" s="1"/>
  <c r="GT20" s="1"/>
  <c r="GU20" s="1"/>
  <c r="GV20" s="1"/>
  <c r="GW20" s="1"/>
  <c r="GX20" s="1"/>
  <c r="GY20" s="1"/>
  <c r="GZ20" s="1"/>
  <c r="HA20" s="1"/>
  <c r="HB20" s="1"/>
  <c r="HC20" s="1"/>
  <c r="HD20" s="1"/>
  <c r="HE20" s="1"/>
  <c r="HF20" s="1"/>
  <c r="HG20" s="1"/>
  <c r="HH20" s="1"/>
  <c r="HI20" s="1"/>
  <c r="HJ20" s="1"/>
  <c r="HK20" s="1"/>
  <c r="HL20" s="1"/>
  <c r="HM20" s="1"/>
  <c r="HN20" s="1"/>
  <c r="HO20" s="1"/>
  <c r="HP20" s="1"/>
  <c r="HQ20" s="1"/>
  <c r="HR20" s="1"/>
  <c r="HS20" s="1"/>
  <c r="HT20" s="1"/>
  <c r="HU20" s="1"/>
  <c r="HV20" s="1"/>
  <c r="HW20" s="1"/>
  <c r="HX20" s="1"/>
  <c r="HY20" s="1"/>
  <c r="HZ20" s="1"/>
  <c r="IA20" s="1"/>
  <c r="IB20" s="1"/>
  <c r="IC20" s="1"/>
  <c r="ID20" s="1"/>
  <c r="IE20" s="1"/>
  <c r="IF20" s="1"/>
  <c r="IG20" s="1"/>
  <c r="IH20" s="1"/>
  <c r="II20" s="1"/>
  <c r="IJ20" s="1"/>
  <c r="IK20" s="1"/>
  <c r="IL20" s="1"/>
  <c r="IM20" s="1"/>
  <c r="IN20" s="1"/>
  <c r="IO20" s="1"/>
  <c r="IP20" s="1"/>
  <c r="IQ20" s="1"/>
  <c r="IR20" s="1"/>
  <c r="FG23"/>
  <c r="FH23" s="1"/>
  <c r="FI23" s="1"/>
  <c r="FJ23" s="1"/>
  <c r="FK23" s="1"/>
  <c r="FL23" s="1"/>
  <c r="FM23" s="1"/>
  <c r="FN23" s="1"/>
  <c r="FO23" s="1"/>
  <c r="FP23" s="1"/>
  <c r="FQ23" s="1"/>
  <c r="FR23" s="1"/>
  <c r="FS23" s="1"/>
  <c r="FT23" s="1"/>
  <c r="FU23" s="1"/>
  <c r="FV23" s="1"/>
  <c r="FW23" s="1"/>
  <c r="FX23" s="1"/>
  <c r="FY23" s="1"/>
  <c r="FZ23" s="1"/>
  <c r="GA23" s="1"/>
  <c r="GB23" s="1"/>
  <c r="GC23" s="1"/>
  <c r="GD23" s="1"/>
  <c r="GE23" s="1"/>
  <c r="GF23" s="1"/>
  <c r="GG23" s="1"/>
  <c r="GH23" s="1"/>
  <c r="GI23" s="1"/>
  <c r="GJ23" s="1"/>
  <c r="GK23" s="1"/>
  <c r="GL23" s="1"/>
  <c r="GM23" s="1"/>
  <c r="GN23" s="1"/>
  <c r="GO23" s="1"/>
  <c r="GP23" s="1"/>
  <c r="GQ23" s="1"/>
  <c r="GR23" s="1"/>
  <c r="GS23" s="1"/>
  <c r="GT23" s="1"/>
  <c r="GU23" s="1"/>
  <c r="GV23" s="1"/>
  <c r="GW23" s="1"/>
  <c r="GX23" s="1"/>
  <c r="GY23" s="1"/>
  <c r="GZ23" s="1"/>
  <c r="HA23" s="1"/>
  <c r="HB23" s="1"/>
  <c r="HC23" s="1"/>
  <c r="HD23" s="1"/>
  <c r="HE23" s="1"/>
  <c r="HF23" s="1"/>
  <c r="HG23" s="1"/>
  <c r="HH23" s="1"/>
  <c r="HI23" s="1"/>
  <c r="HJ23" s="1"/>
  <c r="HK23" s="1"/>
  <c r="HL23" s="1"/>
  <c r="HM23" s="1"/>
  <c r="HN23" s="1"/>
  <c r="HO23" s="1"/>
  <c r="HP23" s="1"/>
  <c r="HQ23" s="1"/>
  <c r="HR23" s="1"/>
  <c r="HS23" s="1"/>
  <c r="HT23" s="1"/>
  <c r="HU23" s="1"/>
  <c r="HV23" s="1"/>
  <c r="HW23" s="1"/>
  <c r="HX23" s="1"/>
  <c r="HY23" s="1"/>
  <c r="HZ23" s="1"/>
  <c r="IA23" s="1"/>
  <c r="IB23" s="1"/>
  <c r="IC23" s="1"/>
  <c r="ID23" s="1"/>
  <c r="IE23" s="1"/>
  <c r="IF23" s="1"/>
  <c r="IG23" s="1"/>
  <c r="IH23" s="1"/>
  <c r="II23" s="1"/>
  <c r="IJ23" s="1"/>
  <c r="IK23" s="1"/>
  <c r="IL23" s="1"/>
  <c r="IM23" s="1"/>
  <c r="IN23" s="1"/>
  <c r="IO23" s="1"/>
  <c r="IP23" s="1"/>
  <c r="IQ23" s="1"/>
  <c r="IR23" s="1"/>
  <c r="FG21"/>
  <c r="FH21" s="1"/>
  <c r="FI21" s="1"/>
  <c r="FJ21" s="1"/>
  <c r="FK21" s="1"/>
  <c r="FL21" s="1"/>
  <c r="FM21" s="1"/>
  <c r="FN21" s="1"/>
  <c r="FO21" s="1"/>
  <c r="FP21" s="1"/>
  <c r="FQ21" s="1"/>
  <c r="FR21" s="1"/>
  <c r="FS21" s="1"/>
  <c r="FT21" s="1"/>
  <c r="FU21" s="1"/>
  <c r="FV21" s="1"/>
  <c r="FW21" s="1"/>
  <c r="FX21" s="1"/>
  <c r="FY21" s="1"/>
  <c r="FZ21" s="1"/>
  <c r="GA21" s="1"/>
  <c r="GB21" s="1"/>
  <c r="GC21" s="1"/>
  <c r="GD21" s="1"/>
  <c r="GE21" s="1"/>
  <c r="GF21" s="1"/>
  <c r="GG21" s="1"/>
  <c r="GH21" s="1"/>
  <c r="GI21" s="1"/>
  <c r="GJ21" s="1"/>
  <c r="GK21" s="1"/>
  <c r="GL21" s="1"/>
  <c r="GM21" s="1"/>
  <c r="GN21" s="1"/>
  <c r="GO21" s="1"/>
  <c r="GP21" s="1"/>
  <c r="GQ21" s="1"/>
  <c r="GR21" s="1"/>
  <c r="GS21" s="1"/>
  <c r="GT21" s="1"/>
  <c r="GU21" s="1"/>
  <c r="GV21" s="1"/>
  <c r="GW21" s="1"/>
  <c r="GX21" s="1"/>
  <c r="GY21" s="1"/>
  <c r="GZ21" s="1"/>
  <c r="HA21" s="1"/>
  <c r="HB21" s="1"/>
  <c r="HC21" s="1"/>
  <c r="HD21" s="1"/>
  <c r="HE21" s="1"/>
  <c r="HF21" s="1"/>
  <c r="HG21" s="1"/>
  <c r="HH21" s="1"/>
  <c r="HI21" s="1"/>
  <c r="HJ21" s="1"/>
  <c r="HK21" s="1"/>
  <c r="HL21" s="1"/>
  <c r="HM21" s="1"/>
  <c r="HN21" s="1"/>
  <c r="HO21" s="1"/>
  <c r="HP21" s="1"/>
  <c r="HQ21" s="1"/>
  <c r="HR21" s="1"/>
  <c r="HS21" s="1"/>
  <c r="HT21" s="1"/>
  <c r="HU21" s="1"/>
  <c r="HV21" s="1"/>
  <c r="HW21" s="1"/>
  <c r="HX21" s="1"/>
  <c r="HY21" s="1"/>
  <c r="HZ21" s="1"/>
  <c r="IA21" s="1"/>
  <c r="IB21" s="1"/>
  <c r="IC21" s="1"/>
  <c r="ID21" s="1"/>
  <c r="IE21" s="1"/>
  <c r="IF21" s="1"/>
  <c r="IG21" s="1"/>
  <c r="IH21" s="1"/>
  <c r="II21" s="1"/>
  <c r="IJ21" s="1"/>
  <c r="IK21" s="1"/>
  <c r="IL21" s="1"/>
  <c r="IM21" s="1"/>
  <c r="IN21" s="1"/>
  <c r="IO21" s="1"/>
  <c r="IP21" s="1"/>
  <c r="IQ21" s="1"/>
  <c r="IR21" s="1"/>
  <c r="FG5"/>
  <c r="FH5" s="1"/>
  <c r="FI5" s="1"/>
  <c r="FJ5" s="1"/>
  <c r="FK5" s="1"/>
  <c r="FL5" s="1"/>
  <c r="FM5" s="1"/>
  <c r="FN5" s="1"/>
  <c r="FO5" s="1"/>
  <c r="FP5" s="1"/>
  <c r="FQ5" s="1"/>
  <c r="FR5" s="1"/>
  <c r="FS5" s="1"/>
  <c r="FT5" s="1"/>
  <c r="FU5" s="1"/>
  <c r="FV5" s="1"/>
  <c r="FW5" s="1"/>
  <c r="FX5" s="1"/>
  <c r="FY5" s="1"/>
  <c r="FZ5" s="1"/>
  <c r="GA5" s="1"/>
  <c r="GB5" s="1"/>
  <c r="GC5" s="1"/>
  <c r="GD5" s="1"/>
  <c r="GE5" s="1"/>
  <c r="GF5" s="1"/>
  <c r="GG5" s="1"/>
  <c r="GH5" s="1"/>
  <c r="GI5" s="1"/>
  <c r="GJ5" s="1"/>
  <c r="GK5" s="1"/>
  <c r="GL5" s="1"/>
  <c r="GM5" s="1"/>
  <c r="GN5" s="1"/>
  <c r="GO5" s="1"/>
  <c r="GP5" s="1"/>
  <c r="GQ5" s="1"/>
  <c r="GR5" s="1"/>
  <c r="GS5" s="1"/>
  <c r="GT5" s="1"/>
  <c r="GU5" s="1"/>
  <c r="GV5" s="1"/>
  <c r="GW5" s="1"/>
  <c r="GX5" s="1"/>
  <c r="GY5" s="1"/>
  <c r="GZ5" s="1"/>
  <c r="HA5" s="1"/>
  <c r="HB5" s="1"/>
  <c r="HC5" s="1"/>
  <c r="HD5" s="1"/>
  <c r="HE5" s="1"/>
  <c r="HF5" s="1"/>
  <c r="HG5" s="1"/>
  <c r="HH5" s="1"/>
  <c r="HI5" s="1"/>
  <c r="HJ5" s="1"/>
  <c r="HK5" s="1"/>
  <c r="HL5" s="1"/>
  <c r="HM5" s="1"/>
  <c r="HN5" s="1"/>
  <c r="HO5" s="1"/>
  <c r="HP5" s="1"/>
  <c r="HQ5" s="1"/>
  <c r="HR5" s="1"/>
  <c r="HS5" s="1"/>
  <c r="HT5" s="1"/>
  <c r="HU5" s="1"/>
  <c r="HV5" s="1"/>
  <c r="HW5" s="1"/>
  <c r="HX5" s="1"/>
  <c r="HY5" s="1"/>
  <c r="HZ5" s="1"/>
  <c r="IA5" s="1"/>
  <c r="IB5" s="1"/>
  <c r="IC5" s="1"/>
  <c r="ID5" s="1"/>
  <c r="IE5" s="1"/>
  <c r="IF5" s="1"/>
  <c r="IG5" s="1"/>
  <c r="IH5" s="1"/>
  <c r="II5" s="1"/>
  <c r="IJ5" s="1"/>
  <c r="IK5" s="1"/>
  <c r="IL5" s="1"/>
  <c r="IM5" s="1"/>
  <c r="IN5" s="1"/>
  <c r="IO5" s="1"/>
  <c r="IP5" s="1"/>
  <c r="IQ5" s="1"/>
  <c r="IR5" s="1"/>
  <c r="FG11"/>
  <c r="FH11" s="1"/>
  <c r="FI11" s="1"/>
  <c r="FJ11" s="1"/>
  <c r="FK11" s="1"/>
  <c r="FL11" s="1"/>
  <c r="FM11" s="1"/>
  <c r="FN11" s="1"/>
  <c r="FO11" s="1"/>
  <c r="FP11" s="1"/>
  <c r="FQ11" s="1"/>
  <c r="FR11" s="1"/>
  <c r="FS11" s="1"/>
  <c r="FT11" s="1"/>
  <c r="FU11" s="1"/>
  <c r="FV11" s="1"/>
  <c r="FW11" s="1"/>
  <c r="FX11" s="1"/>
  <c r="FY11" s="1"/>
  <c r="FZ11" s="1"/>
  <c r="GA11" s="1"/>
  <c r="GB11" s="1"/>
  <c r="GC11" s="1"/>
  <c r="GD11" s="1"/>
  <c r="GE11" s="1"/>
  <c r="GF11" s="1"/>
  <c r="GG11" s="1"/>
  <c r="GH11" s="1"/>
  <c r="GI11" s="1"/>
  <c r="GJ11" s="1"/>
  <c r="GK11" s="1"/>
  <c r="GL11" s="1"/>
  <c r="GM11" s="1"/>
  <c r="GN11" s="1"/>
  <c r="GO11" s="1"/>
  <c r="GP11" s="1"/>
  <c r="GQ11" s="1"/>
  <c r="GR11" s="1"/>
  <c r="GS11" s="1"/>
  <c r="GT11" s="1"/>
  <c r="GU11" s="1"/>
  <c r="GV11" s="1"/>
  <c r="GW11" s="1"/>
  <c r="GX11" s="1"/>
  <c r="GY11" s="1"/>
  <c r="GZ11" s="1"/>
  <c r="HA11" s="1"/>
  <c r="HB11" s="1"/>
  <c r="HC11" s="1"/>
  <c r="HD11" s="1"/>
  <c r="HE11" s="1"/>
  <c r="HF11" s="1"/>
  <c r="HG11" s="1"/>
  <c r="HH11" s="1"/>
  <c r="HI11" s="1"/>
  <c r="HJ11" s="1"/>
  <c r="HK11" s="1"/>
  <c r="HL11" s="1"/>
  <c r="HM11" s="1"/>
  <c r="HN11" s="1"/>
  <c r="HO11" s="1"/>
  <c r="HP11" s="1"/>
  <c r="HQ11" s="1"/>
  <c r="HR11" s="1"/>
  <c r="HS11" s="1"/>
  <c r="HT11" s="1"/>
  <c r="HU11" s="1"/>
  <c r="HV11" s="1"/>
  <c r="HW11" s="1"/>
  <c r="HX11" s="1"/>
  <c r="HY11" s="1"/>
  <c r="HZ11" s="1"/>
  <c r="IA11" s="1"/>
  <c r="IB11" s="1"/>
  <c r="IC11" s="1"/>
  <c r="ID11" s="1"/>
  <c r="IE11" s="1"/>
  <c r="IF11" s="1"/>
  <c r="IG11" s="1"/>
  <c r="IH11" s="1"/>
  <c r="II11" s="1"/>
  <c r="IJ11" s="1"/>
  <c r="IK11" s="1"/>
  <c r="IL11" s="1"/>
  <c r="IM11" s="1"/>
  <c r="IN11" s="1"/>
  <c r="IO11" s="1"/>
  <c r="IP11" s="1"/>
  <c r="IQ11" s="1"/>
  <c r="IR11" s="1"/>
  <c r="FG6"/>
  <c r="FH6" s="1"/>
  <c r="FI6" s="1"/>
  <c r="FJ6" s="1"/>
  <c r="FK6" s="1"/>
  <c r="FL6" s="1"/>
  <c r="FM6" s="1"/>
  <c r="FN6" s="1"/>
  <c r="FO6" s="1"/>
  <c r="FP6" s="1"/>
  <c r="FQ6" s="1"/>
  <c r="FR6" s="1"/>
  <c r="FS6" s="1"/>
  <c r="FT6" s="1"/>
  <c r="FU6" s="1"/>
  <c r="FV6" s="1"/>
  <c r="FW6" s="1"/>
  <c r="FX6" s="1"/>
  <c r="FY6" s="1"/>
  <c r="FZ6" s="1"/>
  <c r="GA6" s="1"/>
  <c r="GB6" s="1"/>
  <c r="GC6" s="1"/>
  <c r="GD6" s="1"/>
  <c r="GE6" s="1"/>
  <c r="GF6" s="1"/>
  <c r="GG6" s="1"/>
  <c r="GH6" s="1"/>
  <c r="GI6" s="1"/>
  <c r="GJ6" s="1"/>
  <c r="GK6" s="1"/>
  <c r="GL6" s="1"/>
  <c r="GM6" s="1"/>
  <c r="GN6" s="1"/>
  <c r="GO6" s="1"/>
  <c r="GP6" s="1"/>
  <c r="GQ6" s="1"/>
  <c r="GR6" s="1"/>
  <c r="GS6" s="1"/>
  <c r="GT6" s="1"/>
  <c r="GU6" s="1"/>
  <c r="GV6" s="1"/>
  <c r="GW6" s="1"/>
  <c r="GX6" s="1"/>
  <c r="GY6" s="1"/>
  <c r="GZ6" s="1"/>
  <c r="HA6" s="1"/>
  <c r="HB6" s="1"/>
  <c r="HC6" s="1"/>
  <c r="HD6" s="1"/>
  <c r="HE6" s="1"/>
  <c r="HF6" s="1"/>
  <c r="HG6" s="1"/>
  <c r="HH6" s="1"/>
  <c r="HI6" s="1"/>
  <c r="HJ6" s="1"/>
  <c r="HK6" s="1"/>
  <c r="HL6" s="1"/>
  <c r="HM6" s="1"/>
  <c r="HN6" s="1"/>
  <c r="HO6" s="1"/>
  <c r="HP6" s="1"/>
  <c r="HQ6" s="1"/>
  <c r="HR6" s="1"/>
  <c r="HS6" s="1"/>
  <c r="HT6" s="1"/>
  <c r="HU6" s="1"/>
  <c r="HV6" s="1"/>
  <c r="HW6" s="1"/>
  <c r="HX6" s="1"/>
  <c r="HY6" s="1"/>
  <c r="HZ6" s="1"/>
  <c r="IA6" s="1"/>
  <c r="IB6" s="1"/>
  <c r="IC6" s="1"/>
  <c r="ID6" s="1"/>
  <c r="IE6" s="1"/>
  <c r="IF6" s="1"/>
  <c r="IG6" s="1"/>
  <c r="IH6" s="1"/>
  <c r="II6" s="1"/>
  <c r="IJ6" s="1"/>
  <c r="IK6" s="1"/>
  <c r="IL6" s="1"/>
  <c r="IM6" s="1"/>
  <c r="IN6" s="1"/>
  <c r="IO6" s="1"/>
  <c r="IP6" s="1"/>
  <c r="IQ6" s="1"/>
  <c r="IR6" s="1"/>
  <c r="EO22"/>
  <c r="DQ22"/>
  <c r="DY22"/>
  <c r="EJ22"/>
  <c r="DN23"/>
  <c r="DA22"/>
  <c r="CX22"/>
  <c r="EL22"/>
  <c r="DW19"/>
  <c r="DG26"/>
  <c r="DJ25"/>
  <c r="EI23"/>
  <c r="DV27"/>
  <c r="CZ27"/>
  <c r="DU27"/>
  <c r="EN27"/>
  <c r="DT27"/>
  <c r="DB27"/>
  <c r="EO27"/>
  <c r="DJ27"/>
  <c r="DN27"/>
  <c r="EH27"/>
  <c r="DG27"/>
  <c r="EE22"/>
  <c r="DG22"/>
  <c r="EK25"/>
  <c r="DT22"/>
  <c r="DW22"/>
  <c r="EP22"/>
  <c r="EG22"/>
  <c r="DC22"/>
  <c r="EI22"/>
  <c r="DS22"/>
  <c r="EU23"/>
  <c r="DY12"/>
  <c r="CZ22"/>
  <c r="DI22"/>
  <c r="DB19"/>
  <c r="DA24"/>
  <c r="DZ24"/>
  <c r="CY24"/>
  <c r="ET24"/>
  <c r="EG24"/>
  <c r="DT24"/>
  <c r="DR24"/>
  <c r="EU24"/>
  <c r="DP24"/>
  <c r="CX24"/>
  <c r="EM24"/>
  <c r="DU24"/>
  <c r="ER24"/>
  <c r="DI24"/>
  <c r="DS24"/>
  <c r="EP24"/>
  <c r="DE24"/>
  <c r="EA24"/>
  <c r="DK24"/>
  <c r="DQ24"/>
  <c r="CZ24"/>
  <c r="EF24"/>
  <c r="EE24"/>
  <c r="EI24"/>
  <c r="CX27"/>
  <c r="DC19"/>
  <c r="EQ22"/>
  <c r="DE22"/>
  <c r="EJ27"/>
  <c r="CX19"/>
  <c r="EI27"/>
  <c r="DX27"/>
  <c r="ER27"/>
  <c r="DQ23"/>
  <c r="DK22"/>
  <c r="DL22"/>
  <c r="DX22"/>
  <c r="DS19"/>
  <c r="DA19"/>
  <c r="DS27"/>
  <c r="DD22"/>
  <c r="EQ19"/>
  <c r="DH19"/>
  <c r="EB27"/>
  <c r="CY19"/>
  <c r="DG19"/>
  <c r="ET19"/>
  <c r="ES27"/>
  <c r="EM19"/>
  <c r="EO19"/>
  <c r="DD19"/>
  <c r="DB22"/>
  <c r="EC22"/>
  <c r="DX19"/>
  <c r="EL27"/>
  <c r="EF27"/>
  <c r="EQ27"/>
  <c r="ED27"/>
  <c r="EC24"/>
  <c r="DX24"/>
  <c r="ES22"/>
  <c r="EU22"/>
  <c r="DJ22"/>
  <c r="DY27"/>
  <c r="DK27"/>
  <c r="EP27"/>
  <c r="DL27"/>
  <c r="DE27"/>
  <c r="DC27"/>
  <c r="DG24"/>
  <c r="DQ27"/>
  <c r="EN24"/>
  <c r="DI27"/>
  <c r="DD27"/>
  <c r="EC27"/>
  <c r="DW27"/>
  <c r="DH24"/>
  <c r="DF24"/>
  <c r="EH22"/>
  <c r="DV22"/>
  <c r="DH12"/>
  <c r="EE27"/>
  <c r="ET27"/>
  <c r="DD24"/>
  <c r="EA27"/>
  <c r="EG27"/>
  <c r="DO27"/>
  <c r="EH24"/>
  <c r="EK24"/>
  <c r="DZ22"/>
  <c r="DA26"/>
  <c r="EM22"/>
  <c r="ET22"/>
  <c r="DP22"/>
  <c r="ES12"/>
  <c r="DU19"/>
  <c r="DP27"/>
  <c r="DA27"/>
  <c r="DO24"/>
  <c r="EJ24"/>
  <c r="DG11"/>
  <c r="ED22"/>
  <c r="EN19"/>
  <c r="EK22"/>
  <c r="IP10"/>
  <c r="IQ10" s="1"/>
  <c r="IR10" s="1"/>
  <c r="DL24"/>
  <c r="DC24"/>
  <c r="DW24"/>
  <c r="EH25"/>
  <c r="EI26"/>
  <c r="AM27"/>
  <c r="EF22"/>
  <c r="DZ25"/>
  <c r="CZ19"/>
  <c r="DF22"/>
  <c r="EH19"/>
  <c r="DY25"/>
  <c r="DU22"/>
  <c r="DC11"/>
  <c r="ES24"/>
  <c r="EO24"/>
  <c r="DN24"/>
  <c r="DQ11"/>
  <c r="ED24"/>
  <c r="EQ24"/>
  <c r="DM24"/>
  <c r="CY25"/>
  <c r="AP13"/>
  <c r="EL24"/>
  <c r="EB24"/>
  <c r="DY24"/>
  <c r="DD12"/>
  <c r="DV12"/>
  <c r="DJ11"/>
  <c r="DU11"/>
  <c r="EN11"/>
  <c r="DB11"/>
  <c r="EA25"/>
  <c r="DJ24"/>
  <c r="DV24"/>
  <c r="DB24"/>
  <c r="DO22"/>
  <c r="DH22"/>
  <c r="DM22"/>
  <c r="DN22"/>
  <c r="DR19"/>
  <c r="EL10"/>
  <c r="DY10"/>
  <c r="EO10"/>
  <c r="DC10"/>
  <c r="EH10"/>
  <c r="EC10"/>
  <c r="DM10"/>
  <c r="DZ10"/>
  <c r="DG10"/>
  <c r="DL10"/>
  <c r="ET10"/>
  <c r="DF10"/>
  <c r="EI10"/>
  <c r="DA10"/>
  <c r="DU10"/>
  <c r="EQ10"/>
  <c r="EF10"/>
  <c r="EU10"/>
  <c r="CY10"/>
  <c r="DB10"/>
  <c r="ER10"/>
  <c r="ED10"/>
  <c r="EG10"/>
  <c r="EJ10"/>
  <c r="CZ10"/>
  <c r="DR10"/>
  <c r="EA10"/>
  <c r="EN10"/>
  <c r="DD10"/>
  <c r="DP10"/>
  <c r="DX10"/>
  <c r="DN10"/>
  <c r="EP10"/>
  <c r="ES10"/>
  <c r="EB10"/>
  <c r="DK10"/>
  <c r="DS10"/>
  <c r="DT10"/>
  <c r="EK10"/>
  <c r="DO10"/>
  <c r="CX10"/>
  <c r="DI10"/>
  <c r="DW10"/>
  <c r="DH10"/>
  <c r="DJ10"/>
  <c r="DE10"/>
  <c r="DV10"/>
  <c r="EM10"/>
  <c r="DQ10"/>
  <c r="EE10"/>
  <c r="AR4"/>
  <c r="EB19"/>
  <c r="EJ19"/>
  <c r="EL19"/>
  <c r="DZ19"/>
  <c r="DO19"/>
  <c r="ES19"/>
  <c r="ED19"/>
  <c r="ER19"/>
  <c r="DM19"/>
  <c r="EP19"/>
  <c r="EC19"/>
  <c r="DP19"/>
  <c r="EI19"/>
  <c r="DE19"/>
  <c r="DF19"/>
  <c r="EU19"/>
  <c r="DV19"/>
  <c r="EE19"/>
  <c r="EF19"/>
  <c r="EK19"/>
  <c r="DJ19"/>
  <c r="DQ19"/>
  <c r="EA19"/>
  <c r="DN19"/>
  <c r="DI19"/>
  <c r="DK19"/>
  <c r="EG19"/>
  <c r="EE26"/>
  <c r="DY19"/>
  <c r="AM9"/>
  <c r="AR9"/>
  <c r="AP9"/>
  <c r="AP19"/>
  <c r="AR19"/>
  <c r="AM19"/>
  <c r="AR14"/>
  <c r="AP14"/>
  <c r="AM14"/>
  <c r="ER26"/>
  <c r="DG25"/>
  <c r="DX25"/>
  <c r="EN25"/>
  <c r="DK25"/>
  <c r="CZ25"/>
  <c r="DE25"/>
  <c r="DB25"/>
  <c r="DN25"/>
  <c r="DF25"/>
  <c r="DP25"/>
  <c r="EB25"/>
  <c r="EC25"/>
  <c r="DU25"/>
  <c r="DO25"/>
  <c r="EI25"/>
  <c r="DV25"/>
  <c r="ET25"/>
  <c r="EP25"/>
  <c r="DM25"/>
  <c r="DT25"/>
  <c r="DA25"/>
  <c r="DD25"/>
  <c r="DH25"/>
  <c r="DS25"/>
  <c r="EL25"/>
  <c r="EQ25"/>
  <c r="CX25"/>
  <c r="EE25"/>
  <c r="EU25"/>
  <c r="DR25"/>
  <c r="DQ25"/>
  <c r="EF25"/>
  <c r="ES25"/>
  <c r="EJ25"/>
  <c r="EG25"/>
  <c r="DI25"/>
  <c r="DW25"/>
  <c r="DC25"/>
  <c r="EO25"/>
  <c r="ER25"/>
  <c r="EM25"/>
  <c r="ED25"/>
  <c r="EA22"/>
  <c r="DN11"/>
  <c r="AP6"/>
  <c r="AR6"/>
  <c r="AM6"/>
  <c r="AM13"/>
  <c r="DK17"/>
  <c r="DR17"/>
  <c r="EG17"/>
  <c r="CX17"/>
  <c r="DX17"/>
  <c r="EC17"/>
  <c r="EK17"/>
  <c r="EN17"/>
  <c r="EM17"/>
  <c r="ET17"/>
  <c r="DQ17"/>
  <c r="EE17"/>
  <c r="EP17"/>
  <c r="DL17"/>
  <c r="ES17"/>
  <c r="EQ17"/>
  <c r="EI17"/>
  <c r="EH17"/>
  <c r="DV17"/>
  <c r="ER17"/>
  <c r="DC17"/>
  <c r="DF17"/>
  <c r="CY17"/>
  <c r="EA17"/>
  <c r="DY17"/>
  <c r="DW17"/>
  <c r="DD17"/>
  <c r="DI17"/>
  <c r="EU17"/>
  <c r="DP17"/>
  <c r="DE17"/>
  <c r="DU17"/>
  <c r="EJ17"/>
  <c r="DT17"/>
  <c r="DM17"/>
  <c r="DO17"/>
  <c r="DJ17"/>
  <c r="DG17"/>
  <c r="EO17"/>
  <c r="DS17"/>
  <c r="DB17"/>
  <c r="EF17"/>
  <c r="CZ17"/>
  <c r="ED17"/>
  <c r="EB17"/>
  <c r="DZ17"/>
  <c r="DH17"/>
  <c r="DA17"/>
  <c r="DN17"/>
  <c r="DH27"/>
  <c r="EU27"/>
  <c r="EK27"/>
  <c r="EU11"/>
  <c r="DY11"/>
  <c r="AM17"/>
  <c r="AR17"/>
  <c r="AP17"/>
  <c r="AR16"/>
  <c r="AP16"/>
  <c r="AM16"/>
  <c r="AR24"/>
  <c r="AM24"/>
  <c r="AP24"/>
  <c r="AM10"/>
  <c r="AR10"/>
  <c r="EK26"/>
  <c r="CY26"/>
  <c r="DM27"/>
  <c r="DZ27"/>
  <c r="DR27"/>
  <c r="ES26"/>
  <c r="DR22"/>
  <c r="ER11"/>
  <c r="EB11"/>
  <c r="DX11"/>
  <c r="DH11"/>
  <c r="EK11"/>
  <c r="EE11"/>
  <c r="CY11"/>
  <c r="EL11"/>
  <c r="DF11"/>
  <c r="DV11"/>
  <c r="DK11"/>
  <c r="EA11"/>
  <c r="DE11"/>
  <c r="DS11"/>
  <c r="DO11"/>
  <c r="DI11"/>
  <c r="EG11"/>
  <c r="CX11"/>
  <c r="EQ11"/>
  <c r="DW11"/>
  <c r="DM11"/>
  <c r="EC11"/>
  <c r="CZ11"/>
  <c r="DT11"/>
  <c r="EJ11"/>
  <c r="DZ11"/>
  <c r="EI11"/>
  <c r="EH11"/>
  <c r="DR11"/>
  <c r="DA11"/>
  <c r="DP11"/>
  <c r="ES11"/>
  <c r="DD11"/>
  <c r="EO11"/>
  <c r="DL11"/>
  <c r="EF11"/>
  <c r="ET11"/>
  <c r="ED11"/>
  <c r="EM11"/>
  <c r="AR23"/>
  <c r="AP23"/>
  <c r="CY27"/>
  <c r="DF27"/>
  <c r="EM27"/>
  <c r="EB22"/>
  <c r="EN22"/>
  <c r="EF23"/>
  <c r="DA23"/>
  <c r="EM23"/>
  <c r="DK23"/>
  <c r="DV23"/>
  <c r="DY23"/>
  <c r="DP23"/>
  <c r="CX23"/>
  <c r="ET23"/>
  <c r="EL23"/>
  <c r="DM23"/>
  <c r="ES23"/>
  <c r="EJ23"/>
  <c r="DJ23"/>
  <c r="EC23"/>
  <c r="ER23"/>
  <c r="DL23"/>
  <c r="CZ23"/>
  <c r="DS23"/>
  <c r="EH23"/>
  <c r="DG23"/>
  <c r="EB23"/>
  <c r="DH23"/>
  <c r="EA23"/>
  <c r="DI23"/>
  <c r="DD23"/>
  <c r="DC23"/>
  <c r="DU23"/>
  <c r="EP23"/>
  <c r="DB23"/>
  <c r="DR23"/>
  <c r="DW23"/>
  <c r="EQ23"/>
  <c r="DE23"/>
  <c r="DX23"/>
  <c r="DT23"/>
  <c r="EN23"/>
  <c r="EK23"/>
  <c r="EG23"/>
  <c r="EE23"/>
  <c r="CY23"/>
  <c r="DX12"/>
  <c r="DE12"/>
  <c r="EF12"/>
  <c r="DN12"/>
  <c r="DR12"/>
  <c r="DP12"/>
  <c r="CZ12"/>
  <c r="DA12"/>
  <c r="DF12"/>
  <c r="DW12"/>
  <c r="EM12"/>
  <c r="DC12"/>
  <c r="EN12"/>
  <c r="DO12"/>
  <c r="EC12"/>
  <c r="DG12"/>
  <c r="EL12"/>
  <c r="EH12"/>
  <c r="ER12"/>
  <c r="EB12"/>
  <c r="EU12"/>
  <c r="ED12"/>
  <c r="DS12"/>
  <c r="DJ12"/>
  <c r="EG12"/>
  <c r="CY12"/>
  <c r="DK12"/>
  <c r="EE12"/>
  <c r="DB12"/>
  <c r="EP12"/>
  <c r="DL12"/>
  <c r="EI12"/>
  <c r="DQ12"/>
  <c r="ET12"/>
  <c r="EA12"/>
  <c r="DU12"/>
  <c r="EQ12"/>
  <c r="DT12"/>
  <c r="EK12"/>
  <c r="DZ12"/>
  <c r="EO12"/>
  <c r="CX12"/>
  <c r="EJ12"/>
  <c r="DM12"/>
  <c r="DZ23"/>
  <c r="EO23"/>
  <c r="AP21"/>
  <c r="AR21"/>
  <c r="DI26"/>
  <c r="DB26"/>
  <c r="DW26"/>
  <c r="DS26"/>
  <c r="DE26"/>
  <c r="EB26"/>
  <c r="DO26"/>
  <c r="DT26"/>
  <c r="DK26"/>
  <c r="EN26"/>
  <c r="EL26"/>
  <c r="DP26"/>
  <c r="DQ26"/>
  <c r="DH26"/>
  <c r="DU26"/>
  <c r="EG26"/>
  <c r="DD26"/>
  <c r="EU26"/>
  <c r="ET26"/>
  <c r="DC26"/>
  <c r="EJ26"/>
  <c r="EP26"/>
  <c r="DJ26"/>
  <c r="DZ26"/>
  <c r="ED26"/>
  <c r="DV26"/>
  <c r="DM26"/>
  <c r="EF26"/>
  <c r="DX26"/>
  <c r="CZ26"/>
  <c r="CX26"/>
  <c r="EC26"/>
  <c r="DY26"/>
  <c r="EM26"/>
  <c r="DR26"/>
  <c r="EO26"/>
  <c r="EA26"/>
  <c r="EH26"/>
  <c r="DF26"/>
  <c r="DN26"/>
  <c r="EQ26"/>
  <c r="AP12"/>
  <c r="AR12"/>
  <c r="AM12"/>
  <c r="DF23"/>
  <c r="AP26"/>
  <c r="AM26"/>
  <c r="AR26"/>
  <c r="EL18"/>
  <c r="DX18"/>
  <c r="EM18"/>
  <c r="DV18"/>
  <c r="EK18"/>
  <c r="CZ18"/>
  <c r="DY18"/>
  <c r="DQ18"/>
  <c r="DM18"/>
  <c r="EC18"/>
  <c r="DA18"/>
  <c r="DP18"/>
  <c r="DJ18"/>
  <c r="CY18"/>
  <c r="DI18"/>
  <c r="EH18"/>
  <c r="EF18"/>
  <c r="DL18"/>
  <c r="DW18"/>
  <c r="DF18"/>
  <c r="EI18"/>
  <c r="DD18"/>
  <c r="EB18"/>
  <c r="ED18"/>
  <c r="DO18"/>
  <c r="DR18"/>
  <c r="EU18"/>
  <c r="DE18"/>
  <c r="ER18"/>
  <c r="DK18"/>
  <c r="DZ18"/>
  <c r="DU18"/>
  <c r="CX18"/>
  <c r="ET18"/>
  <c r="DS18"/>
  <c r="DC18"/>
  <c r="DT18"/>
  <c r="DB18"/>
  <c r="EQ18"/>
  <c r="ES18"/>
  <c r="DG18"/>
  <c r="EE18"/>
  <c r="EJ18"/>
  <c r="EA18"/>
  <c r="DN18"/>
  <c r="EN18"/>
  <c r="EP18"/>
  <c r="EG18"/>
  <c r="EO18"/>
  <c r="DO23"/>
  <c r="DE13"/>
  <c r="DZ13"/>
  <c r="DV13"/>
  <c r="EU13"/>
  <c r="EP13"/>
  <c r="DF13"/>
  <c r="DQ13"/>
  <c r="EO13"/>
  <c r="DP13"/>
  <c r="ET13"/>
  <c r="DX13"/>
  <c r="EE13"/>
  <c r="ED13"/>
  <c r="DS13"/>
  <c r="DO13"/>
  <c r="DC13"/>
  <c r="EA13"/>
  <c r="CX13"/>
  <c r="EG13"/>
  <c r="DL13"/>
  <c r="DU13"/>
  <c r="EM13"/>
  <c r="EB13"/>
  <c r="DR13"/>
  <c r="EK13"/>
  <c r="DN13"/>
  <c r="DB13"/>
  <c r="DT13"/>
  <c r="ER13"/>
  <c r="DA13"/>
  <c r="ES13"/>
  <c r="EJ13"/>
  <c r="EQ13"/>
  <c r="DW13"/>
  <c r="DG13"/>
  <c r="DK13"/>
  <c r="DJ13"/>
  <c r="EF13"/>
  <c r="EL13"/>
  <c r="DM13"/>
  <c r="CZ13"/>
  <c r="DI13"/>
  <c r="EO21"/>
  <c r="DL21"/>
  <c r="ES21"/>
  <c r="DS21"/>
  <c r="EB21"/>
  <c r="EH21"/>
  <c r="ER21"/>
  <c r="DJ21"/>
  <c r="CX21"/>
  <c r="EQ21"/>
  <c r="DC21"/>
  <c r="EE21"/>
  <c r="EL21"/>
  <c r="EC21"/>
  <c r="DR21"/>
  <c r="EJ21"/>
  <c r="DV21"/>
  <c r="DM21"/>
  <c r="DO21"/>
  <c r="DQ21"/>
  <c r="DK21"/>
  <c r="EN21"/>
  <c r="EP21"/>
  <c r="EM21"/>
  <c r="DB21"/>
  <c r="DX21"/>
  <c r="DW21"/>
  <c r="ET21"/>
  <c r="DU21"/>
  <c r="DT21"/>
  <c r="EF21"/>
  <c r="DZ21"/>
  <c r="DI21"/>
  <c r="EG21"/>
  <c r="ED21"/>
  <c r="EA21"/>
  <c r="DY21"/>
  <c r="CY21"/>
  <c r="EI21"/>
  <c r="DF21"/>
  <c r="DA21"/>
  <c r="DP21"/>
  <c r="DN21"/>
  <c r="DD21"/>
  <c r="DH21"/>
  <c r="DG21"/>
  <c r="CZ21"/>
  <c r="EK21"/>
  <c r="EU21"/>
  <c r="DE21"/>
  <c r="EK20"/>
  <c r="EN20"/>
  <c r="DC20"/>
  <c r="EJ20"/>
  <c r="CY20"/>
  <c r="DM20"/>
  <c r="DX20"/>
  <c r="DO20"/>
  <c r="CX20"/>
  <c r="ES20"/>
  <c r="EI20"/>
  <c r="EE20"/>
  <c r="EC20"/>
  <c r="ER20"/>
  <c r="DR20"/>
  <c r="EU20"/>
  <c r="DA20"/>
  <c r="DK20"/>
  <c r="EG20"/>
  <c r="DT20"/>
  <c r="EA20"/>
  <c r="EF20"/>
  <c r="DS20"/>
  <c r="EQ20"/>
  <c r="EB20"/>
  <c r="EP20"/>
  <c r="EL20"/>
  <c r="DV20"/>
  <c r="EH20"/>
  <c r="DU20"/>
  <c r="DB20"/>
  <c r="DF20"/>
  <c r="DZ20"/>
  <c r="ED20"/>
  <c r="DL20"/>
  <c r="DQ20"/>
  <c r="DH20"/>
  <c r="EO20"/>
  <c r="DJ20"/>
  <c r="DE20"/>
  <c r="DP20"/>
  <c r="DG20"/>
  <c r="DY20"/>
  <c r="EM20"/>
  <c r="ET20"/>
  <c r="CZ20"/>
  <c r="DI20"/>
  <c r="DD20"/>
  <c r="DN20"/>
  <c r="DH13"/>
  <c r="CY13"/>
  <c r="EI13"/>
  <c r="EC13"/>
  <c r="EH13"/>
  <c r="DD13"/>
  <c r="DY13"/>
  <c r="B185" i="7"/>
  <c r="B185" i="8"/>
  <c r="CJ13" i="9" l="1"/>
  <c r="CJ12"/>
  <c r="CJ11"/>
  <c r="CJ27"/>
  <c r="CJ10"/>
  <c r="CJ26"/>
  <c r="CJ25"/>
  <c r="CJ24"/>
  <c r="CJ23"/>
  <c r="CJ22"/>
  <c r="CJ21"/>
  <c r="CJ20"/>
  <c r="CJ19"/>
  <c r="CJ18"/>
  <c r="CJ17"/>
  <c r="AT25" i="1"/>
  <c r="AT26"/>
  <c r="AT27"/>
  <c r="CI13" i="9" l="1"/>
  <c r="CI12"/>
  <c r="CI11"/>
  <c r="CI27"/>
  <c r="CI10"/>
  <c r="CI26"/>
  <c r="CI25"/>
  <c r="CI24"/>
  <c r="CI23"/>
  <c r="CI22"/>
  <c r="CI21"/>
  <c r="CI20"/>
  <c r="CI19"/>
  <c r="CI18"/>
  <c r="CI17"/>
  <c r="AQ18" i="1"/>
  <c r="CH13" i="9" l="1"/>
  <c r="CH12"/>
  <c r="CH11"/>
  <c r="CH27"/>
  <c r="CH10"/>
  <c r="CH26"/>
  <c r="CH25"/>
  <c r="CH24"/>
  <c r="CH23"/>
  <c r="CH22"/>
  <c r="CH21"/>
  <c r="CH20"/>
  <c r="CH19"/>
  <c r="CH18"/>
  <c r="CH17"/>
  <c r="AL21" i="1"/>
  <c r="AL18"/>
  <c r="AL16"/>
  <c r="AL15"/>
  <c r="AL14"/>
  <c r="AL13"/>
  <c r="AL6"/>
  <c r="AL4"/>
  <c r="AL26"/>
  <c r="AL25"/>
  <c r="AL24"/>
  <c r="AL23"/>
  <c r="AL22"/>
  <c r="AL20"/>
  <c r="AL19"/>
  <c r="AL17"/>
  <c r="AL12"/>
  <c r="AL11"/>
  <c r="AL10"/>
  <c r="AL9"/>
  <c r="AL8"/>
  <c r="AL7"/>
  <c r="AL5"/>
  <c r="CG13" i="9" l="1"/>
  <c r="CG12"/>
  <c r="CG11"/>
  <c r="CG27"/>
  <c r="CG10"/>
  <c r="CG26"/>
  <c r="CG25"/>
  <c r="CG24"/>
  <c r="CG23"/>
  <c r="CG22"/>
  <c r="CG21"/>
  <c r="CG20"/>
  <c r="CG19"/>
  <c r="CG18"/>
  <c r="CG17"/>
  <c r="AM12" i="1"/>
  <c r="AP12"/>
  <c r="AR12"/>
  <c r="AM18"/>
  <c r="AR18"/>
  <c r="AP18"/>
  <c r="AM25"/>
  <c r="AP25"/>
  <c r="AR25"/>
  <c r="AM10"/>
  <c r="AR10"/>
  <c r="AP10"/>
  <c r="AM16"/>
  <c r="AP16"/>
  <c r="AR16"/>
  <c r="AM24"/>
  <c r="AP24"/>
  <c r="AR24"/>
  <c r="AM15"/>
  <c r="AP15"/>
  <c r="AR15"/>
  <c r="AM9"/>
  <c r="AP9"/>
  <c r="AR9"/>
  <c r="AM23"/>
  <c r="AR23"/>
  <c r="AP23"/>
  <c r="AM14"/>
  <c r="AP14"/>
  <c r="AR14"/>
  <c r="AM26"/>
  <c r="AR26"/>
  <c r="AP26"/>
  <c r="AM11"/>
  <c r="AR11"/>
  <c r="AP11"/>
  <c r="AM8"/>
  <c r="AR8"/>
  <c r="AP8"/>
  <c r="AM7"/>
  <c r="AP7"/>
  <c r="AR7"/>
  <c r="AM22"/>
  <c r="AP22"/>
  <c r="AR22"/>
  <c r="AM13"/>
  <c r="AP13"/>
  <c r="AR13"/>
  <c r="AM20"/>
  <c r="AP20"/>
  <c r="AR20"/>
  <c r="AM19"/>
  <c r="AR19"/>
  <c r="AP19"/>
  <c r="AM5"/>
  <c r="AP5"/>
  <c r="AR5"/>
  <c r="AM6"/>
  <c r="AP6"/>
  <c r="AR6"/>
  <c r="AM4"/>
  <c r="AP4"/>
  <c r="AR4"/>
  <c r="AM17"/>
  <c r="AP17"/>
  <c r="AR17"/>
  <c r="AM21"/>
  <c r="AP21"/>
  <c r="AR21"/>
  <c r="AU27"/>
  <c r="AL27"/>
  <c r="BJ27"/>
  <c r="BZ27"/>
  <c r="CP27"/>
  <c r="BK27"/>
  <c r="CA27"/>
  <c r="CQ27"/>
  <c r="AW27"/>
  <c r="CD27"/>
  <c r="CJ27"/>
  <c r="BE27"/>
  <c r="BV27"/>
  <c r="CM27"/>
  <c r="BH27"/>
  <c r="AY27"/>
  <c r="BO27"/>
  <c r="CE27"/>
  <c r="BW27"/>
  <c r="CN27"/>
  <c r="AV27"/>
  <c r="BL27"/>
  <c r="CB27"/>
  <c r="CR27"/>
  <c r="BM27"/>
  <c r="CC27"/>
  <c r="AX27"/>
  <c r="BN27"/>
  <c r="BD27"/>
  <c r="CK27"/>
  <c r="BF27"/>
  <c r="BG27"/>
  <c r="CO27"/>
  <c r="AZ27"/>
  <c r="BP27"/>
  <c r="CF27"/>
  <c r="BA27"/>
  <c r="BQ27"/>
  <c r="CG27"/>
  <c r="BB27"/>
  <c r="BR27"/>
  <c r="CH27"/>
  <c r="BC27"/>
  <c r="BS27"/>
  <c r="CI27"/>
  <c r="BT27"/>
  <c r="BU27"/>
  <c r="CL27"/>
  <c r="BX27"/>
  <c r="BI27"/>
  <c r="BY27"/>
  <c r="AN12"/>
  <c r="AO12" s="1"/>
  <c r="AN26"/>
  <c r="AO26" s="1"/>
  <c r="AN18"/>
  <c r="AO18" s="1"/>
  <c r="AN27"/>
  <c r="AO27" s="1"/>
  <c r="AN17"/>
  <c r="AO17" s="1"/>
  <c r="AN21"/>
  <c r="AO21" s="1"/>
  <c r="AN11"/>
  <c r="AO11" s="1"/>
  <c r="AN25"/>
  <c r="AO25" s="1"/>
  <c r="AN4"/>
  <c r="AO4" s="1"/>
  <c r="AN22"/>
  <c r="AO22" s="1"/>
  <c r="AN20"/>
  <c r="AO20" s="1"/>
  <c r="AN5"/>
  <c r="AO5" s="1"/>
  <c r="AN6"/>
  <c r="AO6" s="1"/>
  <c r="AN19"/>
  <c r="AO19" s="1"/>
  <c r="AN8"/>
  <c r="AO8" s="1"/>
  <c r="AN9"/>
  <c r="AO9" s="1"/>
  <c r="AN23"/>
  <c r="AO23" s="1"/>
  <c r="AN14"/>
  <c r="AO14" s="1"/>
  <c r="AN13"/>
  <c r="AO13" s="1"/>
  <c r="AN7"/>
  <c r="AO7" s="1"/>
  <c r="AN24"/>
  <c r="AO24" s="1"/>
  <c r="AN15"/>
  <c r="AO15" s="1"/>
  <c r="AN10"/>
  <c r="AO10" s="1"/>
  <c r="AN16"/>
  <c r="AO16" s="1"/>
  <c r="CF17" i="9" l="1"/>
  <c r="CF13"/>
  <c r="CF12"/>
  <c r="CF11"/>
  <c r="CF27"/>
  <c r="CF10"/>
  <c r="CF26"/>
  <c r="CF25"/>
  <c r="CF24"/>
  <c r="CF23"/>
  <c r="CF22"/>
  <c r="CF21"/>
  <c r="CF20"/>
  <c r="CF19"/>
  <c r="CF18"/>
  <c r="GP17" i="1"/>
  <c r="GP24"/>
  <c r="GP9"/>
  <c r="GP23"/>
  <c r="GP8"/>
  <c r="GP7"/>
  <c r="GP16"/>
  <c r="GP15"/>
  <c r="GP14"/>
  <c r="GP22"/>
  <c r="GP13"/>
  <c r="GP21"/>
  <c r="GP6"/>
  <c r="GP20"/>
  <c r="GP5"/>
  <c r="GP4"/>
  <c r="GP12"/>
  <c r="GP19"/>
  <c r="GP11"/>
  <c r="GP27"/>
  <c r="GP10"/>
  <c r="GP18"/>
  <c r="GP26"/>
  <c r="GP25"/>
  <c r="AM27"/>
  <c r="AR27"/>
  <c r="AP27"/>
  <c r="CE18" i="9" l="1"/>
  <c r="CE17"/>
  <c r="CE13"/>
  <c r="CE12"/>
  <c r="CE11"/>
  <c r="CE27"/>
  <c r="CE10"/>
  <c r="CE26"/>
  <c r="CE25"/>
  <c r="CE24"/>
  <c r="CE23"/>
  <c r="CE22"/>
  <c r="CE21"/>
  <c r="CE20"/>
  <c r="CE19"/>
  <c r="CD19" l="1"/>
  <c r="CD18"/>
  <c r="CD17"/>
  <c r="CD13"/>
  <c r="CD12"/>
  <c r="CD11"/>
  <c r="CD27"/>
  <c r="CD10"/>
  <c r="CD26"/>
  <c r="CD25"/>
  <c r="CD24"/>
  <c r="CD23"/>
  <c r="CD22"/>
  <c r="CD21"/>
  <c r="CD20"/>
  <c r="CC20" l="1"/>
  <c r="CC19"/>
  <c r="CC18"/>
  <c r="CC17"/>
  <c r="CC13"/>
  <c r="CC12"/>
  <c r="CC11"/>
  <c r="CC27"/>
  <c r="CC10"/>
  <c r="CC26"/>
  <c r="CC25"/>
  <c r="CC24"/>
  <c r="CC23"/>
  <c r="CC22"/>
  <c r="CC21"/>
  <c r="CB21" l="1"/>
  <c r="CB20"/>
  <c r="CB19"/>
  <c r="CB18"/>
  <c r="CB17"/>
  <c r="CB13"/>
  <c r="CB12"/>
  <c r="CB11"/>
  <c r="CB27"/>
  <c r="CB10"/>
  <c r="CB26"/>
  <c r="CB25"/>
  <c r="CB24"/>
  <c r="CB23"/>
  <c r="CB22"/>
  <c r="CA22" l="1"/>
  <c r="CA21"/>
  <c r="CA20"/>
  <c r="CA19"/>
  <c r="CA18"/>
  <c r="CA17"/>
  <c r="CA13"/>
  <c r="CA12"/>
  <c r="CA11"/>
  <c r="CA27"/>
  <c r="CA10"/>
  <c r="CA26"/>
  <c r="CA25"/>
  <c r="CA24"/>
  <c r="CA23"/>
  <c r="BZ23" l="1"/>
  <c r="BZ22"/>
  <c r="BZ21"/>
  <c r="BZ20"/>
  <c r="BZ19"/>
  <c r="BZ18"/>
  <c r="BZ17"/>
  <c r="BZ13"/>
  <c r="BZ12"/>
  <c r="BZ11"/>
  <c r="BZ27"/>
  <c r="BZ10"/>
  <c r="BZ26"/>
  <c r="BZ25"/>
  <c r="BZ24"/>
  <c r="BY24" l="1"/>
  <c r="BY23"/>
  <c r="BY22"/>
  <c r="BY21"/>
  <c r="BY20"/>
  <c r="BY19"/>
  <c r="BY18"/>
  <c r="BY17"/>
  <c r="BY13"/>
  <c r="BY12"/>
  <c r="BY11"/>
  <c r="BY27"/>
  <c r="BY10"/>
  <c r="BY26"/>
  <c r="BY25"/>
  <c r="BX25" l="1"/>
  <c r="BX24"/>
  <c r="BX23"/>
  <c r="BX22"/>
  <c r="BX21"/>
  <c r="BX20"/>
  <c r="BX19"/>
  <c r="BX18"/>
  <c r="BX17"/>
  <c r="BX13"/>
  <c r="BX12"/>
  <c r="BX11"/>
  <c r="BX27"/>
  <c r="BX10"/>
  <c r="BX26"/>
  <c r="BW10" l="1"/>
  <c r="BW26"/>
  <c r="BW25"/>
  <c r="BW24"/>
  <c r="BW23"/>
  <c r="BW22"/>
  <c r="BW21"/>
  <c r="BW20"/>
  <c r="BW19"/>
  <c r="BW18"/>
  <c r="BW17"/>
  <c r="BW13"/>
  <c r="BW12"/>
  <c r="BW11"/>
  <c r="BW27"/>
  <c r="BV11" l="1"/>
  <c r="BV27"/>
  <c r="BV10"/>
  <c r="BV26"/>
  <c r="BV25"/>
  <c r="BV24"/>
  <c r="BV23"/>
  <c r="BV22"/>
  <c r="BV21"/>
  <c r="BV20"/>
  <c r="BV19"/>
  <c r="BV18"/>
  <c r="BV17"/>
  <c r="BV13"/>
  <c r="BV12"/>
  <c r="BU12" l="1"/>
  <c r="BU11"/>
  <c r="BU27"/>
  <c r="BU10"/>
  <c r="BU26"/>
  <c r="BU25"/>
  <c r="BU24"/>
  <c r="BU23"/>
  <c r="BU22"/>
  <c r="BU21"/>
  <c r="BU20"/>
  <c r="BU19"/>
  <c r="BU18"/>
  <c r="BU17"/>
  <c r="BU13"/>
  <c r="BT13" l="1"/>
  <c r="BT12"/>
  <c r="BT11"/>
  <c r="BT27"/>
  <c r="BT10"/>
  <c r="BT26"/>
  <c r="BT25"/>
  <c r="BT24"/>
  <c r="BT23"/>
  <c r="BT22"/>
  <c r="BT21"/>
  <c r="BT20"/>
  <c r="BT19"/>
  <c r="BT18"/>
  <c r="BT17"/>
  <c r="BS13" l="1"/>
  <c r="BS12"/>
  <c r="BS11"/>
  <c r="BS27"/>
  <c r="BS10"/>
  <c r="BS26"/>
  <c r="BS25"/>
  <c r="BS24"/>
  <c r="BS23"/>
  <c r="BS22"/>
  <c r="BS21"/>
  <c r="BS20"/>
  <c r="BS19"/>
  <c r="BS18"/>
  <c r="BS17"/>
  <c r="BR13" l="1"/>
  <c r="BR12"/>
  <c r="BR11"/>
  <c r="BR27"/>
  <c r="BR10"/>
  <c r="BR26"/>
  <c r="BR25"/>
  <c r="BR24"/>
  <c r="BR23"/>
  <c r="BR22"/>
  <c r="BR21"/>
  <c r="BR20"/>
  <c r="BR19"/>
  <c r="BR18"/>
  <c r="BR17"/>
  <c r="BQ13" l="1"/>
  <c r="BQ12"/>
  <c r="BQ11"/>
  <c r="BQ27"/>
  <c r="BQ10"/>
  <c r="BQ26"/>
  <c r="BQ25"/>
  <c r="BQ24"/>
  <c r="BQ23"/>
  <c r="BQ22"/>
  <c r="BQ21"/>
  <c r="BQ20"/>
  <c r="BQ19"/>
  <c r="BQ18"/>
  <c r="BQ17"/>
  <c r="BP17" l="1"/>
  <c r="BP13"/>
  <c r="BP12"/>
  <c r="BP11"/>
  <c r="BP27"/>
  <c r="BP10"/>
  <c r="BP26"/>
  <c r="BP25"/>
  <c r="BP24"/>
  <c r="BP23"/>
  <c r="BP22"/>
  <c r="BP21"/>
  <c r="BP20"/>
  <c r="BP19"/>
  <c r="BP18"/>
  <c r="BO18" l="1"/>
  <c r="BO17"/>
  <c r="BO13"/>
  <c r="BO12"/>
  <c r="BO11"/>
  <c r="BO27"/>
  <c r="BO10"/>
  <c r="BO26"/>
  <c r="BO25"/>
  <c r="BO24"/>
  <c r="BO23"/>
  <c r="BO22"/>
  <c r="BO21"/>
  <c r="BO20"/>
  <c r="BO19"/>
  <c r="BN19" l="1"/>
  <c r="BN18"/>
  <c r="BN17"/>
  <c r="BN13"/>
  <c r="BN12"/>
  <c r="BN11"/>
  <c r="BN27"/>
  <c r="BN10"/>
  <c r="BN26"/>
  <c r="BN25"/>
  <c r="BN24"/>
  <c r="BN23"/>
  <c r="BN22"/>
  <c r="BN21"/>
  <c r="BN20"/>
  <c r="BM20" l="1"/>
  <c r="BM19"/>
  <c r="BM18"/>
  <c r="BM17"/>
  <c r="BM13"/>
  <c r="BM12"/>
  <c r="BM11"/>
  <c r="BM27"/>
  <c r="BM10"/>
  <c r="BM26"/>
  <c r="BM25"/>
  <c r="BM24"/>
  <c r="BM23"/>
  <c r="BM22"/>
  <c r="BM21"/>
  <c r="BL21" l="1"/>
  <c r="BL20"/>
  <c r="BL19"/>
  <c r="BL18"/>
  <c r="BL17"/>
  <c r="BL13"/>
  <c r="BL12"/>
  <c r="BL11"/>
  <c r="BL27"/>
  <c r="BL10"/>
  <c r="BL26"/>
  <c r="BL25"/>
  <c r="BL24"/>
  <c r="BL23"/>
  <c r="BL22"/>
  <c r="BK22" l="1"/>
  <c r="BK21"/>
  <c r="BK20"/>
  <c r="BK19"/>
  <c r="BK18"/>
  <c r="BK17"/>
  <c r="BK13"/>
  <c r="BK12"/>
  <c r="BK11"/>
  <c r="BK27"/>
  <c r="BK10"/>
  <c r="BK26"/>
  <c r="BK25"/>
  <c r="BK24"/>
  <c r="BK23"/>
  <c r="BJ23" l="1"/>
  <c r="BJ22"/>
  <c r="BJ21"/>
  <c r="BJ20"/>
  <c r="BJ19"/>
  <c r="BJ18"/>
  <c r="BJ17"/>
  <c r="BJ13"/>
  <c r="BJ12"/>
  <c r="BJ11"/>
  <c r="BJ27"/>
  <c r="BJ10"/>
  <c r="BJ26"/>
  <c r="BJ25"/>
  <c r="BJ24"/>
  <c r="BI24" l="1"/>
  <c r="BI23"/>
  <c r="BI22"/>
  <c r="BI21"/>
  <c r="BI20"/>
  <c r="BI19"/>
  <c r="BI18"/>
  <c r="BI17"/>
  <c r="BI13"/>
  <c r="BI12"/>
  <c r="BI11"/>
  <c r="BI27"/>
  <c r="BI10"/>
  <c r="BI26"/>
  <c r="BI25"/>
  <c r="BH25" l="1"/>
  <c r="BH24"/>
  <c r="BH23"/>
  <c r="BH22"/>
  <c r="BH21"/>
  <c r="BH20"/>
  <c r="BH19"/>
  <c r="BH18"/>
  <c r="BH17"/>
  <c r="BH13"/>
  <c r="BH12"/>
  <c r="BH11"/>
  <c r="BH27"/>
  <c r="BH10"/>
  <c r="BH26"/>
  <c r="BG10" l="1"/>
  <c r="BG26"/>
  <c r="BG25"/>
  <c r="BG24"/>
  <c r="BG23"/>
  <c r="BG22"/>
  <c r="BG21"/>
  <c r="BG20"/>
  <c r="BG19"/>
  <c r="BG18"/>
  <c r="BG17"/>
  <c r="BG13"/>
  <c r="BG12"/>
  <c r="BG11"/>
  <c r="BG27"/>
  <c r="BF11" l="1"/>
  <c r="BF27"/>
  <c r="BF10"/>
  <c r="BF26"/>
  <c r="BF25"/>
  <c r="BF24"/>
  <c r="BF23"/>
  <c r="BF22"/>
  <c r="BF21"/>
  <c r="BF20"/>
  <c r="BF19"/>
  <c r="BF18"/>
  <c r="BF17"/>
  <c r="BF13"/>
  <c r="BF12"/>
  <c r="BE12" l="1"/>
  <c r="BE11"/>
  <c r="BE27"/>
  <c r="BE10"/>
  <c r="BE26"/>
  <c r="BE25"/>
  <c r="BE24"/>
  <c r="BE23"/>
  <c r="BE22"/>
  <c r="BE21"/>
  <c r="BE20"/>
  <c r="BE19"/>
  <c r="BE18"/>
  <c r="BE17"/>
  <c r="BE13"/>
  <c r="BD13" l="1"/>
  <c r="BD12"/>
  <c r="BD11"/>
  <c r="BD27"/>
  <c r="BD10"/>
  <c r="BD26"/>
  <c r="BD25"/>
  <c r="BD24"/>
  <c r="BD23"/>
  <c r="BD22"/>
  <c r="BD21"/>
  <c r="BD20"/>
  <c r="BD19"/>
  <c r="BD18"/>
  <c r="BD17"/>
  <c r="BC13" l="1"/>
  <c r="BC12"/>
  <c r="BC11"/>
  <c r="BC27"/>
  <c r="BC10"/>
  <c r="BC26"/>
  <c r="BC25"/>
  <c r="BC24"/>
  <c r="BC23"/>
  <c r="BC22"/>
  <c r="BC21"/>
  <c r="BC20"/>
  <c r="BC19"/>
  <c r="BC18"/>
  <c r="BC17"/>
  <c r="BB13" l="1"/>
  <c r="BB12"/>
  <c r="BB11"/>
  <c r="BB27"/>
  <c r="BB10"/>
  <c r="BB26"/>
  <c r="BB25"/>
  <c r="BB24"/>
  <c r="BB23"/>
  <c r="BB22"/>
  <c r="BB21"/>
  <c r="BB20"/>
  <c r="BB19"/>
  <c r="BB18"/>
  <c r="BB17"/>
  <c r="BA13" l="1"/>
  <c r="BA12"/>
  <c r="BA11"/>
  <c r="BA27"/>
  <c r="BA10"/>
  <c r="BA26"/>
  <c r="BA25"/>
  <c r="BA24"/>
  <c r="BA23"/>
  <c r="BA22"/>
  <c r="BA21"/>
  <c r="BA20"/>
  <c r="BA19"/>
  <c r="BA18"/>
  <c r="BA17"/>
  <c r="AZ17" l="1"/>
  <c r="AZ13"/>
  <c r="AZ12"/>
  <c r="AZ11"/>
  <c r="AZ27"/>
  <c r="AZ10"/>
  <c r="AZ26"/>
  <c r="AZ25"/>
  <c r="AZ24"/>
  <c r="AZ23"/>
  <c r="AZ22"/>
  <c r="AZ21"/>
  <c r="AZ20"/>
  <c r="AZ19"/>
  <c r="AZ18"/>
  <c r="IS27"/>
  <c r="IT27" s="1"/>
  <c r="AS27" s="1"/>
  <c r="AT27" s="1"/>
  <c r="IS4"/>
  <c r="IT4" s="1"/>
  <c r="AS4" s="1"/>
  <c r="AT4" s="1"/>
  <c r="IS12"/>
  <c r="IT12" s="1"/>
  <c r="AS12" s="1"/>
  <c r="AT12" s="1"/>
  <c r="IS18"/>
  <c r="IT18" s="1"/>
  <c r="AS18" s="1"/>
  <c r="AT18" s="1"/>
  <c r="IS7"/>
  <c r="IT7" s="1"/>
  <c r="AS7" s="1"/>
  <c r="AT7" s="1"/>
  <c r="IS20"/>
  <c r="IT20" s="1"/>
  <c r="AS20" s="1"/>
  <c r="AT20" s="1"/>
  <c r="IS24"/>
  <c r="IT24" s="1"/>
  <c r="AS24" s="1"/>
  <c r="AT24" s="1"/>
  <c r="IS26"/>
  <c r="IT26" s="1"/>
  <c r="AS26" s="1"/>
  <c r="AT26" s="1"/>
  <c r="IS11"/>
  <c r="IT11" s="1"/>
  <c r="AS11" s="1"/>
  <c r="AT11" s="1"/>
  <c r="IS19"/>
  <c r="IT19" s="1"/>
  <c r="AS19" s="1"/>
  <c r="AT19" s="1"/>
  <c r="IS14"/>
  <c r="IT14" s="1"/>
  <c r="AS14" s="1"/>
  <c r="AT14" s="1"/>
  <c r="IS5"/>
  <c r="IT5" s="1"/>
  <c r="AS5" s="1"/>
  <c r="AT5" s="1"/>
  <c r="IS15"/>
  <c r="IT15" s="1"/>
  <c r="AS15" s="1"/>
  <c r="AT15" s="1"/>
  <c r="IS22"/>
  <c r="IT22" s="1"/>
  <c r="AS22" s="1"/>
  <c r="AT22" s="1"/>
  <c r="IS8"/>
  <c r="IT8" s="1"/>
  <c r="AS8" s="1"/>
  <c r="AT8" s="1"/>
  <c r="IS25"/>
  <c r="IT25" s="1"/>
  <c r="AS25" s="1"/>
  <c r="AT25" s="1"/>
  <c r="IS9"/>
  <c r="IT9" s="1"/>
  <c r="AS9" s="1"/>
  <c r="AT9" s="1"/>
  <c r="IS10"/>
  <c r="IT10" s="1"/>
  <c r="AS10" s="1"/>
  <c r="AT10" s="1"/>
  <c r="IS13"/>
  <c r="IT13" s="1"/>
  <c r="AS13" s="1"/>
  <c r="AT13" s="1"/>
  <c r="IS21"/>
  <c r="IT21" s="1"/>
  <c r="AS21" s="1"/>
  <c r="AT21" s="1"/>
  <c r="IS16"/>
  <c r="IT16" s="1"/>
  <c r="AS16" s="1"/>
  <c r="AT16" s="1"/>
  <c r="IS6"/>
  <c r="IT6" s="1"/>
  <c r="AS6" s="1"/>
  <c r="AT6" s="1"/>
  <c r="IS17"/>
  <c r="IT17" s="1"/>
  <c r="AS17" s="1"/>
  <c r="AT17" s="1"/>
  <c r="IS23"/>
  <c r="IT23" s="1"/>
  <c r="AS23" s="1"/>
  <c r="AT23" s="1"/>
</calcChain>
</file>

<file path=xl/comments1.xml><?xml version="1.0" encoding="utf-8"?>
<comments xmlns="http://schemas.openxmlformats.org/spreadsheetml/2006/main">
  <authors>
    <author>evteev</author>
  </authors>
  <commentList>
    <comment ref="AI20" authorId="0">
      <text>
        <r>
          <rPr>
            <b/>
            <sz val="9"/>
            <color indexed="81"/>
            <rFont val="Tahoma"/>
            <family val="2"/>
            <charset val="204"/>
          </rPr>
          <t>evteev:</t>
        </r>
        <r>
          <rPr>
            <sz val="9"/>
            <color indexed="81"/>
            <rFont val="Tahoma"/>
            <family val="2"/>
            <charset val="204"/>
          </rPr>
          <t xml:space="preserve">
Экспертно (уголь Д)</t>
        </r>
      </text>
    </comment>
  </commentList>
</comments>
</file>

<file path=xl/sharedStrings.xml><?xml version="1.0" encoding="utf-8"?>
<sst xmlns="http://schemas.openxmlformats.org/spreadsheetml/2006/main" count="1186" uniqueCount="334">
  <si>
    <t>Код группы груза</t>
  </si>
  <si>
    <t>Группа груза</t>
  </si>
  <si>
    <t>Код груза</t>
  </si>
  <si>
    <t>Наим груза</t>
  </si>
  <si>
    <t>Вид груза</t>
  </si>
  <si>
    <t>Дор отпр</t>
  </si>
  <si>
    <t>Дор наз</t>
  </si>
  <si>
    <t>Станц отпр РФ</t>
  </si>
  <si>
    <t>Станц назн РФ</t>
  </si>
  <si>
    <t>Род вагона</t>
  </si>
  <si>
    <t>Вид перевозки</t>
  </si>
  <si>
    <t>Признак контейнерной отправки</t>
  </si>
  <si>
    <t>Направление</t>
  </si>
  <si>
    <t>ОКПО компании</t>
  </si>
  <si>
    <t>Компания отправителя</t>
  </si>
  <si>
    <t>Холдинг отправителя</t>
  </si>
  <si>
    <t>Уголь каменный</t>
  </si>
  <si>
    <t>УГОЛЬ Г</t>
  </si>
  <si>
    <t>уголь энергетический (кроме антрацита)</t>
  </si>
  <si>
    <t>ДВС</t>
  </si>
  <si>
    <t>ЧЕГДОМЫН</t>
  </si>
  <si>
    <t>ВАНИНО-ЭКСП</t>
  </si>
  <si>
    <t>полувагон</t>
  </si>
  <si>
    <t>Экспорт</t>
  </si>
  <si>
    <t>неконтейнерная</t>
  </si>
  <si>
    <t>Восточное</t>
  </si>
  <si>
    <t>ООО "КАРБОНПРО"</t>
  </si>
  <si>
    <t>АО "СУЭК"</t>
  </si>
  <si>
    <t>УГОЛЬ Д</t>
  </si>
  <si>
    <t>КРС</t>
  </si>
  <si>
    <t>ОКТ</t>
  </si>
  <si>
    <t>ЧЕРНОГ.КОПИ</t>
  </si>
  <si>
    <t>МУРМАНСК-ЭКС</t>
  </si>
  <si>
    <t>Северо-Западное</t>
  </si>
  <si>
    <t>СКВ</t>
  </si>
  <si>
    <t>АЗОВ-ЭКСПОРТ</t>
  </si>
  <si>
    <t>Южное</t>
  </si>
  <si>
    <t>УГ БУР НЕПОДМОС</t>
  </si>
  <si>
    <t>ЗАОЗЕРНАЯ</t>
  </si>
  <si>
    <t>БАЗАИХА</t>
  </si>
  <si>
    <t>Внутр. перевозки</t>
  </si>
  <si>
    <t>АО "СУЭК-КРАСНОЯРСК"</t>
  </si>
  <si>
    <t>СЕВ</t>
  </si>
  <si>
    <t>СОЛЬВЫЧЕГОДС</t>
  </si>
  <si>
    <t>ООО "СУЭК-ХАКАСИЯ"</t>
  </si>
  <si>
    <t>ЗСБ</t>
  </si>
  <si>
    <t>ЖЕРЕБЦОВО</t>
  </si>
  <si>
    <t>ИФР</t>
  </si>
  <si>
    <t>КАМЫШТА</t>
  </si>
  <si>
    <t>МИХ-СЕМ-Э</t>
  </si>
  <si>
    <t>ООО "УГОЛЬ ПЛЮС"</t>
  </si>
  <si>
    <t>АО "Русский уголь"</t>
  </si>
  <si>
    <t>КРАВЧЕНКО</t>
  </si>
  <si>
    <t>ЛУЖСКАЯ-ЭКСП</t>
  </si>
  <si>
    <t>АО "РУССКИЙ УГОЛЬ"</t>
  </si>
  <si>
    <t>ВЫШСТБЛ-ЭКС</t>
  </si>
  <si>
    <t>ЗАБ</t>
  </si>
  <si>
    <t>ЕКАТЕРИНОСЛ.</t>
  </si>
  <si>
    <t>БЛАГОВЕЩЕНСК</t>
  </si>
  <si>
    <t>АО "АМУРУГОЛЬ"</t>
  </si>
  <si>
    <t>МСК</t>
  </si>
  <si>
    <t>КИЛЬЧУГ</t>
  </si>
  <si>
    <t>ВОСЛЕБОВО</t>
  </si>
  <si>
    <t>БАРДИНО</t>
  </si>
  <si>
    <t>ООО "РАЗРЕЗ КИРБИНСКИЙ"</t>
  </si>
  <si>
    <t>УГОЛЬ Т</t>
  </si>
  <si>
    <t>САРБАЛА</t>
  </si>
  <si>
    <t>НАХОДКА-В-ЭК</t>
  </si>
  <si>
    <t>АО "АТРИУМ"</t>
  </si>
  <si>
    <t>ООО "УГМК-Холдинг"</t>
  </si>
  <si>
    <t>УГОЛЬ СС</t>
  </si>
  <si>
    <t>БОЧАТЫ</t>
  </si>
  <si>
    <t>ЕРУНАКОВО</t>
  </si>
  <si>
    <t>ТУАПСЕ-СОР-Э</t>
  </si>
  <si>
    <t>ВАНИНО-ПЕРЕВ</t>
  </si>
  <si>
    <t>АО "УК "КУЗБАССРАЗРЕЗУГОЛЬ"</t>
  </si>
  <si>
    <t>ЗБРОДОВО</t>
  </si>
  <si>
    <t>УГОЛЬ К</t>
  </si>
  <si>
    <t>уголь для коксования</t>
  </si>
  <si>
    <t>ЮВС</t>
  </si>
  <si>
    <t>НОВОЛИПЕЦК</t>
  </si>
  <si>
    <t>УЛАК</t>
  </si>
  <si>
    <t>СТРЕЛКОВАЯ-Э</t>
  </si>
  <si>
    <t>АО "НОВЫЙ МИР"</t>
  </si>
  <si>
    <t>ООО "УК "Эльга"</t>
  </si>
  <si>
    <t>ФЕВРАЛЬСК</t>
  </si>
  <si>
    <t>МЫС МАРИЯ</t>
  </si>
  <si>
    <t>ООО "ОГОДЖИНСКАЯ УГОЛЬНАЯ КОМПАНИЯ"</t>
  </si>
  <si>
    <t>КОНЦЕНТР УГОЛЬН</t>
  </si>
  <si>
    <t>МЕЖДУРЕЧЕНСК</t>
  </si>
  <si>
    <t>НАХОДКА-ЭКС</t>
  </si>
  <si>
    <t>ООО "КУБЕЙРА ТРЕЙДИНГ"</t>
  </si>
  <si>
    <t>ООО "ЕвразХолдинг"</t>
  </si>
  <si>
    <t>ОБНОРСКАЯ</t>
  </si>
  <si>
    <t>ПРОМПРОДУКТ УГ</t>
  </si>
  <si>
    <t>ХАБАРОВСК 1</t>
  </si>
  <si>
    <t>ЧЕРЕПОВЕЦ 2</t>
  </si>
  <si>
    <t>ООО "РУК"</t>
  </si>
  <si>
    <t>АНТРАЦИТ</t>
  </si>
  <si>
    <t>антрацит (энергетический уголь)</t>
  </si>
  <si>
    <t>ЕВСИНО</t>
  </si>
  <si>
    <t>СМОЛЯНИНОВ-Э</t>
  </si>
  <si>
    <t>ООО "СИБСЛК"</t>
  </si>
  <si>
    <t>ООО "Башкирский промышленный холдинг"</t>
  </si>
  <si>
    <t>МЫСКИ</t>
  </si>
  <si>
    <t>ВЕСЕЛОЕ-ЭКСП</t>
  </si>
  <si>
    <t>БИРЮЛИНСКАЯ</t>
  </si>
  <si>
    <t>ВСБ</t>
  </si>
  <si>
    <t>КАСЬЯНОВКА</t>
  </si>
  <si>
    <t>ООО "ЭН+ УГОЛЬ"</t>
  </si>
  <si>
    <t>ООО "Компания "Востсибуголь"</t>
  </si>
  <si>
    <t>ЧЕРЕМХОВО</t>
  </si>
  <si>
    <t>ООО "РАЗРЕЗ ЧЕРЕМХОВУГОЛЬ"</t>
  </si>
  <si>
    <t>СПИЧЕНКОВО</t>
  </si>
  <si>
    <t>ДЮАНКА-Э</t>
  </si>
  <si>
    <t>АО "ЦЕНТРАЛЬНОЕ"</t>
  </si>
  <si>
    <t>АО "Стройсервис"</t>
  </si>
  <si>
    <t>КАВКАЗ-ЭКСП</t>
  </si>
  <si>
    <t>БЕЛОВО</t>
  </si>
  <si>
    <t>БАГУЛЬНАЯ</t>
  </si>
  <si>
    <t>АО "СТРОЙСЕРВИС"</t>
  </si>
  <si>
    <t>ЧЕРКАС.КАМ.</t>
  </si>
  <si>
    <t>ЗАРИНСКАЯ</t>
  </si>
  <si>
    <t>ООО "ПРОМУГОЛЬСЕРВИС"</t>
  </si>
  <si>
    <t>ООО "Промугольсервис"</t>
  </si>
  <si>
    <t>ООО "РЕСУРС"</t>
  </si>
  <si>
    <t>МОНЧЕГОРСК</t>
  </si>
  <si>
    <t>ООО "ИНВЕСТ-УГЛЕСБЫТ"</t>
  </si>
  <si>
    <t>УГОЛЬ ОС-ОТОЩ</t>
  </si>
  <si>
    <t>КАЙГУР</t>
  </si>
  <si>
    <t>НОВОКУЗ.-СЕВ</t>
  </si>
  <si>
    <t>ООО "УК АНЖЕРСКАЯ-ЮЖНАЯ"</t>
  </si>
  <si>
    <t>ШИХТА УГОЛЬН</t>
  </si>
  <si>
    <t>НЕРЮНГРИ-ГР</t>
  </si>
  <si>
    <t>ПОСЬЕТ-ЭКСП</t>
  </si>
  <si>
    <t>АО ХК "ЯКУТУГОЛЬ"</t>
  </si>
  <si>
    <t>ПАО "Мечел"</t>
  </si>
  <si>
    <t>ЮУР</t>
  </si>
  <si>
    <t>МАГНИТОГ-ГР</t>
  </si>
  <si>
    <t>ТОМУСИНСКАЯ</t>
  </si>
  <si>
    <t>БИРЮЛЕВО-ТОВ</t>
  </si>
  <si>
    <t>ПАО "ЮЖНЫЙ КУЗБАСС"</t>
  </si>
  <si>
    <t>Средняя дальность(км)</t>
  </si>
  <si>
    <t>Расходы по оплате услуг ОАО 'РЖД', руб. за тонну гружёный рейс</t>
  </si>
  <si>
    <t>Расходы по оплате услуг ОАО 'РЖД', руб. за тонну порожний рейс</t>
  </si>
  <si>
    <t>Расходы по оплате услуг ОАО 'РЖД', руб. за тонну общая стоимость</t>
  </si>
  <si>
    <t>Расходы по оплате услуг операторов, руб. за тонну</t>
  </si>
  <si>
    <t>Расходы на перевалку, руб. за тонну</t>
  </si>
  <si>
    <t>Акциз/пошлина</t>
  </si>
  <si>
    <t>Себестоимость добычи/производства, руб. т.</t>
  </si>
  <si>
    <t>Стоимость 1 тонны на рынке, руб./т.</t>
  </si>
  <si>
    <t>Стоимость 1 тонны на рынке, $/т.</t>
  </si>
  <si>
    <t xml:space="preserve">Общие транспортные расходы, руб. за тонну </t>
  </si>
  <si>
    <t xml:space="preserve">Нетбэк, руб. за тонну </t>
  </si>
  <si>
    <t>Общие расходы, руб. за тонну</t>
  </si>
  <si>
    <t>Маржинальность</t>
  </si>
  <si>
    <t>Транспортная составляющая в цене %</t>
  </si>
  <si>
    <t>Инфраструктурная составляющая в цене %</t>
  </si>
  <si>
    <t>Инфраструктурная составляющая в транспортных затратах</t>
  </si>
  <si>
    <t>параметры перевозок</t>
  </si>
  <si>
    <t>Загрузка вагона</t>
  </si>
  <si>
    <t>группа вагонов</t>
  </si>
  <si>
    <t>Категория отправки</t>
  </si>
  <si>
    <t>маршрутная</t>
  </si>
  <si>
    <t>Груженый рейс, дней</t>
  </si>
  <si>
    <t>Порожний рейс, дней</t>
  </si>
  <si>
    <t>Ти подвижного состава</t>
  </si>
  <si>
    <t>Ставка за вагон, руб./сутки</t>
  </si>
  <si>
    <t>Полувагон 25 тс</t>
  </si>
  <si>
    <t>Полувагон 23,5 тс</t>
  </si>
  <si>
    <t>Порты ДВ</t>
  </si>
  <si>
    <t>Тамань</t>
  </si>
  <si>
    <t>Усть-Луга</t>
  </si>
  <si>
    <t>Валюта</t>
  </si>
  <si>
    <t>Доллар США</t>
  </si>
  <si>
    <t>Перевозки для нужд ОАО "РЖД"</t>
  </si>
  <si>
    <t>Магаданская ТЭЦ</t>
  </si>
  <si>
    <t>Черепетская ГРЭС</t>
  </si>
  <si>
    <t>Дальневосточная генерирующая компания</t>
  </si>
  <si>
    <t>Северсталь</t>
  </si>
  <si>
    <t>Кольская ГМК</t>
  </si>
  <si>
    <t>ММК в рамка холдинга Мечел</t>
  </si>
  <si>
    <t>Уголь_Экспорт</t>
  </si>
  <si>
    <t>Уголь_Внутренние</t>
  </si>
  <si>
    <t>Значение</t>
  </si>
  <si>
    <t>Коэффициент</t>
  </si>
  <si>
    <t>Изменение тарифа ОАО "РЖД"</t>
  </si>
  <si>
    <t>ООО БЗФ</t>
  </si>
  <si>
    <t>Средний курс с начала 2026</t>
  </si>
  <si>
    <t>Рязанская ГРЭС</t>
  </si>
  <si>
    <t>Красноярская ТЭЦ</t>
  </si>
  <si>
    <t>Сибирская генерирующая компания</t>
  </si>
  <si>
    <t>Аграрный холдинг</t>
  </si>
  <si>
    <t>НЛМК</t>
  </si>
  <si>
    <t xml:space="preserve">Обогатительная фабрика Березовская </t>
  </si>
  <si>
    <t>Касьяновская обогатительная фабрика (в рамках холдинга Эн+)</t>
  </si>
  <si>
    <t>Алтай Кокс</t>
  </si>
  <si>
    <t>ЕВРАЗ</t>
  </si>
  <si>
    <t>Москокс в рамка холдинга Мечел</t>
  </si>
  <si>
    <t>Обогатительная фабрика в рамках холдинга Мечел</t>
  </si>
  <si>
    <t>Обогатительная фабрика в рамках холдинга ЕВРАЗ</t>
  </si>
  <si>
    <t>Коэффициент загрузки предприятия</t>
  </si>
  <si>
    <t xml:space="preserve">Дайджест ЦФТО </t>
  </si>
  <si>
    <t>Курс руб/$</t>
  </si>
  <si>
    <t>Примечание</t>
  </si>
  <si>
    <t>параметры расчета тарифа</t>
  </si>
  <si>
    <t>Погрузка-разгрузка, дней</t>
  </si>
  <si>
    <t>экономика перевозок</t>
  </si>
  <si>
    <t>Оценка ИПЕМ</t>
  </si>
  <si>
    <t>Объем перевозок (тн)</t>
  </si>
  <si>
    <t>Грузооборот, ткм</t>
  </si>
  <si>
    <t>Кол-во вагонов</t>
  </si>
  <si>
    <t>Кол-во контейнеров</t>
  </si>
  <si>
    <t>Провозная плата, руб</t>
  </si>
  <si>
    <t>январь</t>
  </si>
  <si>
    <t>февраль</t>
  </si>
  <si>
    <t>март</t>
  </si>
  <si>
    <t>апрель</t>
  </si>
  <si>
    <t>май</t>
  </si>
  <si>
    <t>июнь</t>
  </si>
  <si>
    <t>июль</t>
  </si>
  <si>
    <t>август</t>
  </si>
  <si>
    <t>сентябрь</t>
  </si>
  <si>
    <t>октябрь</t>
  </si>
  <si>
    <t>ноябрь</t>
  </si>
  <si>
    <t>декабрь</t>
  </si>
  <si>
    <t>https://ru.myfin.by/currency/cb-rf-archive/2026</t>
  </si>
  <si>
    <t>УГОЛЬ</t>
  </si>
  <si>
    <t>$/т.</t>
  </si>
  <si>
    <t>руб/т.</t>
  </si>
  <si>
    <t>Ставка перевалки угля</t>
  </si>
  <si>
    <t>FOB Восточный</t>
  </si>
  <si>
    <t>FOB порты Балтии</t>
  </si>
  <si>
    <t>FOB порт Тамань</t>
  </si>
  <si>
    <t>FOB Дальний Восток</t>
  </si>
  <si>
    <t>внутренние перевозки</t>
  </si>
  <si>
    <t>сцеп цены</t>
  </si>
  <si>
    <t>FOB Северо-Запад</t>
  </si>
  <si>
    <t>FOB Юг</t>
  </si>
  <si>
    <t>уголь энергетический (кроме антрацита)ЭкспортВосточное</t>
  </si>
  <si>
    <t>уголь энергетический (кроме антрацита)ЭкспортСеверо-Западное</t>
  </si>
  <si>
    <t>уголь энергетический (кроме антрацита)ЭкспортЮжное</t>
  </si>
  <si>
    <t>уголь для коксованияЭкспортВосточное</t>
  </si>
  <si>
    <t>уголь для коксованияЭкспортСеверо-Западное</t>
  </si>
  <si>
    <t>уголь для коксованияЭкспортЮжное</t>
  </si>
  <si>
    <t>антрацит (энергетический уголь)ЭкспортВосточное</t>
  </si>
  <si>
    <t>антрацит (энергетический уголь)ЭкспортСеверо-Западное</t>
  </si>
  <si>
    <t>сцеп для базы</t>
  </si>
  <si>
    <t>внутренние перевозки уголь бурый</t>
  </si>
  <si>
    <t>Ставки аренды полувагонов</t>
  </si>
  <si>
    <t>для усреднения</t>
  </si>
  <si>
    <t>индексация жд тарифа</t>
  </si>
  <si>
    <t>Названия строк</t>
  </si>
  <si>
    <t>Общий итог</t>
  </si>
  <si>
    <t>Значения</t>
  </si>
  <si>
    <t>Сумма по полю Средний коэфф сохранения базы</t>
  </si>
  <si>
    <t>Всего</t>
  </si>
  <si>
    <t>антрацит (энергетический уголь) Итог</t>
  </si>
  <si>
    <t>уголь для коксования Итог</t>
  </si>
  <si>
    <t>уголь энергетический (кроме антрацита) Итог</t>
  </si>
  <si>
    <t>УГОЛЬ экспорт</t>
  </si>
  <si>
    <t>Всего погрузка:</t>
  </si>
  <si>
    <t>Внутренние</t>
  </si>
  <si>
    <t>План</t>
  </si>
  <si>
    <t>с учетом чувствительности</t>
  </si>
  <si>
    <t>+/-</t>
  </si>
  <si>
    <t>+/- %</t>
  </si>
  <si>
    <t>Погрузка, млн т</t>
  </si>
  <si>
    <t>Показатели</t>
  </si>
  <si>
    <t>факт</t>
  </si>
  <si>
    <t>прогноз</t>
  </si>
  <si>
    <t>темпы, %</t>
  </si>
  <si>
    <t>2036 - 2025, +/- абс</t>
  </si>
  <si>
    <t>2036/ 2025, %</t>
  </si>
  <si>
    <t>cagr 2025-2036, %</t>
  </si>
  <si>
    <t>2021 г</t>
  </si>
  <si>
    <t>2022 г</t>
  </si>
  <si>
    <t>2023 г</t>
  </si>
  <si>
    <t>2024 г</t>
  </si>
  <si>
    <t>2025 г</t>
  </si>
  <si>
    <t>2026 г</t>
  </si>
  <si>
    <t>2027 г</t>
  </si>
  <si>
    <t>2028 г</t>
  </si>
  <si>
    <t>2029 г</t>
  </si>
  <si>
    <t>2030 г</t>
  </si>
  <si>
    <t>2031 г</t>
  </si>
  <si>
    <t>2032 г</t>
  </si>
  <si>
    <t>2033 г</t>
  </si>
  <si>
    <t>2034 г</t>
  </si>
  <si>
    <t>2035 г</t>
  </si>
  <si>
    <t>2036 г</t>
  </si>
  <si>
    <t>ВСЕГО</t>
  </si>
  <si>
    <t>в т.ч. без угля</t>
  </si>
  <si>
    <t>Уголь</t>
  </si>
  <si>
    <t>Кокс</t>
  </si>
  <si>
    <t>Нефтяные грузы</t>
  </si>
  <si>
    <t>Руды металлические</t>
  </si>
  <si>
    <t>Черные металлы</t>
  </si>
  <si>
    <t>Лесные грузы</t>
  </si>
  <si>
    <t>Минстройматериалы</t>
  </si>
  <si>
    <t>Удобрения</t>
  </si>
  <si>
    <t>Хлебные грузы</t>
  </si>
  <si>
    <t>Прочие грузы</t>
  </si>
  <si>
    <t>в т.ч. Грузы в контейнерах</t>
  </si>
  <si>
    <t>Внутр. Перевозки</t>
  </si>
  <si>
    <t>Экспорт на Северо-Запад</t>
  </si>
  <si>
    <t>Экспорт на Юг-Центр</t>
  </si>
  <si>
    <t>Экспорт на Восток</t>
  </si>
  <si>
    <t>Факт (по плану погрузки)</t>
  </si>
  <si>
    <t>Факт ИХ перевезено</t>
  </si>
  <si>
    <t>млн.тонн</t>
  </si>
  <si>
    <t>в т.ч. Экспорт:</t>
  </si>
  <si>
    <t>Коэффициент сохранения базы ИПЕМ</t>
  </si>
  <si>
    <t>Коэффициент сохранения базы с корректировкой</t>
  </si>
  <si>
    <t>Коэффициент сохранения базы В РАСЧЕТ</t>
  </si>
  <si>
    <t>корректировка</t>
  </si>
  <si>
    <t>Сумма по полю Объем перевозок (тн)</t>
  </si>
  <si>
    <t>объем*
коэфф</t>
  </si>
  <si>
    <t>Сумма по полю объем*
коэфф</t>
  </si>
  <si>
    <t>при корректировке коэфф НЕ может принимать значения &gt;1, если у ИПЕМ он &lt;=1, т.е. груз нечувствителен</t>
  </si>
  <si>
    <t>при корректировке коэфф МОЖЕТ принимать значения &gt;1, если у ИПЕМ он &lt;=1, т.е. груз нечувствителен</t>
  </si>
  <si>
    <t>Справочно коэфф по направлениям:</t>
  </si>
  <si>
    <t>трнаспортная с индексацией</t>
  </si>
  <si>
    <t>экономика перевозок в текущих условиях</t>
  </si>
  <si>
    <t>Маржинальность с индексацией</t>
  </si>
  <si>
    <t>Маржинальность в текущих условиях</t>
  </si>
  <si>
    <t>ИНДЕКСАЦИЯ</t>
  </si>
  <si>
    <t>СКИДКА</t>
  </si>
  <si>
    <t>ПАРАМЕТРЫ ИЗМЕНЕНИЯ ТАРИФА</t>
  </si>
  <si>
    <t>Сценарий 270ВП от 28.05.2026 / погрузка 2026 г. 1108,5 млн т (ЦФТО 28.05.2026)</t>
  </si>
  <si>
    <t>до 50%</t>
  </si>
  <si>
    <t>до -50%</t>
  </si>
  <si>
    <t>Расходы по оплате услуг ОАО 'РЖД', руб. за тонну общая стоимость (тарифные условия 2026 года)</t>
  </si>
  <si>
    <t>индексация заданная</t>
  </si>
</sst>
</file>

<file path=xl/styles.xml><?xml version="1.0" encoding="utf-8"?>
<styleSheet xmlns="http://schemas.openxmlformats.org/spreadsheetml/2006/main">
  <numFmts count="70">
    <numFmt numFmtId="43" formatCode="_-* #,##0.00\ _₽_-;\-* #,##0.00\ _₽_-;_-* &quot;-&quot;??\ _₽_-;_-@_-"/>
    <numFmt numFmtId="164" formatCode="_-* #,##0.00_-;\-* #,##0.00_-;_-* &quot;-&quot;??_-;_-@_-"/>
    <numFmt numFmtId="165" formatCode="_-* #,##0.00_р_._-;\-* #,##0.00_р_._-;_-* &quot;-&quot;??_р_._-;_-@_-"/>
    <numFmt numFmtId="166" formatCode="_(* #,##0.00_);_(* \(#,##0.00\);_(* &quot;-&quot;??_);_(@_)"/>
    <numFmt numFmtId="167" formatCode="0.0000"/>
    <numFmt numFmtId="168" formatCode="0.000"/>
    <numFmt numFmtId="169" formatCode="0.0"/>
    <numFmt numFmtId="170" formatCode="0.0%"/>
    <numFmt numFmtId="171" formatCode="#,##0.0000"/>
    <numFmt numFmtId="172" formatCode="#,##0.0"/>
    <numFmt numFmtId="173" formatCode="#,##0.000"/>
    <numFmt numFmtId="174" formatCode="0.00000"/>
    <numFmt numFmtId="175" formatCode="_([$€-2]* #,##0.00_);_([$€-2]* \(#,##0.00\);_([$€-2]* &quot;-&quot;??_)"/>
    <numFmt numFmtId="176" formatCode="_(&quot;$&quot;* #,##0_);_(&quot;$&quot;* \(#,##0\);_(&quot;$&quot;* &quot;-&quot;_);_(@_)"/>
    <numFmt numFmtId="177" formatCode="_(&quot;$&quot;* #,##0.00_);_(&quot;$&quot;* \(#,##0.00\);_(&quot;$&quot;* &quot;-&quot;??_);_(@_)"/>
    <numFmt numFmtId="178" formatCode="_(* #,##0_);_(* \(#,##0\);_(* &quot;-&quot;??_);_(@_)"/>
    <numFmt numFmtId="179" formatCode="#,##0;[Red]#,##0"/>
    <numFmt numFmtId="180" formatCode="&quot;\&quot;#,##0;[Red]\-&quot;\&quot;#,##0"/>
    <numFmt numFmtId="181" formatCode="\£#,##0_);\(\£#,##0\)"/>
    <numFmt numFmtId="182" formatCode="#,##0;\-#,##0;&quot;-&quot;"/>
    <numFmt numFmtId="183" formatCode="#,##0.00;\-#,##0.00;&quot;-&quot;"/>
    <numFmt numFmtId="184" formatCode="#,##0%;\-#,##0%;&quot;- &quot;"/>
    <numFmt numFmtId="185" formatCode="#,##0.0%;\-#,##0.0%;&quot;- &quot;"/>
    <numFmt numFmtId="186" formatCode="#,##0.00%;\-#,##0.00%;&quot;- &quot;"/>
    <numFmt numFmtId="187" formatCode="#,##0.0;\-#,##0.0;&quot;-&quot;"/>
    <numFmt numFmtId="188" formatCode="&quot;error&quot;;&quot;error&quot;;&quot;OK&quot;;&quot;  &quot;@"/>
    <numFmt numFmtId="189" formatCode="0000"/>
    <numFmt numFmtId="190" formatCode="_(* #,##0.00_);[Red]_(* \(#,##0.00\);_(* &quot;-&quot;??_);_(@_)"/>
    <numFmt numFmtId="191" formatCode="&quot;$&quot;#,##0\ ;\(&quot;$&quot;#,##0\)"/>
    <numFmt numFmtId="192" formatCode="dd\ mmm\ yyyy_);;;&quot;  &quot;@"/>
    <numFmt numFmtId="193" formatCode="#,##0_);\(#,##0\);&quot;- &quot;;&quot;  &quot;@"/>
    <numFmt numFmtId="194" formatCode="0.0\x"/>
    <numFmt numFmtId="195" formatCode="_-* #,##0\ _F_B_-;\-* #,##0\ _F_B_-;_-* &quot;-&quot;\ _F_B_-;_-@_-"/>
    <numFmt numFmtId="196" formatCode="_-* #,##0.00\ _F_B_-;\-* #,##0.00\ _F_B_-;_-* &quot;-&quot;??\ _F_B_-;_-@_-"/>
    <numFmt numFmtId="197" formatCode="#,##0;\-#,##0;\ &quot;-&quot;;@"/>
    <numFmt numFmtId="198" formatCode="0.000_ ;\-0.000\ "/>
    <numFmt numFmtId="199" formatCode="#,##0.00;\-#,##0.00;\ &quot;-&quot;;@"/>
    <numFmt numFmtId="200" formatCode="#,##0.000_ ;[Red]\-#,##0.000\ "/>
    <numFmt numFmtId="201" formatCode="#,##0.000;\-#,##0.000;\ &quot;-&quot;;@"/>
    <numFmt numFmtId="202" formatCode="#,##0.0;\-#,##0.0;\ &quot;-&quot;;@"/>
    <numFmt numFmtId="203" formatCode="#,##0.0_ ;[Red]\-#,##0.0\ "/>
    <numFmt numFmtId="204" formatCode="#,##0.0000_);\(#,##0.0000\);&quot;- &quot;;&quot;  &quot;@"/>
    <numFmt numFmtId="205" formatCode="#,##0.0_);[Red]\(#,##0.0\)"/>
    <numFmt numFmtId="206" formatCode="_-* #,##0_-;_-* #,##0\-;_-* &quot;-&quot;_-;_-@_-"/>
    <numFmt numFmtId="207" formatCode="_-* #,##0.00_-;_-* #,##0.00\-;_-* &quot;-&quot;??_-;_-@_-"/>
    <numFmt numFmtId="208" formatCode="_-* #,##0\ _$_-;\-* #,##0\ _$_-;_-* &quot;-&quot;\ _$_-;_-@_-"/>
    <numFmt numFmtId="209" formatCode="_-* #,##0.00\ _$_-;\-* #,##0.00\ _$_-;_-* &quot;-&quot;??\ _$_-;_-@_-"/>
    <numFmt numFmtId="210" formatCode="#,##0__\ \ \ \ "/>
    <numFmt numFmtId="211" formatCode="_-* #,##0\ &quot;$&quot;_-;\-* #,##0\ &quot;$&quot;_-;_-* &quot;-&quot;\ &quot;$&quot;_-;_-@_-"/>
    <numFmt numFmtId="212" formatCode="_-* #,##0.00\ &quot;$&quot;_-;\-* #,##0.00\ &quot;$&quot;_-;_-* &quot;-&quot;??\ &quot;$&quot;_-;_-@_-"/>
    <numFmt numFmtId="213" formatCode="_(* #,##0.000_);[Red]_(* \(#,##0.000\);_(* &quot;-&quot;??_);_(@_)"/>
    <numFmt numFmtId="214" formatCode="&quot;$&quot;#,##0.0_);\(&quot;$&quot;#,##0.0\)"/>
    <numFmt numFmtId="215" formatCode="0.00\x"/>
    <numFmt numFmtId="216" formatCode="_-* #,##0\ &quot;FB&quot;_-;\-* #,##0\ &quot;FB&quot;_-;_-* &quot;-&quot;\ &quot;FB&quot;_-;_-@_-"/>
    <numFmt numFmtId="217" formatCode="_-* #,##0.00\ &quot;FB&quot;_-;\-* #,##0.00\ &quot;FB&quot;_-;_-* &quot;-&quot;??\ &quot;FB&quot;_-;_-@_-"/>
    <numFmt numFmtId="218" formatCode="#,##0______;;&quot;------------      &quot;"/>
    <numFmt numFmtId="219" formatCode="_-&quot;F&quot;\ * #,##0_-;_-&quot;F&quot;\ * #,##0\-;_-&quot;F&quot;\ * &quot;-&quot;_-;_-@_-"/>
    <numFmt numFmtId="220" formatCode="_-&quot;F&quot;\ * #,##0.00_-;_-&quot;F&quot;\ * #,##0.00\-;_-&quot;F&quot;\ * &quot;-&quot;??_-;_-@_-"/>
    <numFmt numFmtId="221" formatCode="\¥#,##0_);\(\¥#,##0\)"/>
    <numFmt numFmtId="222" formatCode=";;&quot;zero&quot;;&quot;  &quot;@"/>
    <numFmt numFmtId="223" formatCode="_-* #,##0.00&quot;р.&quot;_-;\-* #,##0.00&quot;р.&quot;_-;_-* &quot;-&quot;??&quot;р.&quot;_-;_-@_-"/>
    <numFmt numFmtId="224" formatCode="_-* #,##0.00\ &quot;р.&quot;_-;\-* #,##0.00\ &quot;р.&quot;_-;_-* &quot;-&quot;??\ &quot;р.&quot;\\-;_-@_-"/>
    <numFmt numFmtId="225" formatCode="#,##0.00&quot;р.&quot;;\-#,##0.00&quot;р.&quot;"/>
    <numFmt numFmtId="226" formatCode="[Red]&quot;Ошибка&quot;;[Red]&quot;Ошибка&quot;;&quot;Ok&quot;"/>
    <numFmt numFmtId="227" formatCode="#,##0\т"/>
    <numFmt numFmtId="228" formatCode="_-* #,##0\ _р_._-;\-* #,##0\ _р_._-;_-* &quot;-&quot;\ _р_._-;_-@_-"/>
    <numFmt numFmtId="229" formatCode="_-* #,##0.00\ _р_._-;\-* #,##0.00\ _р_._-;_-* &quot;-&quot;??\ _р_._-;_-@_-"/>
    <numFmt numFmtId="230" formatCode="_(* #,##0_);_(* \(#,##0\);_(* &quot;-&quot;_);_(@_)"/>
    <numFmt numFmtId="231" formatCode="_-* #,##0.0_р_._-;\-* #,##0.0_р_._-;_-* &quot;-&quot;??_р_._-;_-@_-"/>
    <numFmt numFmtId="232" formatCode="&quot;\&quot;#,##0"/>
  </numFmts>
  <fonts count="237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7"/>
      <color indexed="0"/>
      <name val="Arial"/>
      <family val="2"/>
      <charset val="204"/>
    </font>
    <font>
      <b/>
      <sz val="10"/>
      <color indexed="0"/>
      <name val="Arial"/>
      <family val="2"/>
      <charset val="204"/>
    </font>
    <font>
      <sz val="10"/>
      <color indexed="0"/>
      <name val="Arial"/>
      <family val="2"/>
      <charset val="204"/>
    </font>
    <font>
      <i/>
      <sz val="12"/>
      <color indexed="0"/>
      <name val="Arial"/>
      <family val="2"/>
      <charset val="204"/>
    </font>
    <font>
      <sz val="12"/>
      <name val="Times New Roman CYR"/>
      <charset val="204"/>
    </font>
    <font>
      <b/>
      <sz val="11"/>
      <color indexed="8"/>
      <name val="Calibri"/>
      <family val="2"/>
    </font>
    <font>
      <b/>
      <sz val="10"/>
      <name val="Times New Roman CYR"/>
      <charset val="204"/>
    </font>
    <font>
      <b/>
      <sz val="7"/>
      <color indexed="0"/>
      <name val="MS Sans Serif"/>
      <family val="2"/>
      <charset val="204"/>
    </font>
    <font>
      <b/>
      <sz val="8"/>
      <name val="Arial"/>
      <family val="2"/>
    </font>
    <font>
      <sz val="8"/>
      <color indexed="62"/>
      <name val="Arial"/>
      <family val="2"/>
    </font>
    <font>
      <b/>
      <sz val="8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sz val="8"/>
      <name val="Arial"/>
      <family val="2"/>
      <charset val="204"/>
    </font>
    <font>
      <sz val="8"/>
      <color indexed="8"/>
      <name val="Arial"/>
      <family val="2"/>
    </font>
    <font>
      <sz val="19"/>
      <name val="Arial"/>
      <family val="2"/>
    </font>
    <font>
      <sz val="8"/>
      <color indexed="14"/>
      <name val="Arial"/>
      <family val="2"/>
    </font>
    <font>
      <b/>
      <sz val="18"/>
      <color indexed="62"/>
      <name val="Cambria"/>
      <family val="2"/>
    </font>
    <font>
      <b/>
      <sz val="12"/>
      <name val="Times New Roman CYR"/>
      <charset val="204"/>
    </font>
    <font>
      <sz val="11"/>
      <color indexed="48"/>
      <name val="Calibri"/>
      <family val="2"/>
    </font>
    <font>
      <b/>
      <sz val="11"/>
      <color indexed="63"/>
      <name val="Calibri"/>
      <family val="2"/>
    </font>
    <font>
      <b/>
      <sz val="11"/>
      <color indexed="17"/>
      <name val="Calibri"/>
      <family val="2"/>
    </font>
    <font>
      <u/>
      <sz val="10"/>
      <color indexed="12"/>
      <name val="Arial Cyr"/>
      <charset val="204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1"/>
      <color indexed="9"/>
      <name val="Calibri"/>
      <family val="2"/>
    </font>
    <font>
      <sz val="11"/>
      <color indexed="17"/>
      <name val="Calibri"/>
      <family val="2"/>
    </font>
    <font>
      <sz val="10"/>
      <name val="Times New Roman"/>
      <family val="1"/>
      <charset val="204"/>
    </font>
    <font>
      <sz val="12"/>
      <name val="Arial Cyr"/>
      <charset val="204"/>
    </font>
    <font>
      <sz val="14"/>
      <color theme="1"/>
      <name val="Times New Roman"/>
      <family val="2"/>
      <charset val="204"/>
    </font>
    <font>
      <sz val="10"/>
      <name val="MS Sans Serif"/>
      <family val="2"/>
      <charset val="204"/>
    </font>
    <font>
      <sz val="10"/>
      <name val="Arial"/>
      <family val="2"/>
      <charset val="204"/>
    </font>
    <font>
      <sz val="10"/>
      <name val="Arial Cyr"/>
      <charset val="204"/>
    </font>
    <font>
      <sz val="11"/>
      <color indexed="8"/>
      <name val="Calibri"/>
      <family val="2"/>
      <charset val="204"/>
    </font>
    <font>
      <sz val="10"/>
      <name val="Times New Roman Cyr"/>
      <charset val="204"/>
    </font>
    <font>
      <sz val="10"/>
      <color indexed="8"/>
      <name val="Arial"/>
      <family val="2"/>
      <charset val="204"/>
    </font>
    <font>
      <sz val="10"/>
      <color indexed="8"/>
      <name val="Arial"/>
      <family val="2"/>
    </font>
    <font>
      <sz val="11"/>
      <color indexed="37"/>
      <name val="Calibri"/>
      <family val="2"/>
    </font>
    <font>
      <sz val="10"/>
      <name val="Helv"/>
      <charset val="204"/>
    </font>
    <font>
      <sz val="11"/>
      <color indexed="14"/>
      <name val="Calibri"/>
      <family val="2"/>
    </font>
    <font>
      <sz val="11"/>
      <name val="Arial"/>
      <family val="2"/>
      <charset val="204"/>
    </font>
    <font>
      <b/>
      <sz val="12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22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theme="1"/>
      <name val="Arial"/>
      <family val="2"/>
      <charset val="204"/>
    </font>
    <font>
      <sz val="11"/>
      <color theme="1"/>
      <name val="Calibri"/>
      <family val="2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mbria"/>
      <family val="1"/>
      <charset val="204"/>
    </font>
    <font>
      <u/>
      <sz val="11"/>
      <color theme="10"/>
      <name val="Calibri"/>
      <family val="2"/>
      <charset val="204"/>
      <scheme val="minor"/>
    </font>
    <font>
      <u/>
      <sz val="14.3"/>
      <color theme="10"/>
      <name val="Calibri"/>
      <family val="2"/>
      <charset val="204"/>
    </font>
    <font>
      <i/>
      <sz val="11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sz val="12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sz val="10"/>
      <name val="Calibri"/>
      <family val="2"/>
      <charset val="204"/>
    </font>
    <font>
      <b/>
      <sz val="10"/>
      <name val="Calibri"/>
      <family val="2"/>
      <charset val="204"/>
    </font>
    <font>
      <b/>
      <i/>
      <sz val="10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  <font>
      <b/>
      <i/>
      <sz val="10"/>
      <name val="Calibri"/>
      <family val="2"/>
      <charset val="204"/>
    </font>
    <font>
      <i/>
      <sz val="10"/>
      <name val="Calibri"/>
      <family val="2"/>
      <charset val="204"/>
      <scheme val="minor"/>
    </font>
    <font>
      <i/>
      <sz val="10"/>
      <name val="Calibri"/>
      <family val="2"/>
      <charset val="204"/>
    </font>
    <font>
      <sz val="10"/>
      <color theme="1"/>
      <name val="Calibri"/>
      <family val="2"/>
      <charset val="204"/>
    </font>
    <font>
      <i/>
      <sz val="10"/>
      <color theme="1"/>
      <name val="Calibri"/>
      <family val="2"/>
      <charset val="204"/>
    </font>
    <font>
      <sz val="10"/>
      <name val="Book Antiqua"/>
      <family val="1"/>
      <charset val="204"/>
    </font>
    <font>
      <sz val="10"/>
      <name val="Helv"/>
      <family val="2"/>
    </font>
    <font>
      <sz val="10"/>
      <name val="Arial Cyr"/>
      <family val="2"/>
      <charset val="204"/>
    </font>
    <font>
      <sz val="10"/>
      <name val="Helv"/>
    </font>
    <font>
      <sz val="10"/>
      <name val="Courier"/>
      <family val="3"/>
    </font>
    <font>
      <sz val="1"/>
      <color indexed="8"/>
      <name val="Courier"/>
      <family val="1"/>
      <charset val="204"/>
    </font>
    <font>
      <sz val="1"/>
      <color indexed="8"/>
      <name val="Courier"/>
      <family val="3"/>
    </font>
    <font>
      <b/>
      <sz val="1"/>
      <color indexed="8"/>
      <name val="Courier"/>
      <family val="1"/>
      <charset val="204"/>
    </font>
    <font>
      <b/>
      <i/>
      <sz val="12"/>
      <name val="Arial"/>
      <family val="2"/>
      <charset val="204"/>
    </font>
    <font>
      <b/>
      <sz val="12"/>
      <name val="Arial"/>
      <family val="2"/>
      <charset val="204"/>
    </font>
    <font>
      <b/>
      <sz val="12"/>
      <color indexed="9"/>
      <name val="Arial"/>
      <family val="2"/>
    </font>
    <font>
      <b/>
      <sz val="14"/>
      <color indexed="9"/>
      <name val="Arial"/>
      <family val="2"/>
      <charset val="204"/>
    </font>
    <font>
      <b/>
      <i/>
      <sz val="14"/>
      <name val="Arial"/>
      <family val="2"/>
    </font>
    <font>
      <b/>
      <i/>
      <sz val="20"/>
      <name val="Arial"/>
      <family val="2"/>
    </font>
    <font>
      <b/>
      <sz val="16"/>
      <color indexed="9"/>
      <name val="Arial"/>
      <family val="2"/>
    </font>
    <font>
      <b/>
      <sz val="14"/>
      <name val="Arial"/>
      <family val="2"/>
    </font>
    <font>
      <b/>
      <i/>
      <sz val="22"/>
      <name val="Arial"/>
      <family val="2"/>
    </font>
    <font>
      <sz val="11"/>
      <color indexed="9"/>
      <name val="Calibri"/>
      <family val="2"/>
      <charset val="204"/>
    </font>
    <font>
      <sz val="8"/>
      <name val="Helv"/>
      <family val="2"/>
    </font>
    <font>
      <sz val="8"/>
      <name val="Helv"/>
      <charset val="204"/>
    </font>
    <font>
      <sz val="12"/>
      <name val="Times New Roman"/>
      <family val="1"/>
      <charset val="204"/>
    </font>
    <font>
      <sz val="12"/>
      <name val="Arial"/>
      <family val="2"/>
    </font>
    <font>
      <i/>
      <sz val="10"/>
      <color indexed="8"/>
      <name val="Arial"/>
      <family val="2"/>
      <charset val="204"/>
    </font>
    <font>
      <b/>
      <sz val="10"/>
      <color indexed="8"/>
      <name val="Arial"/>
      <family val="2"/>
      <charset val="204"/>
    </font>
    <font>
      <b/>
      <sz val="12"/>
      <color indexed="0"/>
      <name val="Arial"/>
      <family val="2"/>
      <charset val="204"/>
    </font>
    <font>
      <i/>
      <sz val="7"/>
      <color indexed="0"/>
      <name val="Arial"/>
      <family val="2"/>
      <charset val="204"/>
    </font>
    <font>
      <sz val="8"/>
      <color indexed="8"/>
      <name val="Arial"/>
      <family val="2"/>
      <charset val="204"/>
    </font>
    <font>
      <b/>
      <sz val="7"/>
      <color indexed="0"/>
      <name val="Arial"/>
      <family val="2"/>
      <charset val="204"/>
    </font>
    <font>
      <sz val="11"/>
      <color indexed="20"/>
      <name val="Calibri"/>
      <family val="2"/>
      <charset val="204"/>
    </font>
    <font>
      <b/>
      <sz val="10"/>
      <color indexed="8"/>
      <name val="Arial"/>
      <family val="2"/>
    </font>
    <font>
      <sz val="10"/>
      <color indexed="8"/>
      <name val="Tms Rmn"/>
      <family val="1"/>
    </font>
    <font>
      <sz val="10"/>
      <color indexed="8"/>
      <name val="Tms Rmn"/>
    </font>
    <font>
      <sz val="10"/>
      <color indexed="12"/>
      <name val="Times New Roman"/>
      <family val="1"/>
    </font>
    <font>
      <sz val="12"/>
      <name val="Tms Rmn"/>
      <family val="1"/>
    </font>
    <font>
      <sz val="12"/>
      <name val="Tms Rmn"/>
    </font>
    <font>
      <u val="singleAccounting"/>
      <sz val="10"/>
      <name val="Arial"/>
      <family val="2"/>
    </font>
    <font>
      <sz val="12"/>
      <name val="±???A?"/>
      <charset val="129"/>
    </font>
    <font>
      <b/>
      <sz val="11"/>
      <color indexed="52"/>
      <name val="Calibri"/>
      <family val="2"/>
      <charset val="204"/>
    </font>
    <font>
      <b/>
      <sz val="12"/>
      <name val="Times New Roman"/>
      <family val="1"/>
    </font>
    <font>
      <b/>
      <sz val="11"/>
      <color indexed="9"/>
      <name val="Calibri"/>
      <family val="2"/>
      <charset val="204"/>
    </font>
    <font>
      <sz val="8"/>
      <color indexed="12"/>
      <name val="Times New Roman"/>
      <family val="1"/>
    </font>
    <font>
      <sz val="8"/>
      <name val="Palatino"/>
      <family val="1"/>
    </font>
    <font>
      <sz val="11"/>
      <color theme="1"/>
      <name val="Calibri"/>
      <family val="2"/>
      <charset val="204"/>
    </font>
    <font>
      <sz val="8"/>
      <color theme="1"/>
      <name val="Calibri"/>
      <family val="2"/>
      <charset val="204"/>
      <scheme val="minor"/>
    </font>
    <font>
      <sz val="12"/>
      <color indexed="24"/>
      <name val="Arial"/>
      <family val="2"/>
      <charset val="204"/>
    </font>
    <font>
      <b/>
      <sz val="10"/>
      <color rgb="FF000000"/>
      <name val="Arial"/>
      <family val="2"/>
      <charset val="204"/>
    </font>
    <font>
      <sz val="8"/>
      <color rgb="FF000000"/>
      <name val="Arial"/>
      <family val="2"/>
      <charset val="204"/>
    </font>
    <font>
      <b/>
      <sz val="8"/>
      <color rgb="FF000000"/>
      <name val="Arial"/>
      <family val="2"/>
      <charset val="204"/>
    </font>
    <font>
      <i/>
      <sz val="8"/>
      <color rgb="FF000000"/>
      <name val="Arial"/>
      <family val="2"/>
      <charset val="204"/>
    </font>
    <font>
      <b/>
      <i/>
      <sz val="8"/>
      <color rgb="FF000000"/>
      <name val="Arial"/>
      <family val="2"/>
      <charset val="204"/>
    </font>
    <font>
      <b/>
      <sz val="9"/>
      <color rgb="FFFFFFFF"/>
      <name val="Arial"/>
      <family val="2"/>
      <charset val="204"/>
    </font>
    <font>
      <b/>
      <sz val="9"/>
      <color rgb="FF000000"/>
      <name val="Arial"/>
      <family val="2"/>
      <charset val="204"/>
    </font>
    <font>
      <b/>
      <sz val="8"/>
      <color rgb="FF010000"/>
      <name val="Arial"/>
      <family val="2"/>
      <charset val="204"/>
    </font>
    <font>
      <b/>
      <sz val="10"/>
      <name val="Arial"/>
      <family val="2"/>
    </font>
    <font>
      <u val="doubleAccounting"/>
      <sz val="10"/>
      <name val="Arial"/>
      <family val="2"/>
    </font>
    <font>
      <sz val="12"/>
      <name val="Tms Rmn"/>
      <charset val="204"/>
    </font>
    <font>
      <sz val="10"/>
      <color indexed="12"/>
      <name val="Arial"/>
      <family val="2"/>
    </font>
    <font>
      <i/>
      <sz val="11"/>
      <color indexed="23"/>
      <name val="Calibri"/>
      <family val="2"/>
      <charset val="204"/>
    </font>
    <font>
      <sz val="8"/>
      <color rgb="FFED7D31"/>
      <name val="Arial"/>
      <family val="2"/>
      <charset val="204"/>
    </font>
    <font>
      <b/>
      <sz val="8"/>
      <color rgb="FFFFFFFF"/>
      <name val="Arial"/>
      <family val="2"/>
      <charset val="204"/>
    </font>
    <font>
      <i/>
      <sz val="1"/>
      <color indexed="8"/>
      <name val="Courier"/>
      <family val="3"/>
    </font>
    <font>
      <u/>
      <sz val="10"/>
      <color indexed="36"/>
      <name val="Arial"/>
      <family val="2"/>
      <charset val="204"/>
    </font>
    <font>
      <sz val="7"/>
      <name val="Palatino"/>
      <family val="1"/>
    </font>
    <font>
      <sz val="11"/>
      <color indexed="17"/>
      <name val="Calibri"/>
      <family val="2"/>
      <charset val="204"/>
    </font>
    <font>
      <sz val="10"/>
      <color indexed="17"/>
      <name val="Times New Roman"/>
      <family val="1"/>
    </font>
    <font>
      <sz val="6"/>
      <color indexed="16"/>
      <name val="Palatino"/>
      <family val="1"/>
    </font>
    <font>
      <b/>
      <sz val="12"/>
      <name val="Arial"/>
      <family val="2"/>
    </font>
    <font>
      <b/>
      <sz val="8"/>
      <name val="Palatino"/>
      <family val="1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i/>
      <sz val="22"/>
      <name val="Times New Roman"/>
      <family val="1"/>
      <charset val="204"/>
    </font>
    <font>
      <sz val="10"/>
      <color indexed="9"/>
      <name val="Times New Roman"/>
      <family val="1"/>
    </font>
    <font>
      <u/>
      <sz val="10"/>
      <color indexed="12"/>
      <name val="Arial"/>
      <family val="2"/>
      <charset val="204"/>
    </font>
    <font>
      <sz val="10"/>
      <name val="Times New Roman Cyr"/>
    </font>
    <font>
      <sz val="11"/>
      <color indexed="62"/>
      <name val="Calibri"/>
      <family val="2"/>
      <charset val="204"/>
    </font>
    <font>
      <u/>
      <sz val="10"/>
      <color indexed="36"/>
      <name val="Arial Cyr"/>
      <charset val="204"/>
    </font>
    <font>
      <b/>
      <u/>
      <sz val="16"/>
      <name val="Arial"/>
      <family val="2"/>
      <charset val="204"/>
    </font>
    <font>
      <sz val="10"/>
      <color indexed="14"/>
      <name val="Arial"/>
      <family val="2"/>
    </font>
    <font>
      <sz val="11"/>
      <color indexed="52"/>
      <name val="Calibri"/>
      <family val="2"/>
      <charset val="204"/>
    </font>
    <font>
      <i/>
      <sz val="10"/>
      <name val="PragmaticaC"/>
      <charset val="204"/>
    </font>
    <font>
      <sz val="12"/>
      <name val="Times New Roman"/>
      <family val="1"/>
    </font>
    <font>
      <sz val="11"/>
      <color indexed="60"/>
      <name val="Calibri"/>
      <family val="2"/>
      <charset val="204"/>
    </font>
    <font>
      <sz val="7"/>
      <name val="Small Fonts"/>
      <family val="2"/>
      <charset val="204"/>
    </font>
    <font>
      <sz val="8"/>
      <name val="Tahoma"/>
      <family val="2"/>
    </font>
    <font>
      <sz val="10"/>
      <color theme="1"/>
      <name val="Arial"/>
      <family val="2"/>
    </font>
    <font>
      <sz val="10"/>
      <color theme="1"/>
      <name val="Arial Narrow"/>
      <family val="2"/>
      <charset val="204"/>
    </font>
    <font>
      <sz val="14"/>
      <name val="NewtonC"/>
      <charset val="204"/>
    </font>
    <font>
      <sz val="10"/>
      <name val="Times New Roman CE"/>
      <charset val="238"/>
    </font>
    <font>
      <sz val="8"/>
      <name val="Times New Roman"/>
      <family val="1"/>
      <charset val="204"/>
    </font>
    <font>
      <sz val="12"/>
      <name val="Times New Roman CE"/>
      <charset val="238"/>
    </font>
    <font>
      <sz val="10"/>
      <name val="Palatino"/>
      <family val="1"/>
    </font>
    <font>
      <b/>
      <sz val="11"/>
      <color indexed="63"/>
      <name val="Calibri"/>
      <family val="2"/>
      <charset val="204"/>
    </font>
    <font>
      <b/>
      <i/>
      <sz val="10"/>
      <color indexed="8"/>
      <name val="Arial"/>
      <family val="2"/>
    </font>
    <font>
      <b/>
      <sz val="10"/>
      <color indexed="9"/>
      <name val="Arial"/>
      <family val="2"/>
    </font>
    <font>
      <b/>
      <sz val="10"/>
      <color indexed="17"/>
      <name val="Arial"/>
      <family val="2"/>
    </font>
    <font>
      <b/>
      <sz val="10"/>
      <color indexed="13"/>
      <name val="Arial"/>
      <family val="2"/>
    </font>
    <font>
      <b/>
      <sz val="20"/>
      <name val="Times New Roman"/>
      <family val="1"/>
      <charset val="204"/>
    </font>
    <font>
      <sz val="10"/>
      <color indexed="16"/>
      <name val="Helvetica-Black"/>
    </font>
    <font>
      <sz val="10"/>
      <color indexed="10"/>
      <name val="Arial"/>
      <family val="2"/>
    </font>
    <font>
      <i/>
      <sz val="12"/>
      <name val="Tms Rmn"/>
      <family val="1"/>
    </font>
    <font>
      <i/>
      <sz val="12"/>
      <name val="Tms Rmn"/>
      <charset val="204"/>
    </font>
    <font>
      <sz val="10"/>
      <color indexed="10"/>
      <name val="Times New Roman"/>
      <family val="1"/>
    </font>
    <font>
      <sz val="9.5"/>
      <color indexed="23"/>
      <name val="Helvetica-Black"/>
    </font>
    <font>
      <sz val="10"/>
      <color indexed="39"/>
      <name val="Arial"/>
      <family val="2"/>
    </font>
    <font>
      <b/>
      <sz val="11"/>
      <color indexed="8"/>
      <name val="Times New Roman"/>
      <family val="1"/>
      <charset val="204"/>
    </font>
    <font>
      <sz val="10"/>
      <name val="0"/>
      <charset val="204"/>
    </font>
    <font>
      <sz val="10"/>
      <name val="Tms Rmn"/>
      <family val="1"/>
    </font>
    <font>
      <sz val="10"/>
      <name val="Tms Rmn"/>
    </font>
    <font>
      <sz val="10"/>
      <name val="ZapfCalligr BT"/>
    </font>
    <font>
      <b/>
      <sz val="18"/>
      <name val="Times New Roman"/>
      <family val="1"/>
      <charset val="204"/>
    </font>
    <font>
      <b/>
      <sz val="9"/>
      <name val="Palatino"/>
      <family val="1"/>
    </font>
    <font>
      <sz val="9"/>
      <color indexed="21"/>
      <name val="Helvetica-Black"/>
    </font>
    <font>
      <b/>
      <sz val="10"/>
      <name val="Palatino"/>
      <family val="1"/>
    </font>
    <font>
      <sz val="9"/>
      <name val="Helvetica-Black"/>
    </font>
    <font>
      <b/>
      <sz val="10"/>
      <name val="Times New Roman"/>
      <family val="1"/>
    </font>
    <font>
      <sz val="12"/>
      <color indexed="8"/>
      <name val="Palatino"/>
      <family val="1"/>
    </font>
    <font>
      <sz val="11"/>
      <color indexed="8"/>
      <name val="Helvetica-Black"/>
    </font>
    <font>
      <sz val="10"/>
      <name val="Times New Roman"/>
      <family val="1"/>
    </font>
    <font>
      <sz val="10"/>
      <color indexed="0"/>
      <name val="Times New Roman"/>
      <family val="1"/>
      <charset val="204"/>
    </font>
    <font>
      <b/>
      <sz val="10"/>
      <color indexed="0"/>
      <name val="Times New Roman"/>
      <family val="1"/>
      <charset val="204"/>
    </font>
    <font>
      <b/>
      <sz val="12"/>
      <color indexed="0"/>
      <name val="Times New Roman"/>
      <family val="1"/>
      <charset val="204"/>
    </font>
    <font>
      <b/>
      <sz val="8"/>
      <color indexed="8"/>
      <name val="Times New Roman"/>
      <family val="1"/>
      <charset val="204"/>
    </font>
    <font>
      <b/>
      <sz val="18"/>
      <color indexed="56"/>
      <name val="Cambria"/>
      <family val="2"/>
      <charset val="204"/>
    </font>
    <font>
      <b/>
      <sz val="10"/>
      <name val="Arial"/>
      <family val="2"/>
      <charset val="204"/>
    </font>
    <font>
      <b/>
      <sz val="11"/>
      <color indexed="8"/>
      <name val="Calibri"/>
      <family val="2"/>
      <charset val="204"/>
    </font>
    <font>
      <u/>
      <sz val="8"/>
      <color indexed="8"/>
      <name val="Arial"/>
      <family val="2"/>
    </font>
    <font>
      <b/>
      <sz val="14"/>
      <name val="Times New Roman"/>
      <family val="1"/>
      <charset val="204"/>
    </font>
    <font>
      <sz val="11"/>
      <color indexed="10"/>
      <name val="Calibri"/>
      <family val="2"/>
      <charset val="204"/>
    </font>
    <font>
      <sz val="10"/>
      <name val="Arial Cyr"/>
    </font>
    <font>
      <b/>
      <i/>
      <sz val="8"/>
      <name val="Helv"/>
      <family val="2"/>
    </font>
    <font>
      <b/>
      <i/>
      <sz val="8"/>
      <name val="Helv"/>
    </font>
    <font>
      <b/>
      <sz val="12"/>
      <color rgb="FF000000"/>
      <name val="Times New Roman"/>
      <family val="1"/>
      <charset val="204"/>
    </font>
    <font>
      <b/>
      <sz val="11"/>
      <name val="Times New Roman"/>
      <family val="1"/>
      <charset val="204"/>
    </font>
    <font>
      <sz val="8"/>
      <color theme="1"/>
      <name val="Arial"/>
      <family val="2"/>
      <charset val="204"/>
    </font>
    <font>
      <b/>
      <sz val="8"/>
      <name val="Arial Cyr"/>
      <family val="2"/>
      <charset val="204"/>
    </font>
    <font>
      <u/>
      <sz val="7.7"/>
      <color theme="10"/>
      <name val="Calibri"/>
      <family val="2"/>
      <charset val="204"/>
    </font>
    <font>
      <u/>
      <sz val="10"/>
      <color theme="10"/>
      <name val="Arial Cyr"/>
      <charset val="204"/>
    </font>
    <font>
      <sz val="8"/>
      <name val="Arial Cyr"/>
    </font>
    <font>
      <b/>
      <sz val="10"/>
      <color theme="0"/>
      <name val="Arial"/>
      <family val="2"/>
      <charset val="204"/>
    </font>
    <font>
      <sz val="10"/>
      <color indexed="9"/>
      <name val="Arial Cyr"/>
      <family val="2"/>
      <charset val="204"/>
    </font>
    <font>
      <b/>
      <sz val="12"/>
      <name val="Arial Cyr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theme="1"/>
      <name val="Arial Cyr"/>
      <family val="2"/>
      <charset val="204"/>
    </font>
    <font>
      <sz val="10"/>
      <name val="Courier New"/>
      <family val="3"/>
      <charset val="204"/>
    </font>
    <font>
      <sz val="12"/>
      <name val="Times New Roman Cyr"/>
    </font>
    <font>
      <sz val="12"/>
      <name val="Times New Roman Cyr"/>
      <family val="1"/>
      <charset val="204"/>
    </font>
    <font>
      <sz val="8"/>
      <color theme="5"/>
      <name val="Arial"/>
      <family val="2"/>
      <charset val="204"/>
    </font>
    <font>
      <b/>
      <sz val="14"/>
      <color theme="0" tint="-0.249977111117893"/>
      <name val="Times New Roman"/>
      <family val="1"/>
      <charset val="204"/>
    </font>
    <font>
      <sz val="12"/>
      <name val="Arial Cyr"/>
      <family val="2"/>
      <charset val="204"/>
    </font>
    <font>
      <sz val="14"/>
      <name val="Arial Cyr"/>
      <family val="2"/>
      <charset val="204"/>
    </font>
    <font>
      <sz val="10"/>
      <name val="Arial Narrow"/>
      <family val="2"/>
      <charset val="204"/>
    </font>
    <font>
      <i/>
      <sz val="8"/>
      <color theme="1"/>
      <name val="Calibri"/>
      <family val="2"/>
      <charset val="204"/>
      <scheme val="minor"/>
    </font>
    <font>
      <sz val="8"/>
      <name val="Arial Cyr"/>
      <family val="2"/>
      <charset val="204"/>
    </font>
    <font>
      <sz val="8"/>
      <name val="Tahoma"/>
      <family val="2"/>
      <charset val="204"/>
    </font>
    <font>
      <sz val="11"/>
      <color theme="4" tint="0.79998168889431442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6"/>
      <color theme="4" tint="0.79998168889431442"/>
      <name val="Calibri"/>
      <family val="2"/>
      <charset val="204"/>
      <scheme val="minor"/>
    </font>
    <font>
      <sz val="11"/>
      <color theme="7" tint="0.79998168889431442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6"/>
      <name val="Calibri"/>
      <family val="2"/>
      <charset val="204"/>
      <scheme val="minor"/>
    </font>
  </fonts>
  <fills count="123">
    <fill>
      <patternFill patternType="none"/>
    </fill>
    <fill>
      <patternFill patternType="gray125"/>
    </fill>
    <fill>
      <patternFill patternType="solid">
        <fgColor indexed="61"/>
        <bgColor indexed="61"/>
      </patternFill>
    </fill>
    <fill>
      <patternFill patternType="solid">
        <fgColor indexed="22"/>
        <bgColor indexed="22"/>
      </patternFill>
    </fill>
    <fill>
      <patternFill patternType="solid">
        <fgColor indexed="58"/>
        <bgColor indexed="58"/>
      </patternFill>
    </fill>
    <fill>
      <patternFill patternType="solid">
        <fgColor indexed="31"/>
        <bgColor indexed="31"/>
      </patternFill>
    </fill>
    <fill>
      <patternFill patternType="solid">
        <fgColor indexed="40"/>
        <bgColor indexed="40"/>
      </patternFill>
    </fill>
    <fill>
      <patternFill patternType="solid">
        <fgColor indexed="45"/>
        <bgColor indexed="45"/>
      </patternFill>
    </fill>
    <fill>
      <patternFill patternType="solid">
        <fgColor indexed="60"/>
        <bgColor indexed="60"/>
      </patternFill>
    </fill>
    <fill>
      <patternFill patternType="solid">
        <fgColor indexed="11"/>
        <bgColor indexed="11"/>
      </patternFill>
    </fill>
    <fill>
      <patternFill patternType="solid">
        <fgColor indexed="50"/>
        <bgColor indexed="50"/>
      </patternFill>
    </fill>
    <fill>
      <patternFill patternType="solid">
        <fgColor indexed="55"/>
        <bgColor indexed="55"/>
      </patternFill>
    </fill>
    <fill>
      <patternFill patternType="solid">
        <fgColor indexed="41"/>
        <bgColor indexed="41"/>
      </patternFill>
    </fill>
    <fill>
      <patternFill patternType="solid">
        <fgColor indexed="54"/>
        <bgColor indexed="54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51"/>
        <bgColor indexed="51"/>
      </patternFill>
    </fill>
    <fill>
      <patternFill patternType="solid">
        <fgColor indexed="1"/>
      </patternFill>
    </fill>
    <fill>
      <patternFill patternType="lightUp">
        <fgColor indexed="9"/>
        <bgColor indexed="24"/>
      </patternFill>
    </fill>
    <fill>
      <patternFill patternType="lightUp">
        <fgColor indexed="9"/>
        <bgColor indexed="12"/>
      </patternFill>
    </fill>
    <fill>
      <patternFill patternType="lightUp">
        <fgColor indexed="9"/>
        <bgColor indexed="57"/>
      </patternFill>
    </fill>
    <fill>
      <patternFill patternType="solid">
        <fgColor rgb="FFECF1F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49"/>
      </patternFill>
    </fill>
    <fill>
      <patternFill patternType="solid">
        <fgColor indexed="45"/>
      </patternFill>
    </fill>
    <fill>
      <patternFill patternType="solid">
        <fgColor indexed="12"/>
      </patternFill>
    </fill>
    <fill>
      <patternFill patternType="solid">
        <fgColor indexed="10"/>
      </patternFill>
    </fill>
    <fill>
      <patternFill patternType="solid">
        <fgColor indexed="51"/>
      </patternFill>
    </fill>
    <fill>
      <patternFill patternType="solid">
        <fgColor indexed="52"/>
      </patternFill>
    </fill>
    <fill>
      <patternFill patternType="solid">
        <fgColor indexed="53"/>
      </patternFill>
    </fill>
    <fill>
      <patternFill patternType="solid">
        <fgColor indexed="57"/>
      </patternFill>
    </fill>
    <fill>
      <patternFill patternType="solid">
        <fgColor indexed="50"/>
      </patternFill>
    </fill>
    <fill>
      <patternFill patternType="solid">
        <fgColor indexed="11"/>
      </patternFill>
    </fill>
    <fill>
      <patternFill patternType="lightUp">
        <fgColor indexed="48"/>
        <bgColor indexed="41"/>
      </patternFill>
    </fill>
    <fill>
      <patternFill patternType="solid">
        <fgColor indexed="54"/>
      </patternFill>
    </fill>
    <fill>
      <patternFill patternType="solid">
        <fgColor indexed="40"/>
      </patternFill>
    </fill>
    <fill>
      <patternFill patternType="solid">
        <fgColor indexed="41"/>
      </patternFill>
    </fill>
    <fill>
      <patternFill patternType="solid">
        <fgColor rgb="FF90BBF0"/>
        <bgColor indexed="64"/>
      </patternFill>
    </fill>
    <fill>
      <patternFill patternType="solid">
        <fgColor indexed="22"/>
      </patternFill>
    </fill>
    <fill>
      <patternFill patternType="solid">
        <fgColor rgb="FFB2D0F4"/>
        <bgColor indexed="64"/>
      </patternFill>
    </fill>
    <fill>
      <patternFill patternType="solid">
        <fgColor indexed="23"/>
      </patternFill>
    </fill>
    <fill>
      <patternFill patternType="solid">
        <fgColor rgb="FFC5DCF7"/>
        <bgColor indexed="64"/>
      </patternFill>
    </fill>
    <fill>
      <patternFill patternType="solid">
        <fgColor indexed="44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15"/>
      </patternFill>
    </fill>
    <fill>
      <patternFill patternType="solid">
        <fgColor indexed="20"/>
      </patternFill>
    </fill>
    <fill>
      <patternFill patternType="solid">
        <fgColor indexed="48"/>
        <bgColor indexed="48"/>
      </patternFill>
    </fill>
    <fill>
      <patternFill patternType="solid">
        <fgColor indexed="25"/>
        <bgColor indexed="25"/>
      </patternFill>
    </fill>
    <fill>
      <patternFill patternType="solid">
        <fgColor indexed="57"/>
        <bgColor indexed="57"/>
      </patternFill>
    </fill>
    <fill>
      <patternFill patternType="solid">
        <fgColor indexed="18"/>
        <bgColor indexed="18"/>
      </patternFill>
    </fill>
    <fill>
      <patternFill patternType="solid">
        <fgColor indexed="53"/>
        <bgColor indexed="53"/>
      </patternFill>
    </fill>
    <fill>
      <patternFill patternType="solid">
        <fgColor indexed="35"/>
        <bgColor indexed="35"/>
      </patternFill>
    </fill>
    <fill>
      <patternFill patternType="solid">
        <fgColor indexed="60"/>
      </patternFill>
    </fill>
    <fill>
      <patternFill patternType="solid">
        <fgColor rgb="FFEAF1F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theme="9" tint="0.79998168889431442"/>
        <bgColor indexed="65"/>
      </patternFill>
    </fill>
    <fill>
      <patternFill patternType="lightGray">
        <fgColor indexed="22"/>
      </patternFill>
    </fill>
    <fill>
      <patternFill patternType="solid">
        <fgColor indexed="6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31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62"/>
      </patternFill>
    </fill>
    <fill>
      <patternFill patternType="solid">
        <fgColor indexed="5"/>
      </patternFill>
    </fill>
    <fill>
      <patternFill patternType="lightGray">
        <fgColor indexed="15"/>
      </patternFill>
    </fill>
    <fill>
      <patternFill patternType="solid">
        <fgColor indexed="55"/>
      </patternFill>
    </fill>
    <fill>
      <patternFill patternType="solid">
        <fgColor rgb="FF44546A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indexed="33"/>
        <bgColor indexed="33"/>
      </patternFill>
    </fill>
    <fill>
      <patternFill patternType="solid">
        <fgColor indexed="14"/>
      </patternFill>
    </fill>
    <fill>
      <patternFill patternType="solid">
        <fgColor rgb="FFEBF1DE"/>
        <bgColor indexed="64"/>
      </patternFill>
    </fill>
    <fill>
      <patternFill patternType="solid">
        <fgColor rgb="FFACB9CA"/>
        <bgColor indexed="64"/>
      </patternFill>
    </fill>
    <fill>
      <patternFill patternType="solid">
        <fgColor indexed="13"/>
      </patternFill>
    </fill>
    <fill>
      <patternFill patternType="solid">
        <fgColor indexed="17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theme="0" tint="-0.14999847407452621"/>
        <bgColor indexed="64"/>
      </patternFill>
    </fill>
  </fills>
  <borders count="1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58"/>
      </left>
      <right style="medium">
        <color indexed="58"/>
      </right>
      <top style="medium">
        <color indexed="58"/>
      </top>
      <bottom style="thin">
        <color indexed="5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 style="thin">
        <color indexed="64"/>
      </diagonal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58"/>
      </bottom>
      <diagonal/>
    </border>
    <border>
      <left/>
      <right/>
      <top/>
      <bottom style="medium">
        <color indexed="58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17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medium">
        <color indexed="64"/>
      </left>
      <right style="thin">
        <color indexed="64"/>
      </right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23"/>
      </top>
      <bottom style="medium">
        <color indexed="23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indexed="64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indexed="64"/>
      </right>
      <top/>
      <bottom/>
      <diagonal/>
    </border>
  </borders>
  <cellStyleXfs count="20902">
    <xf numFmtId="0" fontId="0" fillId="0" borderId="0"/>
    <xf numFmtId="43" fontId="1" fillId="0" borderId="0" applyFont="0" applyFill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6" borderId="0" applyNumberFormat="0" applyBorder="0" applyAlignment="0" applyProtection="0"/>
    <xf numFmtId="0" fontId="5" fillId="7" borderId="0" applyNumberFormat="0" applyBorder="0" applyAlignment="0" applyProtection="0"/>
    <xf numFmtId="0" fontId="4" fillId="8" borderId="0" applyNumberFormat="0" applyBorder="0" applyAlignment="0" applyProtection="0"/>
    <xf numFmtId="0" fontId="4" fillId="9" borderId="0" applyNumberFormat="0" applyBorder="0" applyAlignment="0" applyProtection="0"/>
    <xf numFmtId="0" fontId="5" fillId="10" borderId="0" applyNumberFormat="0" applyBorder="0" applyAlignment="0" applyProtection="0"/>
    <xf numFmtId="0" fontId="4" fillId="5" borderId="0" applyNumberFormat="0" applyBorder="0" applyAlignment="0" applyProtection="0"/>
    <xf numFmtId="0" fontId="4" fillId="11" borderId="0" applyNumberFormat="0" applyBorder="0" applyAlignment="0" applyProtection="0"/>
    <xf numFmtId="0" fontId="5" fillId="6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5" fillId="4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16" borderId="0" applyNumberFormat="0" applyBorder="0" applyAlignment="0" applyProtection="0"/>
    <xf numFmtId="49" fontId="6" fillId="17" borderId="1">
      <alignment horizontal="left" vertical="top" wrapText="1"/>
      <protection locked="0"/>
    </xf>
    <xf numFmtId="49" fontId="7" fillId="17" borderId="1">
      <alignment horizontal="center" vertical="top" wrapText="1"/>
      <protection locked="0"/>
    </xf>
    <xf numFmtId="49" fontId="8" fillId="17" borderId="0">
      <alignment horizontal="right" vertical="top" wrapText="1"/>
      <protection locked="0"/>
    </xf>
    <xf numFmtId="49" fontId="8" fillId="17" borderId="0">
      <alignment horizontal="center" vertical="top" wrapText="1"/>
      <protection locked="0"/>
    </xf>
    <xf numFmtId="49" fontId="9" fillId="17" borderId="0">
      <alignment horizontal="left" vertical="top" wrapText="1"/>
      <protection locked="0"/>
    </xf>
    <xf numFmtId="0" fontId="10" fillId="0" borderId="2">
      <alignment horizontal="left" vertical="top"/>
      <protection locked="0"/>
    </xf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11" fillId="20" borderId="0" applyNumberFormat="0" applyBorder="0" applyAlignment="0" applyProtection="0"/>
    <xf numFmtId="0" fontId="12" fillId="0" borderId="2">
      <alignment horizontal="center" vertical="top"/>
      <protection locked="0"/>
    </xf>
    <xf numFmtId="49" fontId="13" fillId="17" borderId="1">
      <alignment horizontal="center" vertical="top" wrapText="1"/>
      <protection locked="0"/>
    </xf>
    <xf numFmtId="4" fontId="14" fillId="21" borderId="3" applyNumberFormat="0" applyProtection="0">
      <alignment vertical="center"/>
    </xf>
    <xf numFmtId="4" fontId="14" fillId="21" borderId="3" applyNumberFormat="0" applyProtection="0">
      <alignment vertical="center"/>
    </xf>
    <xf numFmtId="4" fontId="14" fillId="21" borderId="3" applyNumberFormat="0" applyProtection="0">
      <alignment vertical="center"/>
    </xf>
    <xf numFmtId="4" fontId="14" fillId="21" borderId="3" applyNumberFormat="0" applyProtection="0">
      <alignment vertical="center"/>
    </xf>
    <xf numFmtId="4" fontId="15" fillId="22" borderId="3" applyNumberFormat="0" applyProtection="0">
      <alignment vertical="center"/>
    </xf>
    <xf numFmtId="4" fontId="15" fillId="22" borderId="3" applyNumberFormat="0" applyProtection="0">
      <alignment vertical="center"/>
    </xf>
    <xf numFmtId="4" fontId="15" fillId="22" borderId="3" applyNumberFormat="0" applyProtection="0">
      <alignment vertical="center"/>
    </xf>
    <xf numFmtId="4" fontId="15" fillId="22" borderId="3" applyNumberFormat="0" applyProtection="0">
      <alignment vertical="center"/>
    </xf>
    <xf numFmtId="4" fontId="14" fillId="21" borderId="3" applyNumberFormat="0" applyProtection="0">
      <alignment horizontal="left" vertical="center" indent="1"/>
    </xf>
    <xf numFmtId="4" fontId="14" fillId="21" borderId="3" applyNumberFormat="0" applyProtection="0">
      <alignment horizontal="left" vertical="center" indent="1"/>
    </xf>
    <xf numFmtId="4" fontId="14" fillId="21" borderId="3" applyNumberFormat="0" applyProtection="0">
      <alignment horizontal="left" vertical="center" indent="1"/>
    </xf>
    <xf numFmtId="4" fontId="14" fillId="21" borderId="3" applyNumberFormat="0" applyProtection="0">
      <alignment horizontal="left" vertical="center" indent="1"/>
    </xf>
    <xf numFmtId="0" fontId="16" fillId="23" borderId="4" applyNumberFormat="0" applyProtection="0">
      <alignment horizontal="left" vertical="top" indent="1"/>
    </xf>
    <xf numFmtId="0" fontId="16" fillId="23" borderId="4" applyNumberFormat="0" applyProtection="0">
      <alignment horizontal="left" vertical="top" indent="1"/>
    </xf>
    <xf numFmtId="0" fontId="16" fillId="23" borderId="4" applyNumberFormat="0" applyProtection="0">
      <alignment horizontal="left" vertical="top" indent="1"/>
    </xf>
    <xf numFmtId="0" fontId="16" fillId="23" borderId="4" applyNumberFormat="0" applyProtection="0">
      <alignment horizontal="left" vertical="top" indent="1"/>
    </xf>
    <xf numFmtId="4" fontId="17" fillId="24" borderId="3" applyNumberFormat="0" applyProtection="0">
      <alignment horizontal="left" vertical="center" indent="1"/>
    </xf>
    <xf numFmtId="4" fontId="17" fillId="24" borderId="3" applyNumberFormat="0" applyProtection="0">
      <alignment horizontal="left" vertical="center" indent="1"/>
    </xf>
    <xf numFmtId="4" fontId="17" fillId="24" borderId="3" applyNumberFormat="0" applyProtection="0">
      <alignment horizontal="left" vertical="center" indent="1"/>
    </xf>
    <xf numFmtId="4" fontId="17" fillId="24" borderId="3" applyNumberFormat="0" applyProtection="0">
      <alignment horizontal="left" vertical="center" indent="1"/>
    </xf>
    <xf numFmtId="4" fontId="17" fillId="24" borderId="3" applyNumberFormat="0" applyProtection="0">
      <alignment horizontal="left" vertical="center" indent="1"/>
    </xf>
    <xf numFmtId="4" fontId="17" fillId="24" borderId="3" applyNumberFormat="0" applyProtection="0">
      <alignment horizontal="left" vertical="center" indent="1"/>
    </xf>
    <xf numFmtId="4" fontId="17" fillId="24" borderId="3" applyNumberFormat="0" applyProtection="0">
      <alignment horizontal="left" vertical="center" indent="1"/>
    </xf>
    <xf numFmtId="4" fontId="17" fillId="24" borderId="3" applyNumberFormat="0" applyProtection="0">
      <alignment horizontal="left" vertical="center" indent="1"/>
    </xf>
    <xf numFmtId="4" fontId="17" fillId="24" borderId="3" applyNumberFormat="0" applyProtection="0">
      <alignment horizontal="left" vertical="center" indent="1"/>
    </xf>
    <xf numFmtId="4" fontId="17" fillId="25" borderId="3" applyNumberFormat="0" applyProtection="0">
      <alignment horizontal="right" vertical="center"/>
    </xf>
    <xf numFmtId="4" fontId="17" fillId="25" borderId="3" applyNumberFormat="0" applyProtection="0">
      <alignment horizontal="right" vertical="center"/>
    </xf>
    <xf numFmtId="4" fontId="17" fillId="25" borderId="3" applyNumberFormat="0" applyProtection="0">
      <alignment horizontal="right" vertical="center"/>
    </xf>
    <xf numFmtId="4" fontId="17" fillId="25" borderId="3" applyNumberFormat="0" applyProtection="0">
      <alignment horizontal="right" vertical="center"/>
    </xf>
    <xf numFmtId="4" fontId="17" fillId="25" borderId="3" applyNumberFormat="0" applyProtection="0">
      <alignment horizontal="right" vertical="center"/>
    </xf>
    <xf numFmtId="4" fontId="17" fillId="25" borderId="3" applyNumberFormat="0" applyProtection="0">
      <alignment horizontal="right" vertical="center"/>
    </xf>
    <xf numFmtId="4" fontId="17" fillId="25" borderId="3" applyNumberFormat="0" applyProtection="0">
      <alignment horizontal="right" vertical="center"/>
    </xf>
    <xf numFmtId="4" fontId="17" fillId="25" borderId="3" applyNumberFormat="0" applyProtection="0">
      <alignment horizontal="right" vertical="center"/>
    </xf>
    <xf numFmtId="4" fontId="17" fillId="26" borderId="3" applyNumberFormat="0" applyProtection="0">
      <alignment horizontal="right" vertical="center"/>
    </xf>
    <xf numFmtId="4" fontId="17" fillId="26" borderId="3" applyNumberFormat="0" applyProtection="0">
      <alignment horizontal="right" vertical="center"/>
    </xf>
    <xf numFmtId="4" fontId="17" fillId="26" borderId="3" applyNumberFormat="0" applyProtection="0">
      <alignment horizontal="right" vertical="center"/>
    </xf>
    <xf numFmtId="4" fontId="17" fillId="26" borderId="3" applyNumberFormat="0" applyProtection="0">
      <alignment horizontal="right" vertical="center"/>
    </xf>
    <xf numFmtId="4" fontId="17" fillId="26" borderId="3" applyNumberFormat="0" applyProtection="0">
      <alignment horizontal="right" vertical="center"/>
    </xf>
    <xf numFmtId="4" fontId="17" fillId="26" borderId="3" applyNumberFormat="0" applyProtection="0">
      <alignment horizontal="right" vertical="center"/>
    </xf>
    <xf numFmtId="4" fontId="17" fillId="26" borderId="3" applyNumberFormat="0" applyProtection="0">
      <alignment horizontal="right" vertical="center"/>
    </xf>
    <xf numFmtId="4" fontId="17" fillId="26" borderId="3" applyNumberFormat="0" applyProtection="0">
      <alignment horizontal="right" vertical="center"/>
    </xf>
    <xf numFmtId="4" fontId="17" fillId="27" borderId="5" applyNumberFormat="0" applyProtection="0">
      <alignment horizontal="right" vertical="center"/>
    </xf>
    <xf numFmtId="4" fontId="17" fillId="27" borderId="5" applyNumberFormat="0" applyProtection="0">
      <alignment horizontal="right" vertical="center"/>
    </xf>
    <xf numFmtId="4" fontId="17" fillId="27" borderId="5" applyNumberFormat="0" applyProtection="0">
      <alignment horizontal="right" vertical="center"/>
    </xf>
    <xf numFmtId="4" fontId="17" fillId="27" borderId="5" applyNumberFormat="0" applyProtection="0">
      <alignment horizontal="right" vertical="center"/>
    </xf>
    <xf numFmtId="4" fontId="17" fillId="27" borderId="5" applyNumberFormat="0" applyProtection="0">
      <alignment horizontal="right" vertical="center"/>
    </xf>
    <xf numFmtId="4" fontId="17" fillId="27" borderId="5" applyNumberFormat="0" applyProtection="0">
      <alignment horizontal="right" vertical="center"/>
    </xf>
    <xf numFmtId="4" fontId="17" fillId="27" borderId="5" applyNumberFormat="0" applyProtection="0">
      <alignment horizontal="right" vertical="center"/>
    </xf>
    <xf numFmtId="4" fontId="17" fillId="27" borderId="5" applyNumberFormat="0" applyProtection="0">
      <alignment horizontal="right" vertical="center"/>
    </xf>
    <xf numFmtId="4" fontId="17" fillId="28" borderId="3" applyNumberFormat="0" applyProtection="0">
      <alignment horizontal="right" vertical="center"/>
    </xf>
    <xf numFmtId="4" fontId="17" fillId="28" borderId="3" applyNumberFormat="0" applyProtection="0">
      <alignment horizontal="right" vertical="center"/>
    </xf>
    <xf numFmtId="4" fontId="17" fillId="28" borderId="3" applyNumberFormat="0" applyProtection="0">
      <alignment horizontal="right" vertical="center"/>
    </xf>
    <xf numFmtId="4" fontId="17" fillId="28" borderId="3" applyNumberFormat="0" applyProtection="0">
      <alignment horizontal="right" vertical="center"/>
    </xf>
    <xf numFmtId="4" fontId="17" fillId="28" borderId="3" applyNumberFormat="0" applyProtection="0">
      <alignment horizontal="right" vertical="center"/>
    </xf>
    <xf numFmtId="4" fontId="17" fillId="28" borderId="3" applyNumberFormat="0" applyProtection="0">
      <alignment horizontal="right" vertical="center"/>
    </xf>
    <xf numFmtId="4" fontId="17" fillId="28" borderId="3" applyNumberFormat="0" applyProtection="0">
      <alignment horizontal="right" vertical="center"/>
    </xf>
    <xf numFmtId="4" fontId="17" fillId="28" borderId="3" applyNumberFormat="0" applyProtection="0">
      <alignment horizontal="right" vertical="center"/>
    </xf>
    <xf numFmtId="4" fontId="17" fillId="29" borderId="3" applyNumberFormat="0" applyProtection="0">
      <alignment horizontal="right" vertical="center"/>
    </xf>
    <xf numFmtId="4" fontId="17" fillId="29" borderId="3" applyNumberFormat="0" applyProtection="0">
      <alignment horizontal="right" vertical="center"/>
    </xf>
    <xf numFmtId="4" fontId="17" fillId="29" borderId="3" applyNumberFormat="0" applyProtection="0">
      <alignment horizontal="right" vertical="center"/>
    </xf>
    <xf numFmtId="4" fontId="17" fillId="29" borderId="3" applyNumberFormat="0" applyProtection="0">
      <alignment horizontal="right" vertical="center"/>
    </xf>
    <xf numFmtId="4" fontId="17" fillId="29" borderId="3" applyNumberFormat="0" applyProtection="0">
      <alignment horizontal="right" vertical="center"/>
    </xf>
    <xf numFmtId="4" fontId="17" fillId="29" borderId="3" applyNumberFormat="0" applyProtection="0">
      <alignment horizontal="right" vertical="center"/>
    </xf>
    <xf numFmtId="4" fontId="17" fillId="29" borderId="3" applyNumberFormat="0" applyProtection="0">
      <alignment horizontal="right" vertical="center"/>
    </xf>
    <xf numFmtId="4" fontId="17" fillId="29" borderId="3" applyNumberFormat="0" applyProtection="0">
      <alignment horizontal="right" vertical="center"/>
    </xf>
    <xf numFmtId="4" fontId="17" fillId="30" borderId="3" applyNumberFormat="0" applyProtection="0">
      <alignment horizontal="right" vertical="center"/>
    </xf>
    <xf numFmtId="4" fontId="17" fillId="30" borderId="3" applyNumberFormat="0" applyProtection="0">
      <alignment horizontal="right" vertical="center"/>
    </xf>
    <xf numFmtId="4" fontId="17" fillId="30" borderId="3" applyNumberFormat="0" applyProtection="0">
      <alignment horizontal="right" vertical="center"/>
    </xf>
    <xf numFmtId="4" fontId="17" fillId="30" borderId="3" applyNumberFormat="0" applyProtection="0">
      <alignment horizontal="right" vertical="center"/>
    </xf>
    <xf numFmtId="4" fontId="17" fillId="30" borderId="3" applyNumberFormat="0" applyProtection="0">
      <alignment horizontal="right" vertical="center"/>
    </xf>
    <xf numFmtId="4" fontId="17" fillId="30" borderId="3" applyNumberFormat="0" applyProtection="0">
      <alignment horizontal="right" vertical="center"/>
    </xf>
    <xf numFmtId="4" fontId="17" fillId="30" borderId="3" applyNumberFormat="0" applyProtection="0">
      <alignment horizontal="right" vertical="center"/>
    </xf>
    <xf numFmtId="4" fontId="17" fillId="30" borderId="3" applyNumberFormat="0" applyProtection="0">
      <alignment horizontal="right" vertical="center"/>
    </xf>
    <xf numFmtId="4" fontId="17" fillId="31" borderId="3" applyNumberFormat="0" applyProtection="0">
      <alignment horizontal="right" vertical="center"/>
    </xf>
    <xf numFmtId="4" fontId="17" fillId="31" borderId="3" applyNumberFormat="0" applyProtection="0">
      <alignment horizontal="right" vertical="center"/>
    </xf>
    <xf numFmtId="4" fontId="17" fillId="31" borderId="3" applyNumberFormat="0" applyProtection="0">
      <alignment horizontal="right" vertical="center"/>
    </xf>
    <xf numFmtId="4" fontId="17" fillId="31" borderId="3" applyNumberFormat="0" applyProtection="0">
      <alignment horizontal="right" vertical="center"/>
    </xf>
    <xf numFmtId="4" fontId="17" fillId="31" borderId="3" applyNumberFormat="0" applyProtection="0">
      <alignment horizontal="right" vertical="center"/>
    </xf>
    <xf numFmtId="4" fontId="17" fillId="31" borderId="3" applyNumberFormat="0" applyProtection="0">
      <alignment horizontal="right" vertical="center"/>
    </xf>
    <xf numFmtId="4" fontId="17" fillId="31" borderId="3" applyNumberFormat="0" applyProtection="0">
      <alignment horizontal="right" vertical="center"/>
    </xf>
    <xf numFmtId="4" fontId="17" fillId="31" borderId="3" applyNumberFormat="0" applyProtection="0">
      <alignment horizontal="right" vertical="center"/>
    </xf>
    <xf numFmtId="4" fontId="17" fillId="32" borderId="3" applyNumberFormat="0" applyProtection="0">
      <alignment horizontal="right" vertical="center"/>
    </xf>
    <xf numFmtId="4" fontId="17" fillId="32" borderId="3" applyNumberFormat="0" applyProtection="0">
      <alignment horizontal="right" vertical="center"/>
    </xf>
    <xf numFmtId="4" fontId="17" fillId="32" borderId="3" applyNumberFormat="0" applyProtection="0">
      <alignment horizontal="right" vertical="center"/>
    </xf>
    <xf numFmtId="4" fontId="17" fillId="32" borderId="3" applyNumberFormat="0" applyProtection="0">
      <alignment horizontal="right" vertical="center"/>
    </xf>
    <xf numFmtId="4" fontId="17" fillId="32" borderId="3" applyNumberFormat="0" applyProtection="0">
      <alignment horizontal="right" vertical="center"/>
    </xf>
    <xf numFmtId="4" fontId="17" fillId="32" borderId="3" applyNumberFormat="0" applyProtection="0">
      <alignment horizontal="right" vertical="center"/>
    </xf>
    <xf numFmtId="4" fontId="17" fillId="32" borderId="3" applyNumberFormat="0" applyProtection="0">
      <alignment horizontal="right" vertical="center"/>
    </xf>
    <xf numFmtId="4" fontId="17" fillId="32" borderId="3" applyNumberFormat="0" applyProtection="0">
      <alignment horizontal="right" vertical="center"/>
    </xf>
    <xf numFmtId="4" fontId="17" fillId="33" borderId="3" applyNumberFormat="0" applyProtection="0">
      <alignment horizontal="right" vertical="center"/>
    </xf>
    <xf numFmtId="4" fontId="17" fillId="33" borderId="3" applyNumberFormat="0" applyProtection="0">
      <alignment horizontal="right" vertical="center"/>
    </xf>
    <xf numFmtId="4" fontId="17" fillId="33" borderId="3" applyNumberFormat="0" applyProtection="0">
      <alignment horizontal="right" vertical="center"/>
    </xf>
    <xf numFmtId="4" fontId="17" fillId="33" borderId="3" applyNumberFormat="0" applyProtection="0">
      <alignment horizontal="right" vertical="center"/>
    </xf>
    <xf numFmtId="4" fontId="17" fillId="33" borderId="3" applyNumberFormat="0" applyProtection="0">
      <alignment horizontal="right" vertical="center"/>
    </xf>
    <xf numFmtId="4" fontId="17" fillId="33" borderId="3" applyNumberFormat="0" applyProtection="0">
      <alignment horizontal="right" vertical="center"/>
    </xf>
    <xf numFmtId="4" fontId="17" fillId="33" borderId="3" applyNumberFormat="0" applyProtection="0">
      <alignment horizontal="right" vertical="center"/>
    </xf>
    <xf numFmtId="4" fontId="17" fillId="33" borderId="3" applyNumberFormat="0" applyProtection="0">
      <alignment horizontal="right" vertical="center"/>
    </xf>
    <xf numFmtId="4" fontId="17" fillId="34" borderId="5" applyNumberFormat="0" applyProtection="0">
      <alignment horizontal="left" vertical="center" indent="1"/>
    </xf>
    <xf numFmtId="4" fontId="17" fillId="34" borderId="5" applyNumberFormat="0" applyProtection="0">
      <alignment horizontal="left" vertical="center" indent="1"/>
    </xf>
    <xf numFmtId="4" fontId="17" fillId="34" borderId="5" applyNumberFormat="0" applyProtection="0">
      <alignment horizontal="left" vertical="center" indent="1"/>
    </xf>
    <xf numFmtId="4" fontId="17" fillId="34" borderId="5" applyNumberFormat="0" applyProtection="0">
      <alignment horizontal="left" vertical="center" indent="1"/>
    </xf>
    <xf numFmtId="4" fontId="17" fillId="34" borderId="5" applyNumberFormat="0" applyProtection="0">
      <alignment horizontal="left" vertical="center" indent="1"/>
    </xf>
    <xf numFmtId="4" fontId="17" fillId="34" borderId="5" applyNumberFormat="0" applyProtection="0">
      <alignment horizontal="left" vertical="center" indent="1"/>
    </xf>
    <xf numFmtId="4" fontId="17" fillId="34" borderId="5" applyNumberFormat="0" applyProtection="0">
      <alignment horizontal="left" vertical="center" indent="1"/>
    </xf>
    <xf numFmtId="4" fontId="17" fillId="34" borderId="5" applyNumberFormat="0" applyProtection="0">
      <alignment horizontal="left" vertical="center" indent="1"/>
    </xf>
    <xf numFmtId="4" fontId="18" fillId="35" borderId="5" applyNumberFormat="0" applyProtection="0">
      <alignment horizontal="left" vertical="center" indent="1"/>
    </xf>
    <xf numFmtId="4" fontId="18" fillId="35" borderId="5" applyNumberFormat="0" applyProtection="0">
      <alignment horizontal="left" vertical="center" indent="1"/>
    </xf>
    <xf numFmtId="4" fontId="18" fillId="35" borderId="5" applyNumberFormat="0" applyProtection="0">
      <alignment horizontal="left" vertical="center" indent="1"/>
    </xf>
    <xf numFmtId="4" fontId="18" fillId="35" borderId="5" applyNumberFormat="0" applyProtection="0">
      <alignment horizontal="left" vertical="center" indent="1"/>
    </xf>
    <xf numFmtId="4" fontId="18" fillId="35" borderId="5" applyNumberFormat="0" applyProtection="0">
      <alignment horizontal="left" vertical="center" indent="1"/>
    </xf>
    <xf numFmtId="4" fontId="18" fillId="35" borderId="5" applyNumberFormat="0" applyProtection="0">
      <alignment horizontal="left" vertical="center" indent="1"/>
    </xf>
    <xf numFmtId="4" fontId="18" fillId="35" borderId="5" applyNumberFormat="0" applyProtection="0">
      <alignment horizontal="left" vertical="center" indent="1"/>
    </xf>
    <xf numFmtId="4" fontId="18" fillId="35" borderId="5" applyNumberFormat="0" applyProtection="0">
      <alignment horizontal="left" vertical="center" indent="1"/>
    </xf>
    <xf numFmtId="4" fontId="17" fillId="36" borderId="3" applyNumberFormat="0" applyProtection="0">
      <alignment horizontal="right" vertical="center"/>
    </xf>
    <xf numFmtId="4" fontId="17" fillId="36" borderId="3" applyNumberFormat="0" applyProtection="0">
      <alignment horizontal="right" vertical="center"/>
    </xf>
    <xf numFmtId="4" fontId="17" fillId="36" borderId="3" applyNumberFormat="0" applyProtection="0">
      <alignment horizontal="right" vertical="center"/>
    </xf>
    <xf numFmtId="4" fontId="17" fillId="36" borderId="3" applyNumberFormat="0" applyProtection="0">
      <alignment horizontal="right" vertical="center"/>
    </xf>
    <xf numFmtId="4" fontId="17" fillId="36" borderId="3" applyNumberFormat="0" applyProtection="0">
      <alignment horizontal="right" vertical="center"/>
    </xf>
    <xf numFmtId="4" fontId="17" fillId="36" borderId="3" applyNumberFormat="0" applyProtection="0">
      <alignment horizontal="right" vertical="center"/>
    </xf>
    <xf numFmtId="4" fontId="17" fillId="36" borderId="3" applyNumberFormat="0" applyProtection="0">
      <alignment horizontal="right" vertical="center"/>
    </xf>
    <xf numFmtId="4" fontId="17" fillId="36" borderId="3" applyNumberFormat="0" applyProtection="0">
      <alignment horizontal="right" vertical="center"/>
    </xf>
    <xf numFmtId="4" fontId="17" fillId="37" borderId="5" applyNumberFormat="0" applyProtection="0">
      <alignment horizontal="left" vertical="center" indent="1"/>
    </xf>
    <xf numFmtId="4" fontId="17" fillId="37" borderId="5" applyNumberFormat="0" applyProtection="0">
      <alignment horizontal="left" vertical="center" indent="1"/>
    </xf>
    <xf numFmtId="4" fontId="17" fillId="37" borderId="5" applyNumberFormat="0" applyProtection="0">
      <alignment horizontal="left" vertical="center" indent="1"/>
    </xf>
    <xf numFmtId="4" fontId="17" fillId="37" borderId="5" applyNumberFormat="0" applyProtection="0">
      <alignment horizontal="left" vertical="center" indent="1"/>
    </xf>
    <xf numFmtId="4" fontId="17" fillId="37" borderId="5" applyNumberFormat="0" applyProtection="0">
      <alignment horizontal="left" vertical="center" indent="1"/>
    </xf>
    <xf numFmtId="4" fontId="17" fillId="37" borderId="5" applyNumberFormat="0" applyProtection="0">
      <alignment horizontal="left" vertical="center" indent="1"/>
    </xf>
    <xf numFmtId="4" fontId="17" fillId="37" borderId="5" applyNumberFormat="0" applyProtection="0">
      <alignment horizontal="left" vertical="center" indent="1"/>
    </xf>
    <xf numFmtId="4" fontId="17" fillId="37" borderId="5" applyNumberFormat="0" applyProtection="0">
      <alignment horizontal="left" vertical="center" indent="1"/>
    </xf>
    <xf numFmtId="4" fontId="17" fillId="36" borderId="5" applyNumberFormat="0" applyProtection="0">
      <alignment horizontal="left" vertical="center" indent="1"/>
    </xf>
    <xf numFmtId="4" fontId="17" fillId="36" borderId="5" applyNumberFormat="0" applyProtection="0">
      <alignment horizontal="left" vertical="center" indent="1"/>
    </xf>
    <xf numFmtId="4" fontId="17" fillId="36" borderId="5" applyNumberFormat="0" applyProtection="0">
      <alignment horizontal="left" vertical="center" indent="1"/>
    </xf>
    <xf numFmtId="4" fontId="17" fillId="36" borderId="5" applyNumberFormat="0" applyProtection="0">
      <alignment horizontal="left" vertical="center" indent="1"/>
    </xf>
    <xf numFmtId="4" fontId="17" fillId="36" borderId="5" applyNumberFormat="0" applyProtection="0">
      <alignment horizontal="left" vertical="center" indent="1"/>
    </xf>
    <xf numFmtId="4" fontId="17" fillId="36" borderId="5" applyNumberFormat="0" applyProtection="0">
      <alignment horizontal="left" vertical="center" indent="1"/>
    </xf>
    <xf numFmtId="4" fontId="17" fillId="36" borderId="5" applyNumberFormat="0" applyProtection="0">
      <alignment horizontal="left" vertical="center" indent="1"/>
    </xf>
    <xf numFmtId="4" fontId="17" fillId="36" borderId="5" applyNumberFormat="0" applyProtection="0">
      <alignment horizontal="left" vertical="center" indent="1"/>
    </xf>
    <xf numFmtId="0" fontId="14" fillId="38" borderId="3" applyNumberFormat="0" applyProtection="0">
      <alignment horizontal="left" vertical="center" indent="1"/>
    </xf>
    <xf numFmtId="0" fontId="17" fillId="39" borderId="3" applyNumberFormat="0" applyProtection="0">
      <alignment horizontal="left" vertical="center" indent="1"/>
    </xf>
    <xf numFmtId="0" fontId="17" fillId="39" borderId="3" applyNumberFormat="0" applyProtection="0">
      <alignment horizontal="left" vertical="center" indent="1"/>
    </xf>
    <xf numFmtId="0" fontId="17" fillId="39" borderId="3" applyNumberFormat="0" applyProtection="0">
      <alignment horizontal="left" vertical="center" indent="1"/>
    </xf>
    <xf numFmtId="0" fontId="17" fillId="39" borderId="3" applyNumberFormat="0" applyProtection="0">
      <alignment horizontal="left" vertical="center" indent="1"/>
    </xf>
    <xf numFmtId="0" fontId="14" fillId="38" borderId="3" applyNumberFormat="0" applyProtection="0">
      <alignment horizontal="left" vertical="center" indent="1"/>
    </xf>
    <xf numFmtId="0" fontId="14" fillId="38" borderId="3" applyNumberFormat="0" applyProtection="0">
      <alignment horizontal="left" vertical="center" indent="1"/>
    </xf>
    <xf numFmtId="0" fontId="14" fillId="38" borderId="3" applyNumberFormat="0" applyProtection="0">
      <alignment horizontal="left" vertical="center" indent="1"/>
    </xf>
    <xf numFmtId="0" fontId="17" fillId="35" borderId="4" applyNumberFormat="0" applyProtection="0">
      <alignment horizontal="left" vertical="top" indent="1"/>
    </xf>
    <xf numFmtId="0" fontId="19" fillId="35" borderId="4" applyNumberFormat="0" applyProtection="0">
      <alignment horizontal="left" vertical="top" indent="1"/>
    </xf>
    <xf numFmtId="0" fontId="19" fillId="35" borderId="4" applyNumberFormat="0" applyProtection="0">
      <alignment horizontal="left" vertical="top" indent="1"/>
    </xf>
    <xf numFmtId="0" fontId="19" fillId="35" borderId="4" applyNumberFormat="0" applyProtection="0">
      <alignment horizontal="left" vertical="top" indent="1"/>
    </xf>
    <xf numFmtId="0" fontId="19" fillId="35" borderId="4" applyNumberFormat="0" applyProtection="0">
      <alignment horizontal="left" vertical="top" indent="1"/>
    </xf>
    <xf numFmtId="0" fontId="19" fillId="35" borderId="4" applyNumberFormat="0" applyProtection="0">
      <alignment horizontal="left" vertical="top" indent="1"/>
    </xf>
    <xf numFmtId="0" fontId="17" fillId="35" borderId="4" applyNumberFormat="0" applyProtection="0">
      <alignment horizontal="left" vertical="top" indent="1"/>
    </xf>
    <xf numFmtId="0" fontId="17" fillId="35" borderId="4" applyNumberFormat="0" applyProtection="0">
      <alignment horizontal="left" vertical="top" indent="1"/>
    </xf>
    <xf numFmtId="0" fontId="17" fillId="35" borderId="4" applyNumberFormat="0" applyProtection="0">
      <alignment horizontal="left" vertical="top" indent="1"/>
    </xf>
    <xf numFmtId="0" fontId="14" fillId="40" borderId="3" applyNumberFormat="0" applyProtection="0">
      <alignment horizontal="left" vertical="center" indent="1"/>
    </xf>
    <xf numFmtId="0" fontId="17" fillId="41" borderId="3" applyNumberFormat="0" applyProtection="0">
      <alignment horizontal="left" vertical="center" indent="1"/>
    </xf>
    <xf numFmtId="0" fontId="17" fillId="41" borderId="3" applyNumberFormat="0" applyProtection="0">
      <alignment horizontal="left" vertical="center" indent="1"/>
    </xf>
    <xf numFmtId="0" fontId="17" fillId="41" borderId="3" applyNumberFormat="0" applyProtection="0">
      <alignment horizontal="left" vertical="center" indent="1"/>
    </xf>
    <xf numFmtId="0" fontId="17" fillId="41" borderId="3" applyNumberFormat="0" applyProtection="0">
      <alignment horizontal="left" vertical="center" indent="1"/>
    </xf>
    <xf numFmtId="0" fontId="14" fillId="40" borderId="3" applyNumberFormat="0" applyProtection="0">
      <alignment horizontal="left" vertical="center" indent="1"/>
    </xf>
    <xf numFmtId="0" fontId="14" fillId="40" borderId="3" applyNumberFormat="0" applyProtection="0">
      <alignment horizontal="left" vertical="center" indent="1"/>
    </xf>
    <xf numFmtId="0" fontId="14" fillId="40" borderId="3" applyNumberFormat="0" applyProtection="0">
      <alignment horizontal="left" vertical="center" indent="1"/>
    </xf>
    <xf numFmtId="0" fontId="17" fillId="36" borderId="4" applyNumberFormat="0" applyProtection="0">
      <alignment horizontal="left" vertical="top" indent="1"/>
    </xf>
    <xf numFmtId="0" fontId="19" fillId="36" borderId="4" applyNumberFormat="0" applyProtection="0">
      <alignment horizontal="left" vertical="top" indent="1"/>
    </xf>
    <xf numFmtId="0" fontId="19" fillId="36" borderId="4" applyNumberFormat="0" applyProtection="0">
      <alignment horizontal="left" vertical="top" indent="1"/>
    </xf>
    <xf numFmtId="0" fontId="19" fillId="36" borderId="4" applyNumberFormat="0" applyProtection="0">
      <alignment horizontal="left" vertical="top" indent="1"/>
    </xf>
    <xf numFmtId="0" fontId="19" fillId="36" borderId="4" applyNumberFormat="0" applyProtection="0">
      <alignment horizontal="left" vertical="top" indent="1"/>
    </xf>
    <xf numFmtId="0" fontId="19" fillId="36" borderId="4" applyNumberFormat="0" applyProtection="0">
      <alignment horizontal="left" vertical="top" indent="1"/>
    </xf>
    <xf numFmtId="0" fontId="17" fillId="36" borderId="4" applyNumberFormat="0" applyProtection="0">
      <alignment horizontal="left" vertical="top" indent="1"/>
    </xf>
    <xf numFmtId="0" fontId="17" fillId="36" borderId="4" applyNumberFormat="0" applyProtection="0">
      <alignment horizontal="left" vertical="top" indent="1"/>
    </xf>
    <xf numFmtId="0" fontId="17" fillId="36" borderId="4" applyNumberFormat="0" applyProtection="0">
      <alignment horizontal="left" vertical="top" indent="1"/>
    </xf>
    <xf numFmtId="0" fontId="14" fillId="42" borderId="3" applyNumberFormat="0" applyProtection="0">
      <alignment horizontal="left" vertical="center" indent="1"/>
    </xf>
    <xf numFmtId="0" fontId="17" fillId="43" borderId="3" applyNumberFormat="0" applyProtection="0">
      <alignment horizontal="left" vertical="center" indent="1"/>
    </xf>
    <xf numFmtId="0" fontId="17" fillId="43" borderId="3" applyNumberFormat="0" applyProtection="0">
      <alignment horizontal="left" vertical="center" indent="1"/>
    </xf>
    <xf numFmtId="0" fontId="17" fillId="43" borderId="3" applyNumberFormat="0" applyProtection="0">
      <alignment horizontal="left" vertical="center" indent="1"/>
    </xf>
    <xf numFmtId="0" fontId="17" fillId="43" borderId="3" applyNumberFormat="0" applyProtection="0">
      <alignment horizontal="left" vertical="center" indent="1"/>
    </xf>
    <xf numFmtId="0" fontId="14" fillId="42" borderId="3" applyNumberFormat="0" applyProtection="0">
      <alignment horizontal="left" vertical="center" indent="1"/>
    </xf>
    <xf numFmtId="0" fontId="14" fillId="42" borderId="3" applyNumberFormat="0" applyProtection="0">
      <alignment horizontal="left" vertical="center" indent="1"/>
    </xf>
    <xf numFmtId="0" fontId="14" fillId="42" borderId="3" applyNumberFormat="0" applyProtection="0">
      <alignment horizontal="left" vertical="center" indent="1"/>
    </xf>
    <xf numFmtId="0" fontId="17" fillId="43" borderId="4" applyNumberFormat="0" applyProtection="0">
      <alignment horizontal="left" vertical="top" indent="1"/>
    </xf>
    <xf numFmtId="0" fontId="19" fillId="43" borderId="4" applyNumberFormat="0" applyProtection="0">
      <alignment horizontal="left" vertical="top" indent="1"/>
    </xf>
    <xf numFmtId="0" fontId="19" fillId="43" borderId="4" applyNumberFormat="0" applyProtection="0">
      <alignment horizontal="left" vertical="top" indent="1"/>
    </xf>
    <xf numFmtId="0" fontId="19" fillId="43" borderId="4" applyNumberFormat="0" applyProtection="0">
      <alignment horizontal="left" vertical="top" indent="1"/>
    </xf>
    <xf numFmtId="0" fontId="19" fillId="43" borderId="4" applyNumberFormat="0" applyProtection="0">
      <alignment horizontal="left" vertical="top" indent="1"/>
    </xf>
    <xf numFmtId="0" fontId="19" fillId="43" borderId="4" applyNumberFormat="0" applyProtection="0">
      <alignment horizontal="left" vertical="top" indent="1"/>
    </xf>
    <xf numFmtId="0" fontId="17" fillId="43" borderId="4" applyNumberFormat="0" applyProtection="0">
      <alignment horizontal="left" vertical="top" indent="1"/>
    </xf>
    <xf numFmtId="0" fontId="17" fillId="43" borderId="4" applyNumberFormat="0" applyProtection="0">
      <alignment horizontal="left" vertical="top" indent="1"/>
    </xf>
    <xf numFmtId="0" fontId="17" fillId="43" borderId="4" applyNumberFormat="0" applyProtection="0">
      <alignment horizontal="left" vertical="top" indent="1"/>
    </xf>
    <xf numFmtId="0" fontId="17" fillId="0" borderId="3" applyNumberFormat="0" applyProtection="0">
      <alignment horizontal="left" vertical="center" indent="1"/>
    </xf>
    <xf numFmtId="0" fontId="17" fillId="37" borderId="3" applyNumberFormat="0" applyProtection="0">
      <alignment horizontal="left" vertical="center" indent="1"/>
    </xf>
    <xf numFmtId="0" fontId="17" fillId="37" borderId="3" applyNumberFormat="0" applyProtection="0">
      <alignment horizontal="left" vertical="center" indent="1"/>
    </xf>
    <xf numFmtId="0" fontId="17" fillId="37" borderId="3" applyNumberFormat="0" applyProtection="0">
      <alignment horizontal="left" vertical="center" indent="1"/>
    </xf>
    <xf numFmtId="0" fontId="17" fillId="37" borderId="3" applyNumberFormat="0" applyProtection="0">
      <alignment horizontal="left" vertical="center" indent="1"/>
    </xf>
    <xf numFmtId="0" fontId="17" fillId="0" borderId="3" applyNumberFormat="0" applyProtection="0">
      <alignment horizontal="left" vertical="center" indent="1"/>
    </xf>
    <xf numFmtId="0" fontId="17" fillId="0" borderId="3" applyNumberFormat="0" applyProtection="0">
      <alignment horizontal="left" vertical="center" indent="1"/>
    </xf>
    <xf numFmtId="0" fontId="17" fillId="0" borderId="3" applyNumberFormat="0" applyProtection="0">
      <alignment horizontal="left" vertical="center" indent="1"/>
    </xf>
    <xf numFmtId="0" fontId="17" fillId="37" borderId="4" applyNumberFormat="0" applyProtection="0">
      <alignment horizontal="left" vertical="top" indent="1"/>
    </xf>
    <xf numFmtId="0" fontId="19" fillId="37" borderId="4" applyNumberFormat="0" applyProtection="0">
      <alignment horizontal="left" vertical="top" indent="1"/>
    </xf>
    <xf numFmtId="0" fontId="19" fillId="37" borderId="4" applyNumberFormat="0" applyProtection="0">
      <alignment horizontal="left" vertical="top" indent="1"/>
    </xf>
    <xf numFmtId="0" fontId="19" fillId="37" borderId="4" applyNumberFormat="0" applyProtection="0">
      <alignment horizontal="left" vertical="top" indent="1"/>
    </xf>
    <xf numFmtId="0" fontId="19" fillId="37" borderId="4" applyNumberFormat="0" applyProtection="0">
      <alignment horizontal="left" vertical="top" indent="1"/>
    </xf>
    <xf numFmtId="0" fontId="19" fillId="37" borderId="4" applyNumberFormat="0" applyProtection="0">
      <alignment horizontal="left" vertical="top" indent="1"/>
    </xf>
    <xf numFmtId="0" fontId="17" fillId="37" borderId="4" applyNumberFormat="0" applyProtection="0">
      <alignment horizontal="left" vertical="top" indent="1"/>
    </xf>
    <xf numFmtId="0" fontId="17" fillId="37" borderId="4" applyNumberFormat="0" applyProtection="0">
      <alignment horizontal="left" vertical="top" indent="1"/>
    </xf>
    <xf numFmtId="0" fontId="17" fillId="37" borderId="4" applyNumberFormat="0" applyProtection="0">
      <alignment horizontal="left" vertical="top" indent="1"/>
    </xf>
    <xf numFmtId="0" fontId="17" fillId="44" borderId="6" applyNumberFormat="0">
      <protection locked="0"/>
    </xf>
    <xf numFmtId="0" fontId="19" fillId="44" borderId="6" applyNumberFormat="0">
      <protection locked="0"/>
    </xf>
    <xf numFmtId="0" fontId="19" fillId="44" borderId="6" applyNumberFormat="0">
      <protection locked="0"/>
    </xf>
    <xf numFmtId="0" fontId="14" fillId="35" borderId="7" applyBorder="0"/>
    <xf numFmtId="0" fontId="14" fillId="35" borderId="7" applyBorder="0"/>
    <xf numFmtId="0" fontId="14" fillId="35" borderId="7" applyBorder="0"/>
    <xf numFmtId="0" fontId="14" fillId="35" borderId="7" applyBorder="0"/>
    <xf numFmtId="4" fontId="20" fillId="45" borderId="4" applyNumberFormat="0" applyProtection="0">
      <alignment vertical="center"/>
    </xf>
    <xf numFmtId="4" fontId="20" fillId="45" borderId="4" applyNumberFormat="0" applyProtection="0">
      <alignment vertical="center"/>
    </xf>
    <xf numFmtId="4" fontId="20" fillId="45" borderId="4" applyNumberFormat="0" applyProtection="0">
      <alignment vertical="center"/>
    </xf>
    <xf numFmtId="4" fontId="20" fillId="45" borderId="4" applyNumberFormat="0" applyProtection="0">
      <alignment vertical="center"/>
    </xf>
    <xf numFmtId="4" fontId="15" fillId="46" borderId="1" applyNumberFormat="0" applyProtection="0">
      <alignment vertical="center"/>
    </xf>
    <xf numFmtId="4" fontId="15" fillId="46" borderId="1" applyNumberFormat="0" applyProtection="0">
      <alignment vertical="center"/>
    </xf>
    <xf numFmtId="4" fontId="15" fillId="46" borderId="1" applyNumberFormat="0" applyProtection="0">
      <alignment vertical="center"/>
    </xf>
    <xf numFmtId="4" fontId="15" fillId="46" borderId="1" applyNumberFormat="0" applyProtection="0">
      <alignment vertical="center"/>
    </xf>
    <xf numFmtId="4" fontId="20" fillId="39" borderId="4" applyNumberFormat="0" applyProtection="0">
      <alignment horizontal="left" vertical="center" indent="1"/>
    </xf>
    <xf numFmtId="4" fontId="20" fillId="39" borderId="4" applyNumberFormat="0" applyProtection="0">
      <alignment horizontal="left" vertical="center" indent="1"/>
    </xf>
    <xf numFmtId="4" fontId="20" fillId="39" borderId="4" applyNumberFormat="0" applyProtection="0">
      <alignment horizontal="left" vertical="center" indent="1"/>
    </xf>
    <xf numFmtId="4" fontId="20" fillId="39" borderId="4" applyNumberFormat="0" applyProtection="0">
      <alignment horizontal="left" vertical="center" indent="1"/>
    </xf>
    <xf numFmtId="0" fontId="20" fillId="45" borderId="4" applyNumberFormat="0" applyProtection="0">
      <alignment horizontal="left" vertical="top" indent="1"/>
    </xf>
    <xf numFmtId="0" fontId="20" fillId="45" borderId="4" applyNumberFormat="0" applyProtection="0">
      <alignment horizontal="left" vertical="top" indent="1"/>
    </xf>
    <xf numFmtId="0" fontId="20" fillId="45" borderId="4" applyNumberFormat="0" applyProtection="0">
      <alignment horizontal="left" vertical="top" indent="1"/>
    </xf>
    <xf numFmtId="0" fontId="20" fillId="45" borderId="4" applyNumberFormat="0" applyProtection="0">
      <alignment horizontal="left" vertical="top" indent="1"/>
    </xf>
    <xf numFmtId="4" fontId="17" fillId="0" borderId="3" applyNumberFormat="0" applyProtection="0">
      <alignment horizontal="right" vertical="center"/>
    </xf>
    <xf numFmtId="4" fontId="17" fillId="0" borderId="3" applyNumberFormat="0" applyProtection="0">
      <alignment horizontal="right" vertical="center"/>
    </xf>
    <xf numFmtId="4" fontId="17" fillId="0" borderId="3" applyNumberFormat="0" applyProtection="0">
      <alignment horizontal="right" vertical="center"/>
    </xf>
    <xf numFmtId="4" fontId="17" fillId="0" borderId="3" applyNumberFormat="0" applyProtection="0">
      <alignment horizontal="right" vertical="center"/>
    </xf>
    <xf numFmtId="4" fontId="17" fillId="0" borderId="3" applyNumberFormat="0" applyProtection="0">
      <alignment horizontal="right" vertical="center"/>
    </xf>
    <xf numFmtId="4" fontId="17" fillId="0" borderId="3" applyNumberFormat="0" applyProtection="0">
      <alignment horizontal="right" vertical="center"/>
    </xf>
    <xf numFmtId="4" fontId="17" fillId="0" borderId="3" applyNumberFormat="0" applyProtection="0">
      <alignment horizontal="right" vertical="center"/>
    </xf>
    <xf numFmtId="4" fontId="17" fillId="0" borderId="3" applyNumberFormat="0" applyProtection="0">
      <alignment horizontal="right" vertical="center"/>
    </xf>
    <xf numFmtId="4" fontId="15" fillId="47" borderId="3" applyNumberFormat="0" applyProtection="0">
      <alignment horizontal="right" vertical="center"/>
    </xf>
    <xf numFmtId="4" fontId="15" fillId="47" borderId="3" applyNumberFormat="0" applyProtection="0">
      <alignment horizontal="right" vertical="center"/>
    </xf>
    <xf numFmtId="4" fontId="15" fillId="47" borderId="3" applyNumberFormat="0" applyProtection="0">
      <alignment horizontal="right" vertical="center"/>
    </xf>
    <xf numFmtId="4" fontId="15" fillId="47" borderId="3" applyNumberFormat="0" applyProtection="0">
      <alignment horizontal="right" vertical="center"/>
    </xf>
    <xf numFmtId="4" fontId="17" fillId="48" borderId="3" applyNumberFormat="0" applyProtection="0">
      <alignment horizontal="left" vertical="center" indent="1"/>
    </xf>
    <xf numFmtId="4" fontId="17" fillId="49" borderId="3" applyNumberFormat="0" applyProtection="0">
      <alignment horizontal="left" vertical="center" indent="1"/>
    </xf>
    <xf numFmtId="4" fontId="17" fillId="49" borderId="3" applyNumberFormat="0" applyProtection="0">
      <alignment horizontal="left" vertical="center" indent="1"/>
    </xf>
    <xf numFmtId="4" fontId="17" fillId="49" borderId="3" applyNumberFormat="0" applyProtection="0">
      <alignment horizontal="left" vertical="center" indent="1"/>
    </xf>
    <xf numFmtId="4" fontId="17" fillId="49" borderId="3" applyNumberFormat="0" applyProtection="0">
      <alignment horizontal="left" vertical="center" indent="1"/>
    </xf>
    <xf numFmtId="4" fontId="17" fillId="48" borderId="3" applyNumberFormat="0" applyProtection="0">
      <alignment horizontal="left" vertical="center" indent="1"/>
    </xf>
    <xf numFmtId="4" fontId="17" fillId="48" borderId="3" applyNumberFormat="0" applyProtection="0">
      <alignment horizontal="left" vertical="center" indent="1"/>
    </xf>
    <xf numFmtId="4" fontId="17" fillId="48" borderId="3" applyNumberFormat="0" applyProtection="0">
      <alignment horizontal="left" vertical="center" indent="1"/>
    </xf>
    <xf numFmtId="4" fontId="17" fillId="48" borderId="3" applyNumberFormat="0" applyProtection="0">
      <alignment horizontal="left" vertical="center" indent="1"/>
    </xf>
    <xf numFmtId="0" fontId="20" fillId="36" borderId="4" applyNumberFormat="0" applyProtection="0">
      <alignment horizontal="left" vertical="top" indent="1"/>
    </xf>
    <xf numFmtId="0" fontId="20" fillId="36" borderId="4" applyNumberFormat="0" applyProtection="0">
      <alignment horizontal="left" vertical="top" indent="1"/>
    </xf>
    <xf numFmtId="0" fontId="20" fillId="36" borderId="4" applyNumberFormat="0" applyProtection="0">
      <alignment horizontal="left" vertical="top" indent="1"/>
    </xf>
    <xf numFmtId="0" fontId="20" fillId="36" borderId="4" applyNumberFormat="0" applyProtection="0">
      <alignment horizontal="left" vertical="top" indent="1"/>
    </xf>
    <xf numFmtId="4" fontId="21" fillId="50" borderId="5" applyNumberFormat="0" applyProtection="0">
      <alignment horizontal="left" vertical="center" indent="1"/>
    </xf>
    <xf numFmtId="4" fontId="21" fillId="50" borderId="5" applyNumberFormat="0" applyProtection="0">
      <alignment horizontal="left" vertical="center" indent="1"/>
    </xf>
    <xf numFmtId="4" fontId="21" fillId="50" borderId="5" applyNumberFormat="0" applyProtection="0">
      <alignment horizontal="left" vertical="center" indent="1"/>
    </xf>
    <xf numFmtId="4" fontId="21" fillId="50" borderId="5" applyNumberFormat="0" applyProtection="0">
      <alignment horizontal="left" vertical="center" indent="1"/>
    </xf>
    <xf numFmtId="0" fontId="17" fillId="51" borderId="1"/>
    <xf numFmtId="0" fontId="17" fillId="51" borderId="1"/>
    <xf numFmtId="0" fontId="17" fillId="51" borderId="1"/>
    <xf numFmtId="0" fontId="17" fillId="51" borderId="1"/>
    <xf numFmtId="0" fontId="17" fillId="51" borderId="1"/>
    <xf numFmtId="0" fontId="17" fillId="51" borderId="1"/>
    <xf numFmtId="0" fontId="17" fillId="51" borderId="1"/>
    <xf numFmtId="0" fontId="17" fillId="51" borderId="1"/>
    <xf numFmtId="4" fontId="22" fillId="44" borderId="3" applyNumberFormat="0" applyProtection="0">
      <alignment horizontal="right" vertical="center"/>
    </xf>
    <xf numFmtId="4" fontId="22" fillId="44" borderId="3" applyNumberFormat="0" applyProtection="0">
      <alignment horizontal="right" vertical="center"/>
    </xf>
    <xf numFmtId="4" fontId="22" fillId="44" borderId="3" applyNumberFormat="0" applyProtection="0">
      <alignment horizontal="right" vertical="center"/>
    </xf>
    <xf numFmtId="4" fontId="22" fillId="44" borderId="3" applyNumberFormat="0" applyProtection="0">
      <alignment horizontal="right" vertical="center"/>
    </xf>
    <xf numFmtId="0" fontId="23" fillId="0" borderId="0" applyNumberFormat="0" applyFill="0" applyBorder="0" applyAlignment="0" applyProtection="0"/>
    <xf numFmtId="0" fontId="24" fillId="0" borderId="8">
      <alignment horizontal="right" vertical="top"/>
      <protection locked="0"/>
    </xf>
    <xf numFmtId="0" fontId="5" fillId="52" borderId="0" applyNumberFormat="0" applyBorder="0" applyAlignment="0" applyProtection="0"/>
    <xf numFmtId="0" fontId="5" fillId="53" borderId="0" applyNumberFormat="0" applyBorder="0" applyAlignment="0" applyProtection="0"/>
    <xf numFmtId="0" fontId="5" fillId="54" borderId="0" applyNumberFormat="0" applyBorder="0" applyAlignment="0" applyProtection="0"/>
    <xf numFmtId="0" fontId="5" fillId="55" borderId="0" applyNumberFormat="0" applyBorder="0" applyAlignment="0" applyProtection="0"/>
    <xf numFmtId="0" fontId="5" fillId="4" borderId="0" applyNumberFormat="0" applyBorder="0" applyAlignment="0" applyProtection="0"/>
    <xf numFmtId="0" fontId="5" fillId="56" borderId="0" applyNumberFormat="0" applyBorder="0" applyAlignment="0" applyProtection="0"/>
    <xf numFmtId="0" fontId="25" fillId="15" borderId="3" applyNumberFormat="0" applyAlignment="0" applyProtection="0"/>
    <xf numFmtId="0" fontId="25" fillId="15" borderId="3" applyNumberFormat="0" applyAlignment="0" applyProtection="0"/>
    <xf numFmtId="0" fontId="25" fillId="15" borderId="3" applyNumberFormat="0" applyAlignment="0" applyProtection="0"/>
    <xf numFmtId="0" fontId="25" fillId="15" borderId="3" applyNumberFormat="0" applyAlignment="0" applyProtection="0"/>
    <xf numFmtId="0" fontId="26" fillId="57" borderId="9" applyNumberFormat="0" applyAlignment="0" applyProtection="0"/>
    <xf numFmtId="0" fontId="26" fillId="57" borderId="9" applyNumberFormat="0" applyAlignment="0" applyProtection="0"/>
    <xf numFmtId="0" fontId="26" fillId="57" borderId="9" applyNumberFormat="0" applyAlignment="0" applyProtection="0"/>
    <xf numFmtId="0" fontId="26" fillId="57" borderId="9" applyNumberFormat="0" applyAlignment="0" applyProtection="0"/>
    <xf numFmtId="0" fontId="27" fillId="57" borderId="3" applyNumberFormat="0" applyAlignment="0" applyProtection="0"/>
    <xf numFmtId="0" fontId="27" fillId="57" borderId="3" applyNumberFormat="0" applyAlignment="0" applyProtection="0"/>
    <xf numFmtId="0" fontId="27" fillId="57" borderId="3" applyNumberFormat="0" applyAlignment="0" applyProtection="0"/>
    <xf numFmtId="0" fontId="27" fillId="57" borderId="3" applyNumberFormat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0" fontId="29" fillId="0" borderId="10" applyNumberFormat="0" applyFill="0" applyAlignment="0" applyProtection="0"/>
    <xf numFmtId="0" fontId="30" fillId="0" borderId="11" applyNumberFormat="0" applyFill="0" applyAlignment="0" applyProtection="0"/>
    <xf numFmtId="0" fontId="31" fillId="0" borderId="12" applyNumberFormat="0" applyFill="0" applyAlignment="0" applyProtection="0"/>
    <xf numFmtId="0" fontId="31" fillId="0" borderId="0" applyNumberFormat="0" applyFill="0" applyBorder="0" applyAlignment="0" applyProtection="0"/>
    <xf numFmtId="0" fontId="11" fillId="0" borderId="13" applyNumberFormat="0" applyFill="0" applyAlignment="0" applyProtection="0"/>
    <xf numFmtId="0" fontId="11" fillId="0" borderId="13" applyNumberFormat="0" applyFill="0" applyAlignment="0" applyProtection="0"/>
    <xf numFmtId="0" fontId="11" fillId="0" borderId="13" applyNumberFormat="0" applyFill="0" applyAlignment="0" applyProtection="0"/>
    <xf numFmtId="0" fontId="11" fillId="0" borderId="13" applyNumberFormat="0" applyFill="0" applyAlignment="0" applyProtection="0"/>
    <xf numFmtId="0" fontId="32" fillId="55" borderId="14" applyNumberFormat="0" applyAlignment="0" applyProtection="0"/>
    <xf numFmtId="0" fontId="33" fillId="15" borderId="0" applyNumberFormat="0" applyBorder="0" applyAlignment="0" applyProtection="0"/>
    <xf numFmtId="0" fontId="33" fillId="15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4" fillId="0" borderId="0"/>
    <xf numFmtId="0" fontId="35" fillId="0" borderId="0"/>
    <xf numFmtId="0" fontId="36" fillId="0" borderId="0"/>
    <xf numFmtId="0" fontId="10" fillId="0" borderId="0"/>
    <xf numFmtId="0" fontId="3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58" borderId="0"/>
    <xf numFmtId="0" fontId="19" fillId="58" borderId="0"/>
    <xf numFmtId="0" fontId="1" fillId="0" borderId="0"/>
    <xf numFmtId="0" fontId="1" fillId="0" borderId="0"/>
    <xf numFmtId="0" fontId="1" fillId="0" borderId="0"/>
    <xf numFmtId="0" fontId="1" fillId="0" borderId="0"/>
    <xf numFmtId="0" fontId="38" fillId="0" borderId="0">
      <alignment vertical="top"/>
      <protection locked="0"/>
    </xf>
    <xf numFmtId="0" fontId="39" fillId="0" borderId="0"/>
    <xf numFmtId="0" fontId="39" fillId="0" borderId="0"/>
    <xf numFmtId="0" fontId="38" fillId="0" borderId="0">
      <alignment vertical="top"/>
      <protection locked="0"/>
    </xf>
    <xf numFmtId="0" fontId="39" fillId="0" borderId="0"/>
    <xf numFmtId="0" fontId="39" fillId="0" borderId="0"/>
    <xf numFmtId="0" fontId="19" fillId="58" borderId="0"/>
    <xf numFmtId="0" fontId="35" fillId="0" borderId="0"/>
    <xf numFmtId="0" fontId="19" fillId="59" borderId="0"/>
    <xf numFmtId="0" fontId="19" fillId="59" borderId="0"/>
    <xf numFmtId="0" fontId="1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59" borderId="0"/>
    <xf numFmtId="0" fontId="19" fillId="59" borderId="0"/>
    <xf numFmtId="0" fontId="19" fillId="59" borderId="0"/>
    <xf numFmtId="0" fontId="19" fillId="59" borderId="0"/>
    <xf numFmtId="0" fontId="19" fillId="59" borderId="0"/>
    <xf numFmtId="0" fontId="19" fillId="59" borderId="0"/>
    <xf numFmtId="0" fontId="19" fillId="59" borderId="0"/>
    <xf numFmtId="0" fontId="39" fillId="0" borderId="0"/>
    <xf numFmtId="0" fontId="19" fillId="59" borderId="0"/>
    <xf numFmtId="0" fontId="19" fillId="59" borderId="0"/>
    <xf numFmtId="0" fontId="19" fillId="59" borderId="0"/>
    <xf numFmtId="0" fontId="19" fillId="59" borderId="0"/>
    <xf numFmtId="0" fontId="41" fillId="0" borderId="0"/>
    <xf numFmtId="0" fontId="1" fillId="0" borderId="0"/>
    <xf numFmtId="0" fontId="1" fillId="0" borderId="0"/>
    <xf numFmtId="0" fontId="35" fillId="0" borderId="0"/>
    <xf numFmtId="0" fontId="19" fillId="59" borderId="0"/>
    <xf numFmtId="0" fontId="19" fillId="59" borderId="0"/>
    <xf numFmtId="0" fontId="19" fillId="59" borderId="0"/>
    <xf numFmtId="0" fontId="19" fillId="59" borderId="0"/>
    <xf numFmtId="0" fontId="19" fillId="59" borderId="0"/>
    <xf numFmtId="0" fontId="19" fillId="59" borderId="0"/>
    <xf numFmtId="0" fontId="19" fillId="59" borderId="0"/>
    <xf numFmtId="0" fontId="19" fillId="59" borderId="0"/>
    <xf numFmtId="0" fontId="19" fillId="59" borderId="0"/>
    <xf numFmtId="0" fontId="19" fillId="59" borderId="0"/>
    <xf numFmtId="0" fontId="19" fillId="59" borderId="0"/>
    <xf numFmtId="0" fontId="19" fillId="59" borderId="0"/>
    <xf numFmtId="0" fontId="1" fillId="0" borderId="0"/>
    <xf numFmtId="0" fontId="42" fillId="0" borderId="0"/>
    <xf numFmtId="0" fontId="1" fillId="0" borderId="0"/>
    <xf numFmtId="0" fontId="19" fillId="59" borderId="0"/>
    <xf numFmtId="0" fontId="1" fillId="0" borderId="0"/>
    <xf numFmtId="0" fontId="19" fillId="59" borderId="0"/>
    <xf numFmtId="0" fontId="19" fillId="59" borderId="0"/>
    <xf numFmtId="0" fontId="19" fillId="59" borderId="0"/>
    <xf numFmtId="0" fontId="19" fillId="59" borderId="0"/>
    <xf numFmtId="0" fontId="19" fillId="59" borderId="0"/>
    <xf numFmtId="0" fontId="19" fillId="59" borderId="0"/>
    <xf numFmtId="0" fontId="19" fillId="59" borderId="0"/>
    <xf numFmtId="0" fontId="19" fillId="59" borderId="0"/>
    <xf numFmtId="0" fontId="19" fillId="59" borderId="0"/>
    <xf numFmtId="0" fontId="19" fillId="59" borderId="0"/>
    <xf numFmtId="0" fontId="19" fillId="59" borderId="0"/>
    <xf numFmtId="0" fontId="19" fillId="59" borderId="0"/>
    <xf numFmtId="0" fontId="19" fillId="59" borderId="0"/>
    <xf numFmtId="0" fontId="19" fillId="59" borderId="0"/>
    <xf numFmtId="0" fontId="38" fillId="0" borderId="0" applyNumberFormat="0" applyFont="0" applyFill="0" applyBorder="0" applyAlignment="0" applyProtection="0">
      <alignment vertical="top"/>
    </xf>
    <xf numFmtId="0" fontId="43" fillId="0" borderId="0"/>
    <xf numFmtId="0" fontId="38" fillId="0" borderId="0" applyNumberFormat="0" applyFont="0" applyFill="0" applyBorder="0" applyAlignment="0" applyProtection="0">
      <alignment vertical="top"/>
    </xf>
    <xf numFmtId="0" fontId="19" fillId="59" borderId="0"/>
    <xf numFmtId="0" fontId="19" fillId="59" borderId="0"/>
    <xf numFmtId="0" fontId="19" fillId="59" borderId="0"/>
    <xf numFmtId="0" fontId="19" fillId="59" borderId="0"/>
    <xf numFmtId="0" fontId="19" fillId="59" borderId="0"/>
    <xf numFmtId="0" fontId="19" fillId="59" borderId="0"/>
    <xf numFmtId="0" fontId="19" fillId="59" borderId="0"/>
    <xf numFmtId="0" fontId="19" fillId="59" borderId="0"/>
    <xf numFmtId="0" fontId="38" fillId="0" borderId="0">
      <alignment vertical="top"/>
      <protection locked="0"/>
    </xf>
    <xf numFmtId="0" fontId="38" fillId="0" borderId="0">
      <alignment vertical="top"/>
      <protection locked="0"/>
    </xf>
    <xf numFmtId="0" fontId="38" fillId="0" borderId="0">
      <alignment vertical="top"/>
      <protection locked="0"/>
    </xf>
    <xf numFmtId="0" fontId="38" fillId="0" borderId="0" applyNumberFormat="0" applyFont="0" applyFill="0" applyBorder="0" applyAlignment="0" applyProtection="0">
      <alignment vertical="top"/>
    </xf>
    <xf numFmtId="0" fontId="38" fillId="0" borderId="0" applyNumberFormat="0" applyFont="0" applyFill="0" applyBorder="0" applyAlignment="0" applyProtection="0">
      <alignment vertical="top"/>
    </xf>
    <xf numFmtId="0" fontId="38" fillId="0" borderId="0" applyNumberFormat="0" applyFont="0" applyFill="0" applyBorder="0" applyAlignment="0" applyProtection="0">
      <alignment vertical="top"/>
    </xf>
    <xf numFmtId="0" fontId="39" fillId="0" borderId="0"/>
    <xf numFmtId="0" fontId="39" fillId="0" borderId="0"/>
    <xf numFmtId="0" fontId="43" fillId="0" borderId="0"/>
    <xf numFmtId="0" fontId="38" fillId="0" borderId="0">
      <alignment vertical="top"/>
      <protection locked="0"/>
    </xf>
    <xf numFmtId="0" fontId="44" fillId="14" borderId="0" applyNumberFormat="0" applyBorder="0" applyAlignment="0" applyProtection="0"/>
    <xf numFmtId="0" fontId="19" fillId="14" borderId="3" applyNumberFormat="0" applyFont="0" applyAlignment="0" applyProtection="0"/>
    <xf numFmtId="0" fontId="19" fillId="14" borderId="3" applyNumberFormat="0" applyFont="0" applyAlignment="0" applyProtection="0"/>
    <xf numFmtId="0" fontId="19" fillId="14" borderId="3" applyNumberFormat="0" applyFont="0" applyAlignment="0" applyProtection="0"/>
    <xf numFmtId="0" fontId="19" fillId="14" borderId="3" applyNumberFormat="0" applyFont="0" applyAlignment="0" applyProtection="0"/>
    <xf numFmtId="0" fontId="19" fillId="14" borderId="3" applyNumberFormat="0" applyFont="0" applyAlignment="0" applyProtection="0"/>
    <xf numFmtId="0" fontId="17" fillId="14" borderId="3" applyNumberFormat="0" applyFont="0" applyAlignment="0" applyProtection="0"/>
    <xf numFmtId="0" fontId="17" fillId="14" borderId="3" applyNumberFormat="0" applyFont="0" applyAlignment="0" applyProtection="0"/>
    <xf numFmtId="0" fontId="17" fillId="14" borderId="3" applyNumberFormat="0" applyFont="0" applyAlignment="0" applyProtection="0"/>
    <xf numFmtId="0" fontId="17" fillId="14" borderId="3" applyNumberFormat="0" applyFont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33" fillId="0" borderId="15" applyNumberFormat="0" applyFill="0" applyAlignment="0" applyProtection="0"/>
    <xf numFmtId="0" fontId="45" fillId="0" borderId="0"/>
    <xf numFmtId="0" fontId="46" fillId="0" borderId="0" applyNumberForma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40" fillId="0" borderId="0" applyFont="0" applyFill="0" applyBorder="0" applyAlignment="0" applyProtection="0"/>
    <xf numFmtId="165" fontId="40" fillId="0" borderId="0" applyFont="0" applyFill="0" applyBorder="0" applyAlignment="0" applyProtection="0"/>
    <xf numFmtId="165" fontId="40" fillId="0" borderId="0" applyFont="0" applyFill="0" applyBorder="0" applyAlignment="0" applyProtection="0"/>
    <xf numFmtId="165" fontId="40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4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9" fontId="1" fillId="0" borderId="0" applyFont="0" applyFill="0" applyBorder="0" applyAlignment="0" applyProtection="0"/>
    <xf numFmtId="0" fontId="52" fillId="0" borderId="0"/>
    <xf numFmtId="0" fontId="53" fillId="0" borderId="0"/>
    <xf numFmtId="43" fontId="53" fillId="0" borderId="0" applyFont="0" applyFill="0" applyBorder="0" applyAlignment="0" applyProtection="0"/>
    <xf numFmtId="9" fontId="53" fillId="0" borderId="0" applyFont="0" applyFill="0" applyBorder="0" applyAlignment="0" applyProtection="0"/>
    <xf numFmtId="0" fontId="57" fillId="0" borderId="0" applyNumberFormat="0" applyFill="0" applyBorder="0" applyAlignment="0" applyProtection="0"/>
    <xf numFmtId="0" fontId="52" fillId="0" borderId="0"/>
    <xf numFmtId="164" fontId="1" fillId="0" borderId="0" applyFont="0" applyFill="0" applyBorder="0" applyAlignment="0" applyProtection="0"/>
    <xf numFmtId="0" fontId="4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58" fillId="0" borderId="0" applyNumberFormat="0" applyFill="0" applyBorder="0" applyAlignment="0" applyProtection="0">
      <alignment vertical="top"/>
      <protection locked="0"/>
    </xf>
    <xf numFmtId="0" fontId="39" fillId="0" borderId="0"/>
    <xf numFmtId="0" fontId="39" fillId="0" borderId="0"/>
    <xf numFmtId="0" fontId="39" fillId="0" borderId="0"/>
    <xf numFmtId="0" fontId="42" fillId="0" borderId="0">
      <alignment vertical="top"/>
    </xf>
    <xf numFmtId="0" fontId="45" fillId="0" borderId="0"/>
    <xf numFmtId="175" fontId="76" fillId="0" borderId="0" applyFont="0" applyFill="0" applyBorder="0" applyAlignment="0"/>
    <xf numFmtId="175" fontId="76" fillId="0" borderId="0" applyFont="0" applyFill="0" applyBorder="0" applyAlignment="0"/>
    <xf numFmtId="175" fontId="76" fillId="0" borderId="0" applyFont="0" applyFill="0" applyBorder="0" applyAlignment="0"/>
    <xf numFmtId="175" fontId="76" fillId="0" borderId="0" applyFont="0" applyFill="0" applyBorder="0" applyAlignment="0"/>
    <xf numFmtId="175" fontId="77" fillId="0" borderId="0"/>
    <xf numFmtId="175" fontId="77" fillId="0" borderId="0"/>
    <xf numFmtId="175" fontId="45" fillId="0" borderId="0"/>
    <xf numFmtId="175" fontId="77" fillId="0" borderId="0"/>
    <xf numFmtId="175" fontId="45" fillId="0" borderId="0"/>
    <xf numFmtId="175" fontId="77" fillId="0" borderId="0"/>
    <xf numFmtId="175" fontId="45" fillId="0" borderId="0"/>
    <xf numFmtId="175" fontId="45" fillId="0" borderId="0"/>
    <xf numFmtId="0" fontId="78" fillId="0" borderId="0"/>
    <xf numFmtId="175" fontId="77" fillId="0" borderId="0"/>
    <xf numFmtId="175" fontId="77" fillId="0" borderId="0"/>
    <xf numFmtId="175" fontId="79" fillId="0" borderId="0"/>
    <xf numFmtId="175" fontId="77" fillId="0" borderId="0"/>
    <xf numFmtId="175" fontId="79" fillId="0" borderId="0"/>
    <xf numFmtId="175" fontId="77" fillId="0" borderId="0"/>
    <xf numFmtId="175" fontId="79" fillId="0" borderId="0"/>
    <xf numFmtId="175" fontId="79" fillId="0" borderId="0"/>
    <xf numFmtId="175" fontId="80" fillId="0" borderId="0" applyFont="0" applyFill="0" applyBorder="0" applyAlignment="0" applyProtection="0">
      <alignment vertical="center"/>
    </xf>
    <xf numFmtId="175" fontId="80" fillId="0" borderId="0" applyFont="0" applyFill="0" applyBorder="0" applyAlignment="0" applyProtection="0">
      <alignment vertical="center"/>
    </xf>
    <xf numFmtId="175" fontId="80" fillId="0" borderId="0" applyFont="0" applyFill="0" applyBorder="0" applyAlignment="0" applyProtection="0">
      <alignment vertical="center"/>
    </xf>
    <xf numFmtId="175" fontId="80" fillId="0" borderId="0" applyFont="0" applyFill="0" applyBorder="0" applyAlignment="0" applyProtection="0">
      <alignment vertical="center"/>
    </xf>
    <xf numFmtId="175" fontId="80" fillId="0" borderId="0" applyFont="0" applyFill="0" applyBorder="0" applyAlignment="0" applyProtection="0">
      <alignment vertical="center"/>
    </xf>
    <xf numFmtId="175" fontId="80" fillId="0" borderId="0" applyFont="0" applyFill="0" applyBorder="0" applyAlignment="0" applyProtection="0">
      <alignment vertical="center"/>
    </xf>
    <xf numFmtId="175" fontId="80" fillId="0" borderId="0" applyFont="0" applyFill="0" applyBorder="0" applyAlignment="0" applyProtection="0">
      <alignment vertical="center"/>
    </xf>
    <xf numFmtId="175" fontId="80" fillId="0" borderId="0" applyFont="0" applyFill="0" applyBorder="0" applyAlignment="0" applyProtection="0">
      <alignment vertical="center"/>
    </xf>
    <xf numFmtId="175" fontId="80" fillId="0" borderId="0" applyFont="0" applyFill="0" applyBorder="0" applyAlignment="0" applyProtection="0">
      <alignment vertical="center"/>
    </xf>
    <xf numFmtId="175" fontId="80" fillId="0" borderId="0" applyFont="0" applyFill="0" applyBorder="0" applyAlignment="0" applyProtection="0">
      <alignment vertical="center"/>
    </xf>
    <xf numFmtId="175" fontId="80" fillId="0" borderId="0" applyFont="0" applyFill="0" applyBorder="0" applyAlignment="0" applyProtection="0">
      <alignment vertical="center"/>
    </xf>
    <xf numFmtId="175" fontId="80" fillId="0" borderId="0" applyFont="0" applyFill="0" applyBorder="0" applyAlignment="0" applyProtection="0">
      <alignment vertical="center"/>
    </xf>
    <xf numFmtId="175" fontId="80" fillId="0" borderId="0" applyFont="0" applyFill="0" applyBorder="0" applyAlignment="0" applyProtection="0">
      <alignment vertical="center"/>
    </xf>
    <xf numFmtId="175" fontId="80" fillId="0" borderId="0" applyFont="0" applyFill="0" applyBorder="0" applyAlignment="0" applyProtection="0">
      <alignment vertical="center"/>
    </xf>
    <xf numFmtId="175" fontId="80" fillId="0" borderId="0" applyFont="0" applyFill="0" applyBorder="0" applyAlignment="0" applyProtection="0">
      <alignment vertical="center"/>
    </xf>
    <xf numFmtId="175" fontId="80" fillId="0" borderId="0" applyFont="0" applyFill="0" applyBorder="0" applyAlignment="0" applyProtection="0">
      <alignment vertical="center"/>
    </xf>
    <xf numFmtId="175" fontId="80" fillId="0" borderId="0" applyFont="0" applyFill="0" applyBorder="0" applyAlignment="0" applyProtection="0">
      <alignment vertical="center"/>
    </xf>
    <xf numFmtId="175" fontId="80" fillId="0" borderId="0" applyFont="0" applyFill="0" applyBorder="0" applyAlignment="0" applyProtection="0">
      <alignment vertical="center"/>
    </xf>
    <xf numFmtId="175" fontId="80" fillId="0" borderId="0" applyFont="0" applyFill="0" applyBorder="0" applyAlignment="0" applyProtection="0">
      <alignment vertical="center"/>
    </xf>
    <xf numFmtId="175" fontId="80" fillId="0" borderId="0" applyFont="0" applyFill="0" applyBorder="0" applyAlignment="0" applyProtection="0">
      <alignment vertical="center"/>
    </xf>
    <xf numFmtId="175" fontId="77" fillId="0" borderId="0"/>
    <xf numFmtId="175" fontId="77" fillId="0" borderId="0"/>
    <xf numFmtId="175" fontId="79" fillId="0" borderId="0"/>
    <xf numFmtId="175" fontId="77" fillId="0" borderId="0"/>
    <xf numFmtId="175" fontId="79" fillId="0" borderId="0"/>
    <xf numFmtId="175" fontId="77" fillId="0" borderId="0"/>
    <xf numFmtId="175" fontId="79" fillId="0" borderId="0"/>
    <xf numFmtId="175" fontId="79" fillId="0" borderId="0"/>
    <xf numFmtId="175" fontId="77" fillId="0" borderId="0"/>
    <xf numFmtId="175" fontId="77" fillId="0" borderId="0"/>
    <xf numFmtId="175" fontId="45" fillId="0" borderId="0"/>
    <xf numFmtId="175" fontId="77" fillId="0" borderId="0"/>
    <xf numFmtId="175" fontId="45" fillId="0" borderId="0"/>
    <xf numFmtId="175" fontId="77" fillId="0" borderId="0"/>
    <xf numFmtId="175" fontId="45" fillId="0" borderId="0"/>
    <xf numFmtId="175" fontId="45" fillId="0" borderId="0"/>
    <xf numFmtId="175" fontId="80" fillId="0" borderId="0" applyFont="0" applyFill="0" applyBorder="0" applyAlignment="0" applyProtection="0">
      <alignment vertical="center"/>
    </xf>
    <xf numFmtId="175" fontId="80" fillId="0" borderId="0" applyFont="0" applyFill="0" applyBorder="0" applyAlignment="0" applyProtection="0">
      <alignment vertical="center"/>
    </xf>
    <xf numFmtId="175" fontId="80" fillId="0" borderId="0" applyFont="0" applyFill="0" applyBorder="0" applyAlignment="0" applyProtection="0">
      <alignment vertical="center"/>
    </xf>
    <xf numFmtId="175" fontId="80" fillId="0" borderId="0" applyFont="0" applyFill="0" applyBorder="0" applyAlignment="0" applyProtection="0">
      <alignment vertical="center"/>
    </xf>
    <xf numFmtId="175" fontId="77" fillId="0" borderId="0"/>
    <xf numFmtId="175" fontId="77" fillId="0" borderId="0"/>
    <xf numFmtId="175" fontId="79" fillId="0" borderId="0"/>
    <xf numFmtId="175" fontId="77" fillId="0" borderId="0"/>
    <xf numFmtId="175" fontId="79" fillId="0" borderId="0"/>
    <xf numFmtId="175" fontId="77" fillId="0" borderId="0"/>
    <xf numFmtId="175" fontId="79" fillId="0" borderId="0"/>
    <xf numFmtId="175" fontId="79" fillId="0" borderId="0"/>
    <xf numFmtId="175" fontId="38" fillId="0" borderId="0" applyNumberFormat="0" applyFill="0" applyBorder="0" applyAlignment="0" applyProtection="0"/>
    <xf numFmtId="175" fontId="38" fillId="0" borderId="0" applyNumberFormat="0" applyFill="0" applyBorder="0" applyAlignment="0" applyProtection="0"/>
    <xf numFmtId="175" fontId="38" fillId="0" borderId="0" applyNumberFormat="0" applyFill="0" applyBorder="0" applyAlignment="0" applyProtection="0"/>
    <xf numFmtId="175" fontId="38" fillId="0" borderId="0" applyNumberFormat="0" applyFill="0" applyBorder="0" applyAlignment="0" applyProtection="0"/>
    <xf numFmtId="175" fontId="78" fillId="0" borderId="0"/>
    <xf numFmtId="175" fontId="78" fillId="0" borderId="0"/>
    <xf numFmtId="175" fontId="78" fillId="0" borderId="0"/>
    <xf numFmtId="175" fontId="78" fillId="0" borderId="0"/>
    <xf numFmtId="175" fontId="78" fillId="0" borderId="0"/>
    <xf numFmtId="175" fontId="78" fillId="0" borderId="0"/>
    <xf numFmtId="175" fontId="78" fillId="0" borderId="0"/>
    <xf numFmtId="175" fontId="78" fillId="0" borderId="0"/>
    <xf numFmtId="175" fontId="78" fillId="0" borderId="0"/>
    <xf numFmtId="175" fontId="78" fillId="0" borderId="0"/>
    <xf numFmtId="175" fontId="78" fillId="0" borderId="0"/>
    <xf numFmtId="175" fontId="78" fillId="0" borderId="0"/>
    <xf numFmtId="175" fontId="77" fillId="0" borderId="0"/>
    <xf numFmtId="175" fontId="77" fillId="0" borderId="0"/>
    <xf numFmtId="175" fontId="45" fillId="0" borderId="0"/>
    <xf numFmtId="175" fontId="77" fillId="0" borderId="0"/>
    <xf numFmtId="175" fontId="45" fillId="0" borderId="0"/>
    <xf numFmtId="175" fontId="77" fillId="0" borderId="0"/>
    <xf numFmtId="175" fontId="45" fillId="0" borderId="0"/>
    <xf numFmtId="175" fontId="45" fillId="0" borderId="0"/>
    <xf numFmtId="175" fontId="77" fillId="0" borderId="0"/>
    <xf numFmtId="175" fontId="77" fillId="0" borderId="0"/>
    <xf numFmtId="175" fontId="45" fillId="0" borderId="0"/>
    <xf numFmtId="175" fontId="77" fillId="0" borderId="0"/>
    <xf numFmtId="175" fontId="45" fillId="0" borderId="0"/>
    <xf numFmtId="175" fontId="77" fillId="0" borderId="0"/>
    <xf numFmtId="175" fontId="45" fillId="0" borderId="0"/>
    <xf numFmtId="175" fontId="45" fillId="0" borderId="0"/>
    <xf numFmtId="0" fontId="78" fillId="0" borderId="0"/>
    <xf numFmtId="0" fontId="77" fillId="0" borderId="0"/>
    <xf numFmtId="0" fontId="45" fillId="0" borderId="0"/>
    <xf numFmtId="175" fontId="78" fillId="0" borderId="0"/>
    <xf numFmtId="175" fontId="78" fillId="0" borderId="0"/>
    <xf numFmtId="175" fontId="78" fillId="0" borderId="0"/>
    <xf numFmtId="175" fontId="78" fillId="0" borderId="0"/>
    <xf numFmtId="0" fontId="78" fillId="0" borderId="0"/>
    <xf numFmtId="0" fontId="77" fillId="0" borderId="0"/>
    <xf numFmtId="0" fontId="79" fillId="0" borderId="0"/>
    <xf numFmtId="0" fontId="77" fillId="0" borderId="0"/>
    <xf numFmtId="175" fontId="78" fillId="0" borderId="0"/>
    <xf numFmtId="175" fontId="78" fillId="0" borderId="0"/>
    <xf numFmtId="175" fontId="78" fillId="0" borderId="0"/>
    <xf numFmtId="175" fontId="78" fillId="0" borderId="0"/>
    <xf numFmtId="175" fontId="80" fillId="0" borderId="0" applyFont="0" applyFill="0" applyBorder="0" applyAlignment="0" applyProtection="0">
      <alignment vertical="center"/>
    </xf>
    <xf numFmtId="175" fontId="80" fillId="0" borderId="0" applyFont="0" applyFill="0" applyBorder="0" applyAlignment="0" applyProtection="0">
      <alignment vertical="center"/>
    </xf>
    <xf numFmtId="175" fontId="80" fillId="0" borderId="0" applyFont="0" applyFill="0" applyBorder="0" applyAlignment="0" applyProtection="0">
      <alignment vertical="center"/>
    </xf>
    <xf numFmtId="175" fontId="80" fillId="0" borderId="0" applyFont="0" applyFill="0" applyBorder="0" applyAlignment="0" applyProtection="0">
      <alignment vertical="center"/>
    </xf>
    <xf numFmtId="175" fontId="80" fillId="0" borderId="0" applyFont="0" applyFill="0" applyBorder="0" applyAlignment="0" applyProtection="0">
      <alignment vertical="center"/>
    </xf>
    <xf numFmtId="175" fontId="80" fillId="0" borderId="0" applyFont="0" applyFill="0" applyBorder="0" applyAlignment="0" applyProtection="0">
      <alignment vertical="center"/>
    </xf>
    <xf numFmtId="175" fontId="80" fillId="0" borderId="0" applyFont="0" applyFill="0" applyBorder="0" applyAlignment="0" applyProtection="0">
      <alignment vertical="center"/>
    </xf>
    <xf numFmtId="175" fontId="80" fillId="0" borderId="0" applyFont="0" applyFill="0" applyBorder="0" applyAlignment="0" applyProtection="0">
      <alignment vertical="center"/>
    </xf>
    <xf numFmtId="175" fontId="80" fillId="0" borderId="0" applyFont="0" applyFill="0" applyBorder="0" applyAlignment="0" applyProtection="0">
      <alignment vertical="center"/>
    </xf>
    <xf numFmtId="175" fontId="80" fillId="0" borderId="0" applyFont="0" applyFill="0" applyBorder="0" applyAlignment="0" applyProtection="0">
      <alignment vertical="center"/>
    </xf>
    <xf numFmtId="175" fontId="80" fillId="0" borderId="0" applyFont="0" applyFill="0" applyBorder="0" applyAlignment="0" applyProtection="0">
      <alignment vertical="center"/>
    </xf>
    <xf numFmtId="175" fontId="80" fillId="0" borderId="0" applyFont="0" applyFill="0" applyBorder="0" applyAlignment="0" applyProtection="0">
      <alignment vertical="center"/>
    </xf>
    <xf numFmtId="0" fontId="38" fillId="0" borderId="0"/>
    <xf numFmtId="175" fontId="80" fillId="0" borderId="0" applyFont="0" applyFill="0" applyBorder="0" applyAlignment="0" applyProtection="0">
      <alignment vertical="center"/>
    </xf>
    <xf numFmtId="175" fontId="80" fillId="0" borderId="0" applyFont="0" applyFill="0" applyBorder="0" applyAlignment="0" applyProtection="0">
      <alignment vertical="center"/>
    </xf>
    <xf numFmtId="175" fontId="80" fillId="0" borderId="0" applyFont="0" applyFill="0" applyBorder="0" applyAlignment="0" applyProtection="0">
      <alignment vertical="center"/>
    </xf>
    <xf numFmtId="175" fontId="80" fillId="0" borderId="0" applyFont="0" applyFill="0" applyBorder="0" applyAlignment="0" applyProtection="0">
      <alignment vertical="center"/>
    </xf>
    <xf numFmtId="175" fontId="77" fillId="0" borderId="0"/>
    <xf numFmtId="175" fontId="77" fillId="0" borderId="0"/>
    <xf numFmtId="175" fontId="45" fillId="0" borderId="0"/>
    <xf numFmtId="175" fontId="77" fillId="0" borderId="0"/>
    <xf numFmtId="175" fontId="45" fillId="0" borderId="0"/>
    <xf numFmtId="175" fontId="77" fillId="0" borderId="0"/>
    <xf numFmtId="175" fontId="45" fillId="0" borderId="0"/>
    <xf numFmtId="175" fontId="45" fillId="0" borderId="0"/>
    <xf numFmtId="0" fontId="77" fillId="0" borderId="0"/>
    <xf numFmtId="0" fontId="45" fillId="0" borderId="0"/>
    <xf numFmtId="175" fontId="77" fillId="0" borderId="0"/>
    <xf numFmtId="175" fontId="77" fillId="0" borderId="0"/>
    <xf numFmtId="175" fontId="45" fillId="0" borderId="0"/>
    <xf numFmtId="175" fontId="77" fillId="0" borderId="0"/>
    <xf numFmtId="175" fontId="45" fillId="0" borderId="0"/>
    <xf numFmtId="175" fontId="77" fillId="0" borderId="0"/>
    <xf numFmtId="175" fontId="45" fillId="0" borderId="0"/>
    <xf numFmtId="175" fontId="45" fillId="0" borderId="0"/>
    <xf numFmtId="175" fontId="78" fillId="0" borderId="0"/>
    <xf numFmtId="175" fontId="78" fillId="0" borderId="0"/>
    <xf numFmtId="175" fontId="78" fillId="0" borderId="0"/>
    <xf numFmtId="175" fontId="78" fillId="0" borderId="0"/>
    <xf numFmtId="175" fontId="77" fillId="0" borderId="0"/>
    <xf numFmtId="175" fontId="77" fillId="0" borderId="0"/>
    <xf numFmtId="175" fontId="79" fillId="0" borderId="0"/>
    <xf numFmtId="175" fontId="77" fillId="0" borderId="0"/>
    <xf numFmtId="175" fontId="79" fillId="0" borderId="0"/>
    <xf numFmtId="175" fontId="77" fillId="0" borderId="0"/>
    <xf numFmtId="175" fontId="79" fillId="0" borderId="0"/>
    <xf numFmtId="175" fontId="79" fillId="0" borderId="0"/>
    <xf numFmtId="175" fontId="77" fillId="0" borderId="0"/>
    <xf numFmtId="175" fontId="77" fillId="0" borderId="0"/>
    <xf numFmtId="175" fontId="79" fillId="0" borderId="0"/>
    <xf numFmtId="175" fontId="77" fillId="0" borderId="0"/>
    <xf numFmtId="175" fontId="79" fillId="0" borderId="0"/>
    <xf numFmtId="175" fontId="77" fillId="0" borderId="0"/>
    <xf numFmtId="175" fontId="79" fillId="0" borderId="0"/>
    <xf numFmtId="175" fontId="79" fillId="0" borderId="0"/>
    <xf numFmtId="175" fontId="77" fillId="0" borderId="0"/>
    <xf numFmtId="175" fontId="77" fillId="0" borderId="0"/>
    <xf numFmtId="175" fontId="79" fillId="0" borderId="0"/>
    <xf numFmtId="175" fontId="77" fillId="0" borderId="0"/>
    <xf numFmtId="175" fontId="79" fillId="0" borderId="0"/>
    <xf numFmtId="175" fontId="77" fillId="0" borderId="0"/>
    <xf numFmtId="175" fontId="79" fillId="0" borderId="0"/>
    <xf numFmtId="175" fontId="79" fillId="0" borderId="0"/>
    <xf numFmtId="175" fontId="77" fillId="0" borderId="0"/>
    <xf numFmtId="175" fontId="77" fillId="0" borderId="0"/>
    <xf numFmtId="175" fontId="79" fillId="0" borderId="0"/>
    <xf numFmtId="175" fontId="77" fillId="0" borderId="0"/>
    <xf numFmtId="175" fontId="79" fillId="0" borderId="0"/>
    <xf numFmtId="175" fontId="77" fillId="0" borderId="0"/>
    <xf numFmtId="175" fontId="79" fillId="0" borderId="0"/>
    <xf numFmtId="175" fontId="79" fillId="0" borderId="0"/>
    <xf numFmtId="175" fontId="77" fillId="0" borderId="0"/>
    <xf numFmtId="175" fontId="77" fillId="0" borderId="0"/>
    <xf numFmtId="175" fontId="79" fillId="0" borderId="0"/>
    <xf numFmtId="175" fontId="77" fillId="0" borderId="0"/>
    <xf numFmtId="175" fontId="79" fillId="0" borderId="0"/>
    <xf numFmtId="175" fontId="77" fillId="0" borderId="0"/>
    <xf numFmtId="175" fontId="79" fillId="0" borderId="0"/>
    <xf numFmtId="175" fontId="79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175" fontId="81" fillId="0" borderId="0">
      <protection locked="0"/>
    </xf>
    <xf numFmtId="175" fontId="81" fillId="0" borderId="0">
      <protection locked="0"/>
    </xf>
    <xf numFmtId="175" fontId="81" fillId="0" borderId="0">
      <protection locked="0"/>
    </xf>
    <xf numFmtId="175" fontId="81" fillId="0" borderId="0">
      <protection locked="0"/>
    </xf>
    <xf numFmtId="175" fontId="81" fillId="0" borderId="0">
      <protection locked="0"/>
    </xf>
    <xf numFmtId="175" fontId="81" fillId="0" borderId="0">
      <protection locked="0"/>
    </xf>
    <xf numFmtId="175" fontId="81" fillId="0" borderId="0">
      <protection locked="0"/>
    </xf>
    <xf numFmtId="175" fontId="81" fillId="0" borderId="0">
      <protection locked="0"/>
    </xf>
    <xf numFmtId="175" fontId="81" fillId="0" borderId="0">
      <protection locked="0"/>
    </xf>
    <xf numFmtId="175" fontId="81" fillId="0" borderId="0">
      <protection locked="0"/>
    </xf>
    <xf numFmtId="175" fontId="81" fillId="0" borderId="0">
      <protection locked="0"/>
    </xf>
    <xf numFmtId="175" fontId="81" fillId="0" borderId="0">
      <protection locked="0"/>
    </xf>
    <xf numFmtId="175" fontId="82" fillId="0" borderId="0">
      <protection locked="0"/>
    </xf>
    <xf numFmtId="175" fontId="82" fillId="0" borderId="0">
      <protection locked="0"/>
    </xf>
    <xf numFmtId="175" fontId="82" fillId="0" borderId="0">
      <protection locked="0"/>
    </xf>
    <xf numFmtId="175" fontId="82" fillId="0" borderId="0">
      <protection locked="0"/>
    </xf>
    <xf numFmtId="175" fontId="83" fillId="0" borderId="0">
      <protection locked="0"/>
    </xf>
    <xf numFmtId="175" fontId="83" fillId="0" borderId="0">
      <protection locked="0"/>
    </xf>
    <xf numFmtId="175" fontId="83" fillId="0" borderId="0">
      <protection locked="0"/>
    </xf>
    <xf numFmtId="175" fontId="83" fillId="0" borderId="0">
      <protection locked="0"/>
    </xf>
    <xf numFmtId="175" fontId="83" fillId="0" borderId="0">
      <protection locked="0"/>
    </xf>
    <xf numFmtId="175" fontId="83" fillId="0" borderId="0">
      <protection locked="0"/>
    </xf>
    <xf numFmtId="175" fontId="83" fillId="0" borderId="0">
      <protection locked="0"/>
    </xf>
    <xf numFmtId="175" fontId="83" fillId="0" borderId="0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175" fontId="81" fillId="0" borderId="101">
      <protection locked="0"/>
    </xf>
    <xf numFmtId="0" fontId="37" fillId="76" borderId="0"/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4" fillId="77" borderId="16" applyNumberFormat="0" applyFill="0" applyBorder="0" applyAlignment="0">
      <alignment horizontal="left"/>
    </xf>
    <xf numFmtId="175" fontId="85" fillId="77" borderId="0" applyNumberFormat="0" applyFill="0" applyBorder="0" applyAlignment="0"/>
    <xf numFmtId="175" fontId="85" fillId="77" borderId="0" applyNumberFormat="0" applyFill="0" applyBorder="0" applyAlignment="0"/>
    <xf numFmtId="175" fontId="85" fillId="77" borderId="0" applyNumberFormat="0" applyFill="0" applyBorder="0" applyAlignment="0"/>
    <xf numFmtId="175" fontId="85" fillId="77" borderId="0" applyNumberFormat="0" applyFill="0" applyBorder="0" applyAlignment="0"/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6" fillId="78" borderId="16" applyNumberFormat="0" applyFill="0" applyBorder="0" applyAlignment="0">
      <alignment horizontal="left"/>
    </xf>
    <xf numFmtId="175" fontId="87" fillId="79" borderId="0" applyNumberFormat="0" applyFill="0" applyBorder="0" applyAlignment="0"/>
    <xf numFmtId="175" fontId="87" fillId="79" borderId="0" applyNumberFormat="0" applyFill="0" applyBorder="0" applyAlignment="0"/>
    <xf numFmtId="175" fontId="87" fillId="79" borderId="0" applyNumberFormat="0" applyFill="0" applyBorder="0" applyAlignment="0"/>
    <xf numFmtId="175" fontId="87" fillId="79" borderId="0" applyNumberFormat="0" applyFill="0" applyBorder="0" applyAlignment="0"/>
    <xf numFmtId="175" fontId="88" fillId="0" borderId="0" applyNumberFormat="0" applyFill="0" applyBorder="0" applyAlignment="0"/>
    <xf numFmtId="175" fontId="88" fillId="0" borderId="0" applyNumberFormat="0" applyFill="0" applyBorder="0" applyAlignment="0"/>
    <xf numFmtId="175" fontId="88" fillId="0" borderId="0" applyNumberFormat="0" applyFill="0" applyBorder="0" applyAlignment="0"/>
    <xf numFmtId="175" fontId="88" fillId="0" borderId="0" applyNumberFormat="0" applyFill="0" applyBorder="0" applyAlignment="0"/>
    <xf numFmtId="175" fontId="89" fillId="0" borderId="25" applyNumberFormat="0" applyFill="0" applyBorder="0" applyAlignment="0">
      <alignment horizontal="left"/>
    </xf>
    <xf numFmtId="175" fontId="89" fillId="0" borderId="25" applyNumberFormat="0" applyFill="0" applyBorder="0" applyAlignment="0">
      <alignment horizontal="left"/>
    </xf>
    <xf numFmtId="175" fontId="89" fillId="0" borderId="25" applyNumberFormat="0" applyFill="0" applyBorder="0" applyAlignment="0">
      <alignment horizontal="left"/>
    </xf>
    <xf numFmtId="175" fontId="89" fillId="0" borderId="25" applyNumberFormat="0" applyFill="0" applyBorder="0" applyAlignment="0">
      <alignment horizontal="left"/>
    </xf>
    <xf numFmtId="175" fontId="90" fillId="80" borderId="102" applyNumberFormat="0" applyFill="0" applyBorder="0" applyAlignment="0">
      <alignment horizontal="centerContinuous"/>
    </xf>
    <xf numFmtId="175" fontId="90" fillId="80" borderId="102" applyNumberFormat="0" applyFill="0" applyBorder="0" applyAlignment="0">
      <alignment horizontal="centerContinuous"/>
    </xf>
    <xf numFmtId="175" fontId="90" fillId="80" borderId="102" applyNumberFormat="0" applyFill="0" applyBorder="0" applyAlignment="0">
      <alignment horizontal="centerContinuous"/>
    </xf>
    <xf numFmtId="175" fontId="90" fillId="80" borderId="102" applyNumberFormat="0" applyFill="0" applyBorder="0" applyAlignment="0">
      <alignment horizontal="centerContinuous"/>
    </xf>
    <xf numFmtId="175" fontId="91" fillId="0" borderId="0" applyNumberFormat="0" applyFill="0" applyBorder="0" applyAlignment="0"/>
    <xf numFmtId="175" fontId="91" fillId="0" borderId="0" applyNumberFormat="0" applyFill="0" applyBorder="0" applyAlignment="0"/>
    <xf numFmtId="175" fontId="91" fillId="0" borderId="0" applyNumberFormat="0" applyFill="0" applyBorder="0" applyAlignment="0"/>
    <xf numFmtId="175" fontId="91" fillId="0" borderId="0" applyNumberFormat="0" applyFill="0" applyBorder="0" applyAlignment="0"/>
    <xf numFmtId="175" fontId="91" fillId="81" borderId="103" applyNumberFormat="0" applyFill="0" applyBorder="0" applyAlignment="0"/>
    <xf numFmtId="175" fontId="91" fillId="81" borderId="103" applyNumberFormat="0" applyFill="0" applyBorder="0" applyAlignment="0"/>
    <xf numFmtId="175" fontId="91" fillId="81" borderId="103" applyNumberFormat="0" applyFill="0" applyBorder="0" applyAlignment="0"/>
    <xf numFmtId="175" fontId="91" fillId="81" borderId="103" applyNumberFormat="0" applyFill="0" applyBorder="0" applyAlignment="0"/>
    <xf numFmtId="175" fontId="92" fillId="0" borderId="25" applyNumberFormat="0" applyFill="0" applyBorder="0" applyAlignment="0"/>
    <xf numFmtId="175" fontId="92" fillId="0" borderId="25" applyNumberFormat="0" applyFill="0" applyBorder="0" applyAlignment="0"/>
    <xf numFmtId="175" fontId="92" fillId="0" borderId="25" applyNumberFormat="0" applyFill="0" applyBorder="0" applyAlignment="0"/>
    <xf numFmtId="175" fontId="92" fillId="0" borderId="25" applyNumberFormat="0" applyFill="0" applyBorder="0" applyAlignment="0"/>
    <xf numFmtId="175" fontId="91" fillId="0" borderId="0" applyNumberFormat="0" applyFill="0" applyBorder="0" applyAlignment="0"/>
    <xf numFmtId="175" fontId="91" fillId="0" borderId="0" applyNumberFormat="0" applyFill="0" applyBorder="0" applyAlignment="0"/>
    <xf numFmtId="175" fontId="91" fillId="0" borderId="0" applyNumberFormat="0" applyFill="0" applyBorder="0" applyAlignment="0"/>
    <xf numFmtId="175" fontId="91" fillId="0" borderId="0" applyNumberFormat="0" applyFill="0" applyBorder="0" applyAlignment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1" fillId="75" borderId="0" applyNumberFormat="0" applyBorder="0" applyAlignment="0" applyProtection="0"/>
    <xf numFmtId="0" fontId="40" fillId="86" borderId="0" applyNumberFormat="0" applyBorder="0" applyAlignment="0" applyProtection="0"/>
    <xf numFmtId="0" fontId="1" fillId="75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1" fillId="75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1" fillId="75" borderId="0" applyNumberFormat="0" applyBorder="0" applyAlignment="0" applyProtection="0"/>
    <xf numFmtId="0" fontId="1" fillId="75" borderId="0" applyNumberFormat="0" applyBorder="0" applyAlignment="0" applyProtection="0"/>
    <xf numFmtId="0" fontId="1" fillId="75" borderId="0" applyNumberFormat="0" applyBorder="0" applyAlignment="0" applyProtection="0"/>
    <xf numFmtId="0" fontId="1" fillId="75" borderId="0" applyNumberFormat="0" applyBorder="0" applyAlignment="0" applyProtection="0"/>
    <xf numFmtId="0" fontId="1" fillId="75" borderId="0" applyNumberFormat="0" applyBorder="0" applyAlignment="0" applyProtection="0"/>
    <xf numFmtId="0" fontId="1" fillId="75" borderId="0" applyNumberFormat="0" applyBorder="0" applyAlignment="0" applyProtection="0"/>
    <xf numFmtId="0" fontId="1" fillId="75" borderId="0" applyNumberFormat="0" applyBorder="0" applyAlignment="0" applyProtection="0"/>
    <xf numFmtId="0" fontId="1" fillId="75" borderId="0" applyNumberFormat="0" applyBorder="0" applyAlignment="0" applyProtection="0"/>
    <xf numFmtId="0" fontId="1" fillId="75" borderId="0" applyNumberFormat="0" applyBorder="0" applyAlignment="0" applyProtection="0"/>
    <xf numFmtId="0" fontId="1" fillId="75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1" fillId="75" borderId="0" applyNumberFormat="0" applyBorder="0" applyAlignment="0" applyProtection="0"/>
    <xf numFmtId="0" fontId="1" fillId="75" borderId="0" applyNumberFormat="0" applyBorder="0" applyAlignment="0" applyProtection="0"/>
    <xf numFmtId="0" fontId="1" fillId="75" borderId="0" applyNumberFormat="0" applyBorder="0" applyAlignment="0" applyProtection="0"/>
    <xf numFmtId="0" fontId="1" fillId="75" borderId="0" applyNumberFormat="0" applyBorder="0" applyAlignment="0" applyProtection="0"/>
    <xf numFmtId="0" fontId="1" fillId="75" borderId="0" applyNumberFormat="0" applyBorder="0" applyAlignment="0" applyProtection="0"/>
    <xf numFmtId="0" fontId="1" fillId="75" borderId="0" applyNumberFormat="0" applyBorder="0" applyAlignment="0" applyProtection="0"/>
    <xf numFmtId="0" fontId="1" fillId="75" borderId="0" applyNumberFormat="0" applyBorder="0" applyAlignment="0" applyProtection="0"/>
    <xf numFmtId="0" fontId="1" fillId="75" borderId="0" applyNumberFormat="0" applyBorder="0" applyAlignment="0" applyProtection="0"/>
    <xf numFmtId="0" fontId="1" fillId="75" borderId="0" applyNumberFormat="0" applyBorder="0" applyAlignment="0" applyProtection="0"/>
    <xf numFmtId="0" fontId="1" fillId="75" borderId="0" applyNumberFormat="0" applyBorder="0" applyAlignment="0" applyProtection="0"/>
    <xf numFmtId="0" fontId="1" fillId="75" borderId="0" applyNumberFormat="0" applyBorder="0" applyAlignment="0" applyProtection="0"/>
    <xf numFmtId="0" fontId="1" fillId="75" borderId="0" applyNumberFormat="0" applyBorder="0" applyAlignment="0" applyProtection="0"/>
    <xf numFmtId="0" fontId="1" fillId="75" borderId="0" applyNumberFormat="0" applyBorder="0" applyAlignment="0" applyProtection="0"/>
    <xf numFmtId="0" fontId="1" fillId="75" borderId="0" applyNumberFormat="0" applyBorder="0" applyAlignment="0" applyProtection="0"/>
    <xf numFmtId="0" fontId="1" fillId="75" borderId="0" applyNumberFormat="0" applyBorder="0" applyAlignment="0" applyProtection="0"/>
    <xf numFmtId="0" fontId="1" fillId="75" borderId="0" applyNumberFormat="0" applyBorder="0" applyAlignment="0" applyProtection="0"/>
    <xf numFmtId="0" fontId="1" fillId="75" borderId="0" applyNumberFormat="0" applyBorder="0" applyAlignment="0" applyProtection="0"/>
    <xf numFmtId="0" fontId="1" fillId="75" borderId="0" applyNumberFormat="0" applyBorder="0" applyAlignment="0" applyProtection="0"/>
    <xf numFmtId="0" fontId="1" fillId="75" borderId="0" applyNumberFormat="0" applyBorder="0" applyAlignment="0" applyProtection="0"/>
    <xf numFmtId="0" fontId="1" fillId="75" borderId="0" applyNumberFormat="0" applyBorder="0" applyAlignment="0" applyProtection="0"/>
    <xf numFmtId="0" fontId="1" fillId="75" borderId="0" applyNumberFormat="0" applyBorder="0" applyAlignment="0" applyProtection="0"/>
    <xf numFmtId="0" fontId="1" fillId="75" borderId="0" applyNumberFormat="0" applyBorder="0" applyAlignment="0" applyProtection="0"/>
    <xf numFmtId="0" fontId="1" fillId="75" borderId="0" applyNumberFormat="0" applyBorder="0" applyAlignment="0" applyProtection="0"/>
    <xf numFmtId="0" fontId="1" fillId="75" borderId="0" applyNumberFormat="0" applyBorder="0" applyAlignment="0" applyProtection="0"/>
    <xf numFmtId="0" fontId="1" fillId="75" borderId="0" applyNumberFormat="0" applyBorder="0" applyAlignment="0" applyProtection="0"/>
    <xf numFmtId="0" fontId="1" fillId="75" borderId="0" applyNumberFormat="0" applyBorder="0" applyAlignment="0" applyProtection="0"/>
    <xf numFmtId="0" fontId="1" fillId="75" borderId="0" applyNumberFormat="0" applyBorder="0" applyAlignment="0" applyProtection="0"/>
    <xf numFmtId="0" fontId="1" fillId="75" borderId="0" applyNumberFormat="0" applyBorder="0" applyAlignment="0" applyProtection="0"/>
    <xf numFmtId="0" fontId="1" fillId="75" borderId="0" applyNumberFormat="0" applyBorder="0" applyAlignment="0" applyProtection="0"/>
    <xf numFmtId="0" fontId="1" fillId="75" borderId="0" applyNumberFormat="0" applyBorder="0" applyAlignment="0" applyProtection="0"/>
    <xf numFmtId="0" fontId="1" fillId="75" borderId="0" applyNumberFormat="0" applyBorder="0" applyAlignment="0" applyProtection="0"/>
    <xf numFmtId="0" fontId="1" fillId="75" borderId="0" applyNumberFormat="0" applyBorder="0" applyAlignment="0" applyProtection="0"/>
    <xf numFmtId="0" fontId="1" fillId="75" borderId="0" applyNumberFormat="0" applyBorder="0" applyAlignment="0" applyProtection="0"/>
    <xf numFmtId="0" fontId="1" fillId="75" borderId="0" applyNumberFormat="0" applyBorder="0" applyAlignment="0" applyProtection="0"/>
    <xf numFmtId="0" fontId="1" fillId="75" borderId="0" applyNumberFormat="0" applyBorder="0" applyAlignment="0" applyProtection="0"/>
    <xf numFmtId="0" fontId="1" fillId="75" borderId="0" applyNumberFormat="0" applyBorder="0" applyAlignment="0" applyProtection="0"/>
    <xf numFmtId="0" fontId="1" fillId="75" borderId="0" applyNumberFormat="0" applyBorder="0" applyAlignment="0" applyProtection="0"/>
    <xf numFmtId="0" fontId="1" fillId="75" borderId="0" applyNumberFormat="0" applyBorder="0" applyAlignment="0" applyProtection="0"/>
    <xf numFmtId="0" fontId="1" fillId="75" borderId="0" applyNumberFormat="0" applyBorder="0" applyAlignment="0" applyProtection="0"/>
    <xf numFmtId="0" fontId="1" fillId="75" borderId="0" applyNumberFormat="0" applyBorder="0" applyAlignment="0" applyProtection="0"/>
    <xf numFmtId="0" fontId="1" fillId="75" borderId="0" applyNumberFormat="0" applyBorder="0" applyAlignment="0" applyProtection="0"/>
    <xf numFmtId="0" fontId="1" fillId="75" borderId="0" applyNumberFormat="0" applyBorder="0" applyAlignment="0" applyProtection="0"/>
    <xf numFmtId="0" fontId="1" fillId="75" borderId="0" applyNumberFormat="0" applyBorder="0" applyAlignment="0" applyProtection="0"/>
    <xf numFmtId="0" fontId="1" fillId="75" borderId="0" applyNumberFormat="0" applyBorder="0" applyAlignment="0" applyProtection="0"/>
    <xf numFmtId="0" fontId="40" fillId="86" borderId="0" applyNumberFormat="0" applyBorder="0" applyAlignment="0" applyProtection="0"/>
    <xf numFmtId="0" fontId="1" fillId="75" borderId="0" applyNumberFormat="0" applyBorder="0" applyAlignment="0" applyProtection="0"/>
    <xf numFmtId="0" fontId="1" fillId="75" borderId="0" applyNumberFormat="0" applyBorder="0" applyAlignment="0" applyProtection="0"/>
    <xf numFmtId="0" fontId="1" fillId="75" borderId="0" applyNumberFormat="0" applyBorder="0" applyAlignment="0" applyProtection="0"/>
    <xf numFmtId="0" fontId="40" fillId="86" borderId="0" applyNumberFormat="0" applyBorder="0" applyAlignment="0" applyProtection="0"/>
    <xf numFmtId="0" fontId="1" fillId="75" borderId="0" applyNumberFormat="0" applyBorder="0" applyAlignment="0" applyProtection="0"/>
    <xf numFmtId="0" fontId="1" fillId="75" borderId="0" applyNumberFormat="0" applyBorder="0" applyAlignment="0" applyProtection="0"/>
    <xf numFmtId="0" fontId="1" fillId="75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82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3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5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1" fillId="75" borderId="0" applyNumberFormat="0" applyBorder="0" applyAlignment="0" applyProtection="0"/>
    <xf numFmtId="0" fontId="1" fillId="75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1" fillId="75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1" fillId="75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86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87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39" fillId="0" borderId="0" applyNumberFormat="0" applyFont="0" applyFill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39" fillId="0" borderId="0" applyNumberFormat="0" applyFont="0" applyFill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39" fillId="0" borderId="0" applyNumberFormat="0" applyFont="0" applyFill="0" applyBorder="0" applyAlignment="0" applyProtection="0"/>
    <xf numFmtId="0" fontId="39" fillId="0" borderId="0" applyNumberFormat="0" applyFont="0" applyFill="0" applyBorder="0" applyAlignment="0" applyProtection="0"/>
    <xf numFmtId="0" fontId="39" fillId="0" borderId="0" applyNumberFormat="0" applyFont="0" applyFill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39" fillId="0" borderId="0" applyNumberFormat="0" applyFont="0" applyFill="0" applyBorder="0" applyAlignment="0" applyProtection="0"/>
    <xf numFmtId="0" fontId="39" fillId="0" borderId="0" applyNumberFormat="0" applyFont="0" applyFill="0" applyBorder="0" applyAlignment="0" applyProtection="0"/>
    <xf numFmtId="0" fontId="39" fillId="0" borderId="0" applyNumberFormat="0" applyFont="0" applyFill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39" fillId="0" borderId="0" applyNumberFormat="0" applyFont="0" applyFill="0" applyBorder="0" applyAlignment="0" applyProtection="0"/>
    <xf numFmtId="0" fontId="39" fillId="0" borderId="0" applyNumberFormat="0" applyFont="0" applyFill="0" applyBorder="0" applyAlignment="0" applyProtection="0"/>
    <xf numFmtId="0" fontId="39" fillId="0" borderId="0" applyNumberFormat="0" applyFont="0" applyFill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39" fillId="0" borderId="0" applyNumberFormat="0" applyFont="0" applyFill="0" applyBorder="0" applyAlignment="0" applyProtection="0"/>
    <xf numFmtId="0" fontId="39" fillId="0" borderId="0" applyNumberFormat="0" applyFont="0" applyFill="0" applyBorder="0" applyAlignment="0" applyProtection="0"/>
    <xf numFmtId="0" fontId="39" fillId="0" borderId="0" applyNumberFormat="0" applyFont="0" applyFill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39" fillId="0" borderId="0" applyNumberFormat="0" applyFont="0" applyFill="0" applyBorder="0" applyAlignment="0" applyProtection="0"/>
    <xf numFmtId="0" fontId="39" fillId="0" borderId="0" applyNumberFormat="0" applyFont="0" applyFill="0" applyBorder="0" applyAlignment="0" applyProtection="0"/>
    <xf numFmtId="0" fontId="39" fillId="0" borderId="0" applyNumberFormat="0" applyFont="0" applyFill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39" fillId="0" borderId="0" applyNumberFormat="0" applyFont="0" applyFill="0" applyBorder="0" applyAlignment="0" applyProtection="0"/>
    <xf numFmtId="0" fontId="39" fillId="0" borderId="0" applyNumberFormat="0" applyFont="0" applyFill="0" applyBorder="0" applyAlignment="0" applyProtection="0"/>
    <xf numFmtId="0" fontId="39" fillId="0" borderId="0" applyNumberFormat="0" applyFont="0" applyFill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39" fillId="0" borderId="0" applyNumberFormat="0" applyFont="0" applyFill="0" applyBorder="0" applyAlignment="0" applyProtection="0"/>
    <xf numFmtId="0" fontId="39" fillId="0" borderId="0" applyNumberFormat="0" applyFont="0" applyFill="0" applyBorder="0" applyAlignment="0" applyProtection="0"/>
    <xf numFmtId="0" fontId="39" fillId="0" borderId="0" applyNumberFormat="0" applyFont="0" applyFill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39" fillId="0" borderId="0" applyNumberFormat="0" applyFont="0" applyFill="0" applyBorder="0" applyAlignment="0" applyProtection="0"/>
    <xf numFmtId="0" fontId="39" fillId="0" borderId="0" applyNumberFormat="0" applyFont="0" applyFill="0" applyBorder="0" applyAlignment="0" applyProtection="0"/>
    <xf numFmtId="0" fontId="39" fillId="0" borderId="0" applyNumberFormat="0" applyFont="0" applyFill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39" fillId="0" borderId="0" applyNumberFormat="0" applyFont="0" applyFill="0" applyBorder="0" applyAlignment="0" applyProtection="0"/>
    <xf numFmtId="0" fontId="39" fillId="0" borderId="0" applyNumberFormat="0" applyFont="0" applyFill="0" applyBorder="0" applyAlignment="0" applyProtection="0"/>
    <xf numFmtId="0" fontId="39" fillId="0" borderId="0" applyNumberFormat="0" applyFont="0" applyFill="0" applyBorder="0" applyAlignment="0" applyProtection="0"/>
    <xf numFmtId="0" fontId="40" fillId="84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39" fillId="0" borderId="0" applyNumberFormat="0" applyFont="0" applyFill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84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84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84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84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84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84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84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84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84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84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84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84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84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84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84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84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84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84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84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84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84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84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84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84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84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84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84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84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84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84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84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84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84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84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84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84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84" borderId="0" applyNumberFormat="0" applyBorder="0" applyAlignment="0" applyProtection="0"/>
    <xf numFmtId="0" fontId="40" fillId="84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84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84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84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84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84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84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84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84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84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39" fillId="0" borderId="0" applyNumberFormat="0" applyFont="0" applyFill="0" applyBorder="0" applyAlignment="0" applyProtection="0"/>
    <xf numFmtId="0" fontId="39" fillId="0" borderId="0" applyNumberFormat="0" applyFont="0" applyFill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43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39" fillId="0" borderId="0" applyNumberFormat="0" applyFont="0" applyFill="0" applyBorder="0" applyAlignment="0" applyProtection="0"/>
    <xf numFmtId="0" fontId="39" fillId="0" borderId="0" applyNumberFormat="0" applyFont="0" applyFill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40" fillId="28" borderId="0" applyNumberFormat="0" applyBorder="0" applyAlignment="0" applyProtection="0"/>
    <xf numFmtId="0" fontId="39" fillId="0" borderId="0" applyNumberFormat="0" applyFont="0" applyFill="0" applyBorder="0" applyAlignment="0" applyProtection="0"/>
    <xf numFmtId="0" fontId="93" fillId="88" borderId="0" applyNumberFormat="0" applyBorder="0" applyAlignment="0" applyProtection="0"/>
    <xf numFmtId="0" fontId="93" fillId="87" borderId="0" applyNumberFormat="0" applyBorder="0" applyAlignment="0" applyProtection="0"/>
    <xf numFmtId="0" fontId="93" fillId="33" borderId="0" applyNumberFormat="0" applyBorder="0" applyAlignment="0" applyProtection="0"/>
    <xf numFmtId="0" fontId="93" fillId="89" borderId="0" applyNumberFormat="0" applyBorder="0" applyAlignment="0" applyProtection="0"/>
    <xf numFmtId="0" fontId="93" fillId="24" borderId="0" applyNumberFormat="0" applyBorder="0" applyAlignment="0" applyProtection="0"/>
    <xf numFmtId="0" fontId="93" fillId="29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8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87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33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0" fontId="93" fillId="29" borderId="0" applyNumberFormat="0" applyBorder="0" applyAlignment="0" applyProtection="0"/>
    <xf numFmtId="175" fontId="94" fillId="0" borderId="0">
      <alignment horizontal="right"/>
    </xf>
    <xf numFmtId="175" fontId="94" fillId="0" borderId="0">
      <alignment horizontal="right"/>
    </xf>
    <xf numFmtId="175" fontId="95" fillId="0" borderId="0">
      <alignment horizontal="right"/>
    </xf>
    <xf numFmtId="175" fontId="94" fillId="0" borderId="0">
      <alignment horizontal="right"/>
    </xf>
    <xf numFmtId="175" fontId="95" fillId="0" borderId="0">
      <alignment horizontal="right"/>
    </xf>
    <xf numFmtId="175" fontId="94" fillId="0" borderId="0">
      <alignment horizontal="right"/>
    </xf>
    <xf numFmtId="175" fontId="95" fillId="0" borderId="0">
      <alignment horizontal="right"/>
    </xf>
    <xf numFmtId="175" fontId="95" fillId="0" borderId="0">
      <alignment horizontal="right"/>
    </xf>
    <xf numFmtId="176" fontId="38" fillId="0" borderId="0" applyFont="0" applyFill="0" applyBorder="0" applyAlignment="0" applyProtection="0"/>
    <xf numFmtId="177" fontId="38" fillId="0" borderId="0" applyFont="0" applyFill="0" applyBorder="0" applyAlignment="0" applyProtection="0"/>
    <xf numFmtId="176" fontId="38" fillId="0" borderId="0" applyFont="0" applyFill="0" applyBorder="0" applyAlignment="0" applyProtection="0"/>
    <xf numFmtId="177" fontId="38" fillId="0" borderId="0" applyFont="0" applyFill="0" applyBorder="0" applyAlignment="0" applyProtection="0"/>
    <xf numFmtId="0" fontId="93" fillId="90" borderId="0" applyNumberFormat="0" applyBorder="0" applyAlignment="0" applyProtection="0"/>
    <xf numFmtId="0" fontId="5" fillId="52" borderId="0" applyNumberFormat="0" applyBorder="0" applyAlignment="0" applyProtection="0"/>
    <xf numFmtId="0" fontId="93" fillId="27" borderId="0" applyNumberFormat="0" applyBorder="0" applyAlignment="0" applyProtection="0"/>
    <xf numFmtId="0" fontId="5" fillId="53" borderId="0" applyNumberFormat="0" applyBorder="0" applyAlignment="0" applyProtection="0"/>
    <xf numFmtId="0" fontId="93" fillId="31" borderId="0" applyNumberFormat="0" applyBorder="0" applyAlignment="0" applyProtection="0"/>
    <xf numFmtId="0" fontId="5" fillId="54" borderId="0" applyNumberFormat="0" applyBorder="0" applyAlignment="0" applyProtection="0"/>
    <xf numFmtId="0" fontId="93" fillId="89" borderId="0" applyNumberFormat="0" applyBorder="0" applyAlignment="0" applyProtection="0"/>
    <xf numFmtId="0" fontId="5" fillId="55" borderId="0" applyNumberFormat="0" applyBorder="0" applyAlignment="0" applyProtection="0"/>
    <xf numFmtId="0" fontId="93" fillId="24" borderId="0" applyNumberFormat="0" applyBorder="0" applyAlignment="0" applyProtection="0"/>
    <xf numFmtId="0" fontId="5" fillId="4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5" fillId="56" borderId="0" applyNumberFormat="0" applyBorder="0" applyAlignment="0" applyProtection="0"/>
    <xf numFmtId="178" fontId="38" fillId="0" borderId="0" applyFont="0" applyFill="0" applyBorder="0" applyProtection="0"/>
    <xf numFmtId="179" fontId="96" fillId="0" borderId="0" applyFont="0" applyFill="0" applyBorder="0" applyAlignment="0" applyProtection="0"/>
    <xf numFmtId="180" fontId="96" fillId="0" borderId="0" applyFont="0" applyFill="0" applyBorder="0" applyAlignment="0" applyProtection="0"/>
    <xf numFmtId="175" fontId="28" fillId="0" borderId="0" applyNumberFormat="0" applyFill="0" applyBorder="0" applyAlignment="0" applyProtection="0">
      <alignment vertical="top"/>
      <protection locked="0"/>
    </xf>
    <xf numFmtId="175" fontId="28" fillId="0" borderId="0" applyNumberFormat="0" applyFill="0" applyBorder="0" applyAlignment="0" applyProtection="0">
      <alignment vertical="top"/>
      <protection locked="0"/>
    </xf>
    <xf numFmtId="175" fontId="28" fillId="0" borderId="0" applyNumberFormat="0" applyFill="0" applyBorder="0" applyAlignment="0" applyProtection="0">
      <alignment vertical="top"/>
      <protection locked="0"/>
    </xf>
    <xf numFmtId="175" fontId="28" fillId="0" borderId="0" applyNumberFormat="0" applyFill="0" applyBorder="0" applyAlignment="0" applyProtection="0">
      <alignment vertical="top"/>
      <protection locked="0"/>
    </xf>
    <xf numFmtId="175" fontId="18" fillId="0" borderId="0"/>
    <xf numFmtId="175" fontId="18" fillId="0" borderId="0"/>
    <xf numFmtId="175" fontId="18" fillId="0" borderId="0"/>
    <xf numFmtId="175" fontId="18" fillId="0" borderId="0"/>
    <xf numFmtId="0" fontId="39" fillId="0" borderId="0"/>
    <xf numFmtId="175" fontId="18" fillId="0" borderId="0" applyNumberFormat="0" applyFill="0" applyBorder="0" applyAlignment="0" applyProtection="0"/>
    <xf numFmtId="175" fontId="18" fillId="0" borderId="0" applyNumberFormat="0" applyFill="0" applyBorder="0" applyAlignment="0" applyProtection="0"/>
    <xf numFmtId="175" fontId="18" fillId="0" borderId="0" applyNumberFormat="0" applyFill="0" applyBorder="0" applyAlignment="0" applyProtection="0"/>
    <xf numFmtId="175" fontId="18" fillId="0" borderId="0" applyNumberFormat="0" applyFill="0" applyBorder="0" applyAlignment="0" applyProtection="0"/>
    <xf numFmtId="175" fontId="97" fillId="0" borderId="0" applyNumberFormat="0" applyFill="0" applyBorder="0" applyAlignment="0" applyProtection="0"/>
    <xf numFmtId="175" fontId="97" fillId="0" borderId="0" applyNumberFormat="0" applyFill="0" applyBorder="0" applyAlignment="0" applyProtection="0"/>
    <xf numFmtId="175" fontId="97" fillId="0" borderId="0" applyNumberFormat="0" applyFill="0" applyBorder="0" applyAlignment="0" applyProtection="0"/>
    <xf numFmtId="175" fontId="97" fillId="0" borderId="0" applyNumberFormat="0" applyFill="0" applyBorder="0" applyAlignment="0" applyProtection="0"/>
    <xf numFmtId="49" fontId="6" fillId="83" borderId="1">
      <alignment horizontal="left" vertical="top"/>
      <protection locked="0"/>
    </xf>
    <xf numFmtId="49" fontId="6" fillId="83" borderId="1">
      <alignment horizontal="left" vertical="top"/>
      <protection locked="0"/>
    </xf>
    <xf numFmtId="49" fontId="6" fillId="83" borderId="1">
      <alignment horizontal="left" vertical="top"/>
      <protection locked="0"/>
    </xf>
    <xf numFmtId="49" fontId="6" fillId="83" borderId="1">
      <alignment horizontal="left" vertical="top"/>
      <protection locked="0"/>
    </xf>
    <xf numFmtId="49" fontId="6" fillId="83" borderId="1">
      <alignment horizontal="left" vertical="top"/>
      <protection locked="0"/>
    </xf>
    <xf numFmtId="49" fontId="6" fillId="0" borderId="1">
      <alignment horizontal="left" vertical="top"/>
      <protection locked="0"/>
    </xf>
    <xf numFmtId="49" fontId="6" fillId="0" borderId="1">
      <alignment horizontal="left" vertical="top"/>
      <protection locked="0"/>
    </xf>
    <xf numFmtId="49" fontId="6" fillId="0" borderId="1">
      <alignment horizontal="left" vertical="top"/>
      <protection locked="0"/>
    </xf>
    <xf numFmtId="49" fontId="6" fillId="0" borderId="1">
      <alignment horizontal="left" vertical="top"/>
      <protection locked="0"/>
    </xf>
    <xf numFmtId="49" fontId="6" fillId="0" borderId="1">
      <alignment horizontal="left" vertical="top"/>
      <protection locked="0"/>
    </xf>
    <xf numFmtId="49" fontId="6" fillId="91" borderId="1">
      <alignment horizontal="left" vertical="top"/>
      <protection locked="0"/>
    </xf>
    <xf numFmtId="49" fontId="6" fillId="91" borderId="1">
      <alignment horizontal="left" vertical="top"/>
      <protection locked="0"/>
    </xf>
    <xf numFmtId="49" fontId="6" fillId="91" borderId="1">
      <alignment horizontal="left" vertical="top"/>
      <protection locked="0"/>
    </xf>
    <xf numFmtId="49" fontId="6" fillId="91" borderId="1">
      <alignment horizontal="left" vertical="top"/>
      <protection locked="0"/>
    </xf>
    <xf numFmtId="49" fontId="6" fillId="91" borderId="1">
      <alignment horizontal="left" vertical="top"/>
      <protection locked="0"/>
    </xf>
    <xf numFmtId="0" fontId="98" fillId="0" borderId="0">
      <alignment horizontal="left" vertical="top" wrapText="1"/>
    </xf>
    <xf numFmtId="0" fontId="99" fillId="0" borderId="5">
      <alignment horizontal="left" vertical="top" wrapText="1"/>
    </xf>
    <xf numFmtId="0" fontId="99" fillId="0" borderId="5">
      <alignment horizontal="left" vertical="top" wrapText="1"/>
    </xf>
    <xf numFmtId="0" fontId="99" fillId="0" borderId="5">
      <alignment horizontal="left" vertical="top" wrapText="1"/>
    </xf>
    <xf numFmtId="0" fontId="99" fillId="0" borderId="5">
      <alignment horizontal="left" vertical="top" wrapText="1"/>
    </xf>
    <xf numFmtId="0" fontId="99" fillId="0" borderId="5">
      <alignment horizontal="left" vertical="top" wrapText="1"/>
    </xf>
    <xf numFmtId="0" fontId="99" fillId="0" borderId="5">
      <alignment horizontal="left" vertical="top" wrapText="1"/>
    </xf>
    <xf numFmtId="0" fontId="99" fillId="0" borderId="5">
      <alignment horizontal="left" vertical="top" wrapText="1"/>
    </xf>
    <xf numFmtId="0" fontId="99" fillId="0" borderId="5">
      <alignment horizontal="left" vertical="top" wrapText="1"/>
    </xf>
    <xf numFmtId="0" fontId="99" fillId="0" borderId="5">
      <alignment horizontal="left" vertical="top" wrapText="1"/>
    </xf>
    <xf numFmtId="0" fontId="99" fillId="0" borderId="5">
      <alignment horizontal="left" vertical="top" wrapText="1"/>
    </xf>
    <xf numFmtId="0" fontId="99" fillId="0" borderId="5">
      <alignment horizontal="left" vertical="top" wrapText="1"/>
    </xf>
    <xf numFmtId="0" fontId="99" fillId="0" borderId="5">
      <alignment horizontal="left" vertical="top" wrapText="1"/>
    </xf>
    <xf numFmtId="0" fontId="99" fillId="0" borderId="5">
      <alignment horizontal="left" vertical="top" wrapText="1"/>
    </xf>
    <xf numFmtId="0" fontId="99" fillId="0" borderId="5">
      <alignment horizontal="left" vertical="top" wrapText="1"/>
    </xf>
    <xf numFmtId="0" fontId="99" fillId="0" borderId="5">
      <alignment horizontal="left" vertical="top" wrapText="1"/>
    </xf>
    <xf numFmtId="0" fontId="99" fillId="0" borderId="5">
      <alignment horizontal="left" vertical="top" wrapText="1"/>
    </xf>
    <xf numFmtId="0" fontId="99" fillId="0" borderId="5">
      <alignment horizontal="left" vertical="top" wrapText="1"/>
    </xf>
    <xf numFmtId="0" fontId="99" fillId="0" borderId="5">
      <alignment horizontal="left" vertical="top" wrapText="1"/>
    </xf>
    <xf numFmtId="49" fontId="100" fillId="0" borderId="1">
      <alignment horizontal="left" vertical="top" wrapText="1"/>
      <protection locked="0"/>
    </xf>
    <xf numFmtId="49" fontId="101" fillId="0" borderId="0">
      <alignment horizontal="left" vertical="top" wrapText="1"/>
      <protection locked="0"/>
    </xf>
    <xf numFmtId="0" fontId="102" fillId="0" borderId="0">
      <alignment horizontal="left" vertical="top" wrapText="1"/>
    </xf>
    <xf numFmtId="49" fontId="101" fillId="0" borderId="1">
      <alignment horizontal="center" vertical="top" wrapText="1"/>
      <protection locked="0"/>
    </xf>
    <xf numFmtId="49" fontId="101" fillId="0" borderId="1">
      <alignment horizontal="center" vertical="top" wrapText="1"/>
      <protection locked="0"/>
    </xf>
    <xf numFmtId="49" fontId="101" fillId="0" borderId="1">
      <alignment horizontal="center" vertical="top" wrapText="1"/>
      <protection locked="0"/>
    </xf>
    <xf numFmtId="49" fontId="101" fillId="0" borderId="1">
      <alignment horizontal="center" vertical="top" wrapText="1"/>
      <protection locked="0"/>
    </xf>
    <xf numFmtId="49" fontId="101" fillId="0" borderId="1">
      <alignment horizontal="center" vertical="top" wrapText="1"/>
      <protection locked="0"/>
    </xf>
    <xf numFmtId="49" fontId="101" fillId="0" borderId="1">
      <alignment horizontal="center" vertical="top" wrapText="1"/>
      <protection locked="0"/>
    </xf>
    <xf numFmtId="49" fontId="6" fillId="0" borderId="0">
      <alignment horizontal="right" vertical="top"/>
      <protection locked="0"/>
    </xf>
    <xf numFmtId="49" fontId="6" fillId="83" borderId="104">
      <alignment horizontal="right" vertical="top"/>
      <protection locked="0"/>
    </xf>
    <xf numFmtId="49" fontId="6" fillId="83" borderId="104">
      <alignment horizontal="right" vertical="top"/>
      <protection locked="0"/>
    </xf>
    <xf numFmtId="49" fontId="6" fillId="83" borderId="104">
      <alignment horizontal="right" vertical="top"/>
      <protection locked="0"/>
    </xf>
    <xf numFmtId="49" fontId="6" fillId="83" borderId="104">
      <alignment horizontal="right" vertical="top"/>
      <protection locked="0"/>
    </xf>
    <xf numFmtId="49" fontId="6" fillId="83" borderId="104">
      <alignment horizontal="right" vertical="top"/>
      <protection locked="0"/>
    </xf>
    <xf numFmtId="49" fontId="6" fillId="83" borderId="104">
      <alignment horizontal="right" vertical="top"/>
      <protection locked="0"/>
    </xf>
    <xf numFmtId="0" fontId="6" fillId="83" borderId="104">
      <alignment horizontal="right" vertical="top"/>
      <protection locked="0"/>
    </xf>
    <xf numFmtId="0" fontId="6" fillId="83" borderId="104">
      <alignment horizontal="right" vertical="top"/>
      <protection locked="0"/>
    </xf>
    <xf numFmtId="0" fontId="6" fillId="83" borderId="104">
      <alignment horizontal="right" vertical="top"/>
      <protection locked="0"/>
    </xf>
    <xf numFmtId="0" fontId="6" fillId="83" borderId="104">
      <alignment horizontal="right" vertical="top"/>
      <protection locked="0"/>
    </xf>
    <xf numFmtId="0" fontId="6" fillId="83" borderId="104">
      <alignment horizontal="right" vertical="top"/>
      <protection locked="0"/>
    </xf>
    <xf numFmtId="0" fontId="6" fillId="83" borderId="104">
      <alignment horizontal="right" vertical="top"/>
      <protection locked="0"/>
    </xf>
    <xf numFmtId="49" fontId="6" fillId="0" borderId="104">
      <alignment horizontal="right" vertical="top"/>
      <protection locked="0"/>
    </xf>
    <xf numFmtId="49" fontId="6" fillId="0" borderId="104">
      <alignment horizontal="right" vertical="top"/>
      <protection locked="0"/>
    </xf>
    <xf numFmtId="49" fontId="6" fillId="0" borderId="104">
      <alignment horizontal="right" vertical="top"/>
      <protection locked="0"/>
    </xf>
    <xf numFmtId="49" fontId="6" fillId="0" borderId="104">
      <alignment horizontal="right" vertical="top"/>
      <protection locked="0"/>
    </xf>
    <xf numFmtId="49" fontId="6" fillId="0" borderId="104">
      <alignment horizontal="right" vertical="top"/>
      <protection locked="0"/>
    </xf>
    <xf numFmtId="49" fontId="6" fillId="0" borderId="104">
      <alignment horizontal="right" vertical="top"/>
      <protection locked="0"/>
    </xf>
    <xf numFmtId="0" fontId="6" fillId="0" borderId="104">
      <alignment horizontal="right" vertical="top"/>
      <protection locked="0"/>
    </xf>
    <xf numFmtId="0" fontId="6" fillId="0" borderId="104">
      <alignment horizontal="right" vertical="top"/>
      <protection locked="0"/>
    </xf>
    <xf numFmtId="0" fontId="6" fillId="0" borderId="104">
      <alignment horizontal="right" vertical="top"/>
      <protection locked="0"/>
    </xf>
    <xf numFmtId="0" fontId="6" fillId="0" borderId="104">
      <alignment horizontal="right" vertical="top"/>
      <protection locked="0"/>
    </xf>
    <xf numFmtId="0" fontId="6" fillId="0" borderId="104">
      <alignment horizontal="right" vertical="top"/>
      <protection locked="0"/>
    </xf>
    <xf numFmtId="0" fontId="6" fillId="0" borderId="104">
      <alignment horizontal="right" vertical="top"/>
      <protection locked="0"/>
    </xf>
    <xf numFmtId="49" fontId="6" fillId="91" borderId="104">
      <alignment horizontal="right" vertical="top"/>
      <protection locked="0"/>
    </xf>
    <xf numFmtId="49" fontId="6" fillId="91" borderId="104">
      <alignment horizontal="right" vertical="top"/>
      <protection locked="0"/>
    </xf>
    <xf numFmtId="49" fontId="6" fillId="91" borderId="104">
      <alignment horizontal="right" vertical="top"/>
      <protection locked="0"/>
    </xf>
    <xf numFmtId="49" fontId="6" fillId="91" borderId="104">
      <alignment horizontal="right" vertical="top"/>
      <protection locked="0"/>
    </xf>
    <xf numFmtId="49" fontId="6" fillId="91" borderId="104">
      <alignment horizontal="right" vertical="top"/>
      <protection locked="0"/>
    </xf>
    <xf numFmtId="49" fontId="6" fillId="91" borderId="104">
      <alignment horizontal="right" vertical="top"/>
      <protection locked="0"/>
    </xf>
    <xf numFmtId="0" fontId="6" fillId="91" borderId="104">
      <alignment horizontal="right" vertical="top"/>
      <protection locked="0"/>
    </xf>
    <xf numFmtId="0" fontId="6" fillId="91" borderId="104">
      <alignment horizontal="right" vertical="top"/>
      <protection locked="0"/>
    </xf>
    <xf numFmtId="0" fontId="6" fillId="91" borderId="104">
      <alignment horizontal="right" vertical="top"/>
      <protection locked="0"/>
    </xf>
    <xf numFmtId="0" fontId="6" fillId="91" borderId="104">
      <alignment horizontal="right" vertical="top"/>
      <protection locked="0"/>
    </xf>
    <xf numFmtId="0" fontId="6" fillId="91" borderId="104">
      <alignment horizontal="right" vertical="top"/>
      <protection locked="0"/>
    </xf>
    <xf numFmtId="0" fontId="6" fillId="91" borderId="104">
      <alignment horizontal="right" vertical="top"/>
      <protection locked="0"/>
    </xf>
    <xf numFmtId="49" fontId="103" fillId="0" borderId="0">
      <alignment horizontal="right" vertical="top" wrapText="1"/>
      <protection locked="0"/>
    </xf>
    <xf numFmtId="0" fontId="102" fillId="0" borderId="0">
      <alignment horizontal="right" vertical="top" wrapText="1"/>
    </xf>
    <xf numFmtId="0" fontId="99" fillId="0" borderId="0">
      <alignment horizontal="center" vertical="top" wrapText="1"/>
    </xf>
    <xf numFmtId="0" fontId="99" fillId="0" borderId="5">
      <alignment horizontal="center" vertical="top" wrapText="1"/>
    </xf>
    <xf numFmtId="0" fontId="99" fillId="0" borderId="5">
      <alignment horizontal="center" vertical="top" wrapText="1"/>
    </xf>
    <xf numFmtId="0" fontId="99" fillId="0" borderId="5">
      <alignment horizontal="center" vertical="top" wrapText="1"/>
    </xf>
    <xf numFmtId="0" fontId="99" fillId="0" borderId="5">
      <alignment horizontal="center" vertical="top" wrapText="1"/>
    </xf>
    <xf numFmtId="0" fontId="99" fillId="0" borderId="5">
      <alignment horizontal="center" vertical="top" wrapText="1"/>
    </xf>
    <xf numFmtId="0" fontId="99" fillId="0" borderId="5">
      <alignment horizontal="center" vertical="top" wrapText="1"/>
    </xf>
    <xf numFmtId="0" fontId="99" fillId="0" borderId="5">
      <alignment horizontal="center" vertical="top" wrapText="1"/>
    </xf>
    <xf numFmtId="0" fontId="99" fillId="0" borderId="5">
      <alignment horizontal="center" vertical="top" wrapText="1"/>
    </xf>
    <xf numFmtId="0" fontId="99" fillId="0" borderId="5">
      <alignment horizontal="center" vertical="top" wrapText="1"/>
    </xf>
    <xf numFmtId="0" fontId="99" fillId="0" borderId="5">
      <alignment horizontal="center" vertical="top" wrapText="1"/>
    </xf>
    <xf numFmtId="0" fontId="99" fillId="0" borderId="5">
      <alignment horizontal="center" vertical="top" wrapText="1"/>
    </xf>
    <xf numFmtId="0" fontId="99" fillId="0" borderId="5">
      <alignment horizontal="center" vertical="top" wrapText="1"/>
    </xf>
    <xf numFmtId="0" fontId="99" fillId="0" borderId="5">
      <alignment horizontal="center" vertical="top" wrapText="1"/>
    </xf>
    <xf numFmtId="0" fontId="99" fillId="0" borderId="5">
      <alignment horizontal="center" vertical="top" wrapText="1"/>
    </xf>
    <xf numFmtId="0" fontId="99" fillId="0" borderId="5">
      <alignment horizontal="center" vertical="top" wrapText="1"/>
    </xf>
    <xf numFmtId="0" fontId="99" fillId="0" borderId="5">
      <alignment horizontal="center" vertical="top" wrapText="1"/>
    </xf>
    <xf numFmtId="0" fontId="99" fillId="0" borderId="5">
      <alignment horizontal="center" vertical="top" wrapText="1"/>
    </xf>
    <xf numFmtId="0" fontId="99" fillId="0" borderId="5">
      <alignment horizontal="center" vertical="top" wrapText="1"/>
    </xf>
    <xf numFmtId="49" fontId="100" fillId="0" borderId="0">
      <alignment horizontal="center" vertical="top" wrapText="1"/>
      <protection locked="0"/>
    </xf>
    <xf numFmtId="49" fontId="6" fillId="0" borderId="1">
      <alignment horizontal="center" vertical="top" wrapText="1"/>
      <protection locked="0"/>
    </xf>
    <xf numFmtId="49" fontId="6" fillId="0" borderId="1">
      <alignment horizontal="center" vertical="top" wrapText="1"/>
      <protection locked="0"/>
    </xf>
    <xf numFmtId="49" fontId="6" fillId="0" borderId="1">
      <alignment horizontal="center" vertical="top" wrapText="1"/>
      <protection locked="0"/>
    </xf>
    <xf numFmtId="49" fontId="6" fillId="0" borderId="1">
      <alignment horizontal="center" vertical="top" wrapText="1"/>
      <protection locked="0"/>
    </xf>
    <xf numFmtId="49" fontId="6" fillId="0" borderId="1">
      <alignment horizontal="center" vertical="top" wrapText="1"/>
      <protection locked="0"/>
    </xf>
    <xf numFmtId="49" fontId="6" fillId="0" borderId="1">
      <alignment horizontal="center" vertical="top" wrapText="1"/>
      <protection locked="0"/>
    </xf>
    <xf numFmtId="0" fontId="6" fillId="0" borderId="1">
      <alignment horizontal="center" vertical="top" wrapText="1"/>
      <protection locked="0"/>
    </xf>
    <xf numFmtId="0" fontId="6" fillId="0" borderId="1">
      <alignment horizontal="center" vertical="top" wrapText="1"/>
      <protection locked="0"/>
    </xf>
    <xf numFmtId="0" fontId="6" fillId="0" borderId="1">
      <alignment horizontal="center" vertical="top" wrapText="1"/>
      <protection locked="0"/>
    </xf>
    <xf numFmtId="0" fontId="6" fillId="0" borderId="1">
      <alignment horizontal="center" vertical="top" wrapText="1"/>
      <protection locked="0"/>
    </xf>
    <xf numFmtId="0" fontId="6" fillId="0" borderId="1">
      <alignment horizontal="center" vertical="top" wrapText="1"/>
      <protection locked="0"/>
    </xf>
    <xf numFmtId="0" fontId="6" fillId="0" borderId="1">
      <alignment horizontal="center" vertical="top" wrapText="1"/>
      <protection locked="0"/>
    </xf>
    <xf numFmtId="0" fontId="104" fillId="25" borderId="0" applyNumberFormat="0" applyBorder="0" applyAlignment="0" applyProtection="0"/>
    <xf numFmtId="175" fontId="80" fillId="9" borderId="0"/>
    <xf numFmtId="175" fontId="80" fillId="9" borderId="0"/>
    <xf numFmtId="175" fontId="80" fillId="9" borderId="0"/>
    <xf numFmtId="175" fontId="80" fillId="9" borderId="0"/>
    <xf numFmtId="175" fontId="105" fillId="9" borderId="0"/>
    <xf numFmtId="175" fontId="105" fillId="9" borderId="0"/>
    <xf numFmtId="175" fontId="105" fillId="9" borderId="0"/>
    <xf numFmtId="175" fontId="105" fillId="9" borderId="0"/>
    <xf numFmtId="175" fontId="106" fillId="0" borderId="0" applyNumberFormat="0" applyFill="0" applyBorder="0" applyAlignment="0" applyProtection="0"/>
    <xf numFmtId="175" fontId="106" fillId="0" borderId="0" applyNumberFormat="0" applyFill="0" applyBorder="0" applyAlignment="0" applyProtection="0"/>
    <xf numFmtId="175" fontId="107" fillId="0" borderId="0" applyNumberFormat="0" applyFill="0" applyBorder="0" applyAlignment="0" applyProtection="0"/>
    <xf numFmtId="175" fontId="106" fillId="0" borderId="0" applyNumberFormat="0" applyFill="0" applyBorder="0" applyAlignment="0" applyProtection="0"/>
    <xf numFmtId="175" fontId="107" fillId="0" borderId="0" applyNumberFormat="0" applyFill="0" applyBorder="0" applyAlignment="0" applyProtection="0"/>
    <xf numFmtId="175" fontId="106" fillId="0" borderId="0" applyNumberFormat="0" applyFill="0" applyBorder="0" applyAlignment="0" applyProtection="0"/>
    <xf numFmtId="175" fontId="107" fillId="0" borderId="0" applyNumberFormat="0" applyFill="0" applyBorder="0" applyAlignment="0" applyProtection="0"/>
    <xf numFmtId="175" fontId="107" fillId="0" borderId="0" applyNumberFormat="0" applyFill="0" applyBorder="0" applyAlignment="0" applyProtection="0"/>
    <xf numFmtId="38" fontId="108" fillId="0" borderId="0" applyNumberFormat="0" applyFill="0" applyBorder="0" applyAlignment="0" applyProtection="0">
      <alignment horizontal="right"/>
      <protection locked="0"/>
    </xf>
    <xf numFmtId="175" fontId="109" fillId="0" borderId="0" applyNumberFormat="0" applyFill="0" applyBorder="0" applyAlignment="0" applyProtection="0"/>
    <xf numFmtId="175" fontId="109" fillId="0" borderId="0" applyNumberFormat="0" applyFill="0" applyBorder="0" applyAlignment="0" applyProtection="0"/>
    <xf numFmtId="175" fontId="110" fillId="0" borderId="0" applyNumberFormat="0" applyFill="0" applyBorder="0" applyAlignment="0" applyProtection="0"/>
    <xf numFmtId="175" fontId="109" fillId="0" borderId="0" applyNumberFormat="0" applyFill="0" applyBorder="0" applyAlignment="0" applyProtection="0"/>
    <xf numFmtId="175" fontId="110" fillId="0" borderId="0" applyNumberFormat="0" applyFill="0" applyBorder="0" applyAlignment="0" applyProtection="0"/>
    <xf numFmtId="175" fontId="109" fillId="0" borderId="0" applyNumberFormat="0" applyFill="0" applyBorder="0" applyAlignment="0" applyProtection="0"/>
    <xf numFmtId="175" fontId="110" fillId="0" borderId="0" applyNumberFormat="0" applyFill="0" applyBorder="0" applyAlignment="0" applyProtection="0"/>
    <xf numFmtId="175" fontId="110" fillId="0" borderId="0" applyNumberFormat="0" applyFill="0" applyBorder="0" applyAlignment="0" applyProtection="0"/>
    <xf numFmtId="181" fontId="111" fillId="0" borderId="0" applyFont="0" applyFill="0" applyBorder="0" applyAlignment="0" applyProtection="0"/>
    <xf numFmtId="175" fontId="112" fillId="0" borderId="0"/>
    <xf numFmtId="182" fontId="43" fillId="0" borderId="0" applyFill="0" applyBorder="0" applyAlignment="0"/>
    <xf numFmtId="182" fontId="43" fillId="0" borderId="0" applyFill="0" applyBorder="0" applyAlignment="0"/>
    <xf numFmtId="182" fontId="43" fillId="0" borderId="0" applyFill="0" applyBorder="0" applyAlignment="0"/>
    <xf numFmtId="182" fontId="43" fillId="0" borderId="0" applyFill="0" applyBorder="0" applyAlignment="0"/>
    <xf numFmtId="183" fontId="43" fillId="0" borderId="0" applyFill="0" applyBorder="0" applyAlignment="0"/>
    <xf numFmtId="184" fontId="43" fillId="0" borderId="0" applyFill="0" applyBorder="0" applyAlignment="0"/>
    <xf numFmtId="185" fontId="43" fillId="0" borderId="0" applyFill="0" applyBorder="0" applyAlignment="0"/>
    <xf numFmtId="186" fontId="43" fillId="0" borderId="0" applyFill="0" applyBorder="0" applyAlignment="0"/>
    <xf numFmtId="182" fontId="43" fillId="0" borderId="0" applyFill="0" applyBorder="0" applyAlignment="0"/>
    <xf numFmtId="187" fontId="43" fillId="0" borderId="0" applyFill="0" applyBorder="0" applyAlignment="0"/>
    <xf numFmtId="183" fontId="43" fillId="0" borderId="0" applyFill="0" applyBorder="0" applyAlignment="0"/>
    <xf numFmtId="0" fontId="113" fillId="39" borderId="105" applyNumberFormat="0" applyAlignment="0" applyProtection="0"/>
    <xf numFmtId="0" fontId="113" fillId="39" borderId="105" applyNumberFormat="0" applyAlignment="0" applyProtection="0"/>
    <xf numFmtId="0" fontId="113" fillId="39" borderId="105" applyNumberFormat="0" applyAlignment="0" applyProtection="0"/>
    <xf numFmtId="0" fontId="113" fillId="39" borderId="105" applyNumberFormat="0" applyAlignment="0" applyProtection="0"/>
    <xf numFmtId="0" fontId="113" fillId="39" borderId="105" applyNumberFormat="0" applyAlignment="0" applyProtection="0"/>
    <xf numFmtId="0" fontId="113" fillId="39" borderId="105" applyNumberFormat="0" applyAlignment="0" applyProtection="0"/>
    <xf numFmtId="0" fontId="113" fillId="39" borderId="105" applyNumberFormat="0" applyAlignment="0" applyProtection="0"/>
    <xf numFmtId="0" fontId="113" fillId="39" borderId="105" applyNumberFormat="0" applyAlignment="0" applyProtection="0"/>
    <xf numFmtId="0" fontId="113" fillId="39" borderId="105" applyNumberFormat="0" applyAlignment="0" applyProtection="0"/>
    <xf numFmtId="0" fontId="113" fillId="39" borderId="105" applyNumberFormat="0" applyAlignment="0" applyProtection="0"/>
    <xf numFmtId="0" fontId="113" fillId="39" borderId="105" applyNumberFormat="0" applyAlignment="0" applyProtection="0"/>
    <xf numFmtId="0" fontId="113" fillId="39" borderId="105" applyNumberFormat="0" applyAlignment="0" applyProtection="0"/>
    <xf numFmtId="0" fontId="113" fillId="39" borderId="105" applyNumberFormat="0" applyAlignment="0" applyProtection="0"/>
    <xf numFmtId="0" fontId="113" fillId="39" borderId="105" applyNumberFormat="0" applyAlignment="0" applyProtection="0"/>
    <xf numFmtId="0" fontId="113" fillId="39" borderId="105" applyNumberFormat="0" applyAlignment="0" applyProtection="0"/>
    <xf numFmtId="0" fontId="113" fillId="39" borderId="105" applyNumberFormat="0" applyAlignment="0" applyProtection="0"/>
    <xf numFmtId="0" fontId="113" fillId="39" borderId="105" applyNumberFormat="0" applyAlignment="0" applyProtection="0"/>
    <xf numFmtId="0" fontId="113" fillId="39" borderId="105" applyNumberFormat="0" applyAlignment="0" applyProtection="0"/>
    <xf numFmtId="0" fontId="113" fillId="39" borderId="105" applyNumberFormat="0" applyAlignment="0" applyProtection="0"/>
    <xf numFmtId="0" fontId="113" fillId="39" borderId="105" applyNumberFormat="0" applyAlignment="0" applyProtection="0"/>
    <xf numFmtId="0" fontId="113" fillId="39" borderId="105" applyNumberFormat="0" applyAlignment="0" applyProtection="0"/>
    <xf numFmtId="0" fontId="113" fillId="39" borderId="105" applyNumberFormat="0" applyAlignment="0" applyProtection="0"/>
    <xf numFmtId="0" fontId="113" fillId="39" borderId="105" applyNumberFormat="0" applyAlignment="0" applyProtection="0"/>
    <xf numFmtId="0" fontId="113" fillId="39" borderId="105" applyNumberFormat="0" applyAlignment="0" applyProtection="0"/>
    <xf numFmtId="0" fontId="113" fillId="39" borderId="105" applyNumberFormat="0" applyAlignment="0" applyProtection="0"/>
    <xf numFmtId="0" fontId="113" fillId="39" borderId="105" applyNumberFormat="0" applyAlignment="0" applyProtection="0"/>
    <xf numFmtId="175" fontId="38" fillId="92" borderId="0" applyNumberFormat="0" applyFont="0" applyBorder="0" applyAlignment="0"/>
    <xf numFmtId="175" fontId="38" fillId="92" borderId="0" applyNumberFormat="0" applyFont="0" applyBorder="0" applyAlignment="0"/>
    <xf numFmtId="175" fontId="38" fillId="92" borderId="0" applyNumberFormat="0" applyFont="0" applyBorder="0" applyAlignment="0"/>
    <xf numFmtId="175" fontId="38" fillId="92" borderId="0" applyNumberFormat="0" applyFont="0" applyBorder="0" applyAlignment="0"/>
    <xf numFmtId="175" fontId="114" fillId="0" borderId="103" applyNumberFormat="0" applyFont="0" applyFill="0" applyProtection="0">
      <alignment horizontal="centerContinuous" vertical="center"/>
    </xf>
    <xf numFmtId="175" fontId="114" fillId="0" borderId="103" applyNumberFormat="0" applyFont="0" applyFill="0" applyProtection="0">
      <alignment horizontal="centerContinuous" vertical="center"/>
    </xf>
    <xf numFmtId="175" fontId="114" fillId="0" borderId="103" applyNumberFormat="0" applyFont="0" applyFill="0" applyProtection="0">
      <alignment horizontal="centerContinuous" vertical="center"/>
    </xf>
    <xf numFmtId="175" fontId="114" fillId="0" borderId="103" applyNumberFormat="0" applyFont="0" applyFill="0" applyProtection="0">
      <alignment horizontal="centerContinuous" vertical="center"/>
    </xf>
    <xf numFmtId="188" fontId="18" fillId="0" borderId="0" applyFont="0" applyFill="0" applyBorder="0" applyAlignment="0" applyProtection="0"/>
    <xf numFmtId="0" fontId="115" fillId="93" borderId="14" applyNumberFormat="0" applyAlignment="0" applyProtection="0"/>
    <xf numFmtId="189" fontId="18" fillId="0" borderId="106" applyFont="0" applyFill="0" applyBorder="0" applyProtection="0">
      <alignment horizontal="center"/>
      <protection locked="0"/>
    </xf>
    <xf numFmtId="175" fontId="114" fillId="0" borderId="0" applyNumberFormat="0" applyFill="0" applyBorder="0" applyProtection="0">
      <alignment horizontal="center" vertical="center"/>
    </xf>
    <xf numFmtId="175" fontId="114" fillId="0" borderId="0" applyNumberFormat="0" applyFill="0" applyBorder="0" applyProtection="0">
      <alignment horizontal="center" vertical="center"/>
    </xf>
    <xf numFmtId="175" fontId="114" fillId="0" borderId="0" applyNumberFormat="0" applyFill="0" applyBorder="0" applyProtection="0">
      <alignment horizontal="center" vertical="center"/>
    </xf>
    <xf numFmtId="175" fontId="114" fillId="0" borderId="0" applyNumberFormat="0" applyFill="0" applyBorder="0" applyProtection="0">
      <alignment horizontal="center" vertical="center"/>
    </xf>
    <xf numFmtId="0" fontId="18" fillId="0" borderId="0" applyFont="0" applyFill="0" applyBorder="0" applyAlignment="0" applyProtection="0"/>
    <xf numFmtId="182" fontId="18" fillId="0" borderId="0" applyFont="0" applyFill="0" applyBorder="0" applyAlignment="0" applyProtection="0"/>
    <xf numFmtId="175" fontId="116" fillId="0" borderId="0" applyFont="0" applyFill="0" applyBorder="0" applyAlignment="0" applyProtection="0"/>
    <xf numFmtId="175" fontId="116" fillId="0" borderId="0" applyFont="0" applyFill="0" applyBorder="0" applyAlignment="0" applyProtection="0"/>
    <xf numFmtId="175" fontId="116" fillId="0" borderId="0" applyFont="0" applyFill="0" applyBorder="0" applyAlignment="0" applyProtection="0"/>
    <xf numFmtId="175" fontId="116" fillId="0" borderId="0" applyFont="0" applyFill="0" applyBorder="0" applyAlignment="0" applyProtection="0"/>
    <xf numFmtId="175" fontId="117" fillId="0" borderId="0" applyFont="0" applyFill="0" applyBorder="0" applyAlignment="0" applyProtection="0">
      <alignment horizontal="right"/>
    </xf>
    <xf numFmtId="175" fontId="117" fillId="0" borderId="0" applyFont="0" applyFill="0" applyBorder="0" applyAlignment="0" applyProtection="0">
      <alignment horizontal="right"/>
    </xf>
    <xf numFmtId="175" fontId="117" fillId="0" borderId="0" applyFont="0" applyFill="0" applyBorder="0" applyAlignment="0" applyProtection="0">
      <alignment horizontal="right"/>
    </xf>
    <xf numFmtId="175" fontId="117" fillId="0" borderId="0" applyFont="0" applyFill="0" applyBorder="0" applyAlignment="0" applyProtection="0">
      <alignment horizontal="right"/>
    </xf>
    <xf numFmtId="175" fontId="117" fillId="0" borderId="0" applyFont="0" applyFill="0" applyBorder="0" applyAlignment="0" applyProtection="0"/>
    <xf numFmtId="175" fontId="117" fillId="0" borderId="0" applyFont="0" applyFill="0" applyBorder="0" applyAlignment="0" applyProtection="0"/>
    <xf numFmtId="175" fontId="117" fillId="0" borderId="0" applyFont="0" applyFill="0" applyBorder="0" applyAlignment="0" applyProtection="0"/>
    <xf numFmtId="175" fontId="117" fillId="0" borderId="0" applyFont="0" applyFill="0" applyBorder="0" applyAlignment="0" applyProtection="0"/>
    <xf numFmtId="165" fontId="118" fillId="0" borderId="0" applyFont="0" applyFill="0" applyBorder="0" applyAlignment="0" applyProtection="0"/>
    <xf numFmtId="175" fontId="117" fillId="0" borderId="0" applyFont="0" applyFill="0" applyBorder="0" applyAlignment="0" applyProtection="0">
      <alignment horizontal="right"/>
    </xf>
    <xf numFmtId="175" fontId="117" fillId="0" borderId="0" applyFont="0" applyFill="0" applyBorder="0" applyAlignment="0" applyProtection="0">
      <alignment horizontal="right"/>
    </xf>
    <xf numFmtId="175" fontId="117" fillId="0" borderId="0" applyFont="0" applyFill="0" applyBorder="0" applyAlignment="0" applyProtection="0">
      <alignment horizontal="right"/>
    </xf>
    <xf numFmtId="166" fontId="119" fillId="0" borderId="0" applyFont="0" applyFill="0" applyBorder="0" applyAlignment="0" applyProtection="0"/>
    <xf numFmtId="0" fontId="18" fillId="0" borderId="0" applyFont="0" applyFill="0" applyBorder="0" applyAlignment="0" applyProtection="0"/>
    <xf numFmtId="3" fontId="120" fillId="0" borderId="0" applyFont="0" applyFill="0" applyBorder="0" applyAlignment="0" applyProtection="0"/>
    <xf numFmtId="0" fontId="18" fillId="0" borderId="0" applyFont="0" applyFill="0" applyBorder="0" applyAlignment="0" applyProtection="0"/>
    <xf numFmtId="183" fontId="18" fillId="0" borderId="0" applyFont="0" applyFill="0" applyBorder="0" applyAlignment="0" applyProtection="0"/>
    <xf numFmtId="190" fontId="76" fillId="0" borderId="0" applyFont="0" applyFill="0" applyBorder="0" applyAlignment="0" applyProtection="0"/>
    <xf numFmtId="175" fontId="117" fillId="0" borderId="0" applyFont="0" applyFill="0" applyBorder="0" applyAlignment="0" applyProtection="0">
      <alignment horizontal="right"/>
    </xf>
    <xf numFmtId="175" fontId="117" fillId="0" borderId="0" applyFont="0" applyFill="0" applyBorder="0" applyAlignment="0" applyProtection="0">
      <alignment horizontal="right"/>
    </xf>
    <xf numFmtId="175" fontId="117" fillId="0" borderId="0" applyFont="0" applyFill="0" applyBorder="0" applyAlignment="0" applyProtection="0">
      <alignment horizontal="right"/>
    </xf>
    <xf numFmtId="175" fontId="117" fillId="0" borderId="0" applyFont="0" applyFill="0" applyBorder="0" applyAlignment="0" applyProtection="0">
      <alignment horizontal="right"/>
    </xf>
    <xf numFmtId="175" fontId="117" fillId="0" borderId="0" applyFont="0" applyFill="0" applyBorder="0" applyAlignment="0" applyProtection="0">
      <alignment horizontal="right"/>
    </xf>
    <xf numFmtId="175" fontId="117" fillId="0" borderId="0" applyFont="0" applyFill="0" applyBorder="0" applyAlignment="0" applyProtection="0">
      <alignment horizontal="right"/>
    </xf>
    <xf numFmtId="175" fontId="117" fillId="0" borderId="0" applyFont="0" applyFill="0" applyBorder="0" applyAlignment="0" applyProtection="0">
      <alignment horizontal="right"/>
    </xf>
    <xf numFmtId="175" fontId="117" fillId="0" borderId="0" applyFont="0" applyFill="0" applyBorder="0" applyAlignment="0" applyProtection="0">
      <alignment horizontal="right"/>
    </xf>
    <xf numFmtId="187" fontId="18" fillId="0" borderId="0" applyFont="0" applyFill="0" applyBorder="0" applyAlignment="0" applyProtection="0"/>
    <xf numFmtId="191" fontId="120" fillId="0" borderId="0" applyFont="0" applyFill="0" applyBorder="0" applyAlignment="0" applyProtection="0"/>
    <xf numFmtId="0" fontId="121" fillId="49" borderId="0">
      <alignment wrapText="1"/>
    </xf>
    <xf numFmtId="0" fontId="122" fillId="49" borderId="0">
      <alignment horizontal="left" wrapText="1" indent="1"/>
    </xf>
    <xf numFmtId="0" fontId="123" fillId="49" borderId="0">
      <alignment horizontal="left" wrapText="1" indent="1"/>
    </xf>
    <xf numFmtId="0" fontId="123" fillId="49" borderId="0">
      <alignment horizontal="left" wrapText="1" indent="2"/>
    </xf>
    <xf numFmtId="0" fontId="122" fillId="49" borderId="0">
      <alignment horizontal="left" wrapText="1" indent="2"/>
    </xf>
    <xf numFmtId="0" fontId="122" fillId="49" borderId="0">
      <alignment horizontal="left" wrapText="1" indent="3"/>
    </xf>
    <xf numFmtId="0" fontId="123" fillId="49" borderId="0">
      <alignment horizontal="left" wrapText="1" indent="3"/>
    </xf>
    <xf numFmtId="0" fontId="122" fillId="49" borderId="0">
      <alignment horizontal="left" wrapText="1" indent="4"/>
    </xf>
    <xf numFmtId="0" fontId="123" fillId="49" borderId="0">
      <alignment horizontal="left" wrapText="1" indent="4"/>
    </xf>
    <xf numFmtId="0" fontId="124" fillId="49" borderId="0">
      <alignment horizontal="left" wrapText="1" indent="5"/>
    </xf>
    <xf numFmtId="0" fontId="125" fillId="49" borderId="0">
      <alignment horizontal="left" wrapText="1" indent="5"/>
    </xf>
    <xf numFmtId="0" fontId="124" fillId="49" borderId="0">
      <alignment horizontal="left" wrapText="1" indent="6"/>
    </xf>
    <xf numFmtId="0" fontId="126" fillId="94" borderId="0">
      <alignment wrapText="1"/>
    </xf>
    <xf numFmtId="0" fontId="126" fillId="95" borderId="0">
      <alignment wrapText="1"/>
    </xf>
    <xf numFmtId="0" fontId="125" fillId="49" borderId="0">
      <alignment horizontal="left" wrapText="1" indent="1"/>
    </xf>
    <xf numFmtId="0" fontId="127" fillId="96" borderId="0">
      <alignment wrapText="1"/>
    </xf>
    <xf numFmtId="0" fontId="124" fillId="49" borderId="0">
      <alignment horizontal="left" wrapText="1" indent="4"/>
    </xf>
    <xf numFmtId="0" fontId="124" fillId="49" borderId="0">
      <alignment horizontal="left" wrapText="1" indent="3"/>
    </xf>
    <xf numFmtId="0" fontId="128" fillId="49" borderId="0">
      <alignment horizontal="left" wrapText="1" indent="1"/>
    </xf>
    <xf numFmtId="0" fontId="123" fillId="49" borderId="0">
      <alignment wrapText="1"/>
    </xf>
    <xf numFmtId="175" fontId="80" fillId="14" borderId="0"/>
    <xf numFmtId="175" fontId="80" fillId="14" borderId="0"/>
    <xf numFmtId="175" fontId="80" fillId="14" borderId="0"/>
    <xf numFmtId="175" fontId="80" fillId="14" borderId="0"/>
    <xf numFmtId="0" fontId="39" fillId="0" borderId="0"/>
    <xf numFmtId="0" fontId="39" fillId="0" borderId="0"/>
    <xf numFmtId="175" fontId="105" fillId="97" borderId="0"/>
    <xf numFmtId="175" fontId="105" fillId="97" borderId="0"/>
    <xf numFmtId="175" fontId="105" fillId="97" borderId="0"/>
    <xf numFmtId="175" fontId="105" fillId="97" borderId="0"/>
    <xf numFmtId="192" fontId="18" fillId="0" borderId="0" applyFont="0" applyFill="0" applyBorder="0" applyAlignment="0" applyProtection="0"/>
    <xf numFmtId="175" fontId="117" fillId="0" borderId="0" applyFont="0" applyFill="0" applyBorder="0" applyAlignment="0" applyProtection="0"/>
    <xf numFmtId="175" fontId="117" fillId="0" borderId="0" applyFont="0" applyFill="0" applyBorder="0" applyAlignment="0" applyProtection="0"/>
    <xf numFmtId="175" fontId="117" fillId="0" borderId="0" applyFont="0" applyFill="0" applyBorder="0" applyAlignment="0" applyProtection="0"/>
    <xf numFmtId="175" fontId="117" fillId="0" borderId="0" applyFont="0" applyFill="0" applyBorder="0" applyAlignment="0" applyProtection="0"/>
    <xf numFmtId="14" fontId="43" fillId="0" borderId="0" applyFill="0" applyBorder="0" applyAlignment="0"/>
    <xf numFmtId="192" fontId="18" fillId="0" borderId="0" applyFont="0" applyFill="0" applyBorder="0" applyAlignment="0" applyProtection="0"/>
    <xf numFmtId="38" fontId="34" fillId="0" borderId="0" applyFont="0" applyFill="0" applyBorder="0" applyAlignment="0" applyProtection="0"/>
    <xf numFmtId="193" fontId="129" fillId="98" borderId="0" applyNumberFormat="0" applyBorder="0" applyAlignment="0" applyProtection="0"/>
    <xf numFmtId="0" fontId="38" fillId="0" borderId="0" applyFont="0" applyFill="0" applyBorder="0" applyAlignment="0" applyProtection="0"/>
    <xf numFmtId="0" fontId="38" fillId="0" borderId="0" applyFont="0" applyFill="0" applyBorder="0" applyAlignment="0" applyProtection="0"/>
    <xf numFmtId="194" fontId="76" fillId="0" borderId="0" applyFont="0" applyFill="0" applyBorder="0" applyAlignment="0" applyProtection="0"/>
    <xf numFmtId="175" fontId="117" fillId="0" borderId="107" applyNumberFormat="0" applyFont="0" applyFill="0" applyAlignment="0" applyProtection="0"/>
    <xf numFmtId="175" fontId="117" fillId="0" borderId="107" applyNumberFormat="0" applyFont="0" applyFill="0" applyAlignment="0" applyProtection="0"/>
    <xf numFmtId="175" fontId="117" fillId="0" borderId="107" applyNumberFormat="0" applyFont="0" applyFill="0" applyAlignment="0" applyProtection="0"/>
    <xf numFmtId="175" fontId="117" fillId="0" borderId="107" applyNumberFormat="0" applyFont="0" applyFill="0" applyAlignment="0" applyProtection="0"/>
    <xf numFmtId="175" fontId="130" fillId="0" borderId="0" applyFill="0" applyBorder="0" applyAlignment="0" applyProtection="0"/>
    <xf numFmtId="175" fontId="130" fillId="0" borderId="0" applyFill="0" applyBorder="0" applyAlignment="0" applyProtection="0"/>
    <xf numFmtId="175" fontId="130" fillId="0" borderId="0" applyFill="0" applyBorder="0" applyAlignment="0" applyProtection="0"/>
    <xf numFmtId="175" fontId="130" fillId="0" borderId="0" applyFill="0" applyBorder="0" applyAlignment="0" applyProtection="0"/>
    <xf numFmtId="175" fontId="109" fillId="0" borderId="0" applyNumberFormat="0" applyFill="0" applyBorder="0" applyAlignment="0" applyProtection="0"/>
    <xf numFmtId="175" fontId="109" fillId="0" borderId="0" applyNumberFormat="0" applyFill="0" applyBorder="0" applyAlignment="0" applyProtection="0"/>
    <xf numFmtId="175" fontId="131" fillId="0" borderId="0" applyNumberFormat="0" applyFill="0" applyBorder="0" applyAlignment="0" applyProtection="0"/>
    <xf numFmtId="175" fontId="109" fillId="0" borderId="0" applyNumberFormat="0" applyFill="0" applyBorder="0" applyAlignment="0" applyProtection="0"/>
    <xf numFmtId="175" fontId="131" fillId="0" borderId="0" applyNumberFormat="0" applyFill="0" applyBorder="0" applyAlignment="0" applyProtection="0"/>
    <xf numFmtId="175" fontId="109" fillId="0" borderId="0" applyNumberFormat="0" applyFill="0" applyBorder="0" applyAlignment="0" applyProtection="0"/>
    <xf numFmtId="175" fontId="131" fillId="0" borderId="0" applyNumberFormat="0" applyFill="0" applyBorder="0" applyAlignment="0" applyProtection="0"/>
    <xf numFmtId="175" fontId="131" fillId="0" borderId="0" applyNumberFormat="0" applyFill="0" applyBorder="0" applyAlignment="0" applyProtection="0"/>
    <xf numFmtId="182" fontId="132" fillId="0" borderId="0" applyFill="0" applyBorder="0" applyAlignment="0"/>
    <xf numFmtId="183" fontId="132" fillId="0" borderId="0" applyFill="0" applyBorder="0" applyAlignment="0"/>
    <xf numFmtId="182" fontId="132" fillId="0" borderId="0" applyFill="0" applyBorder="0" applyAlignment="0"/>
    <xf numFmtId="187" fontId="132" fillId="0" borderId="0" applyFill="0" applyBorder="0" applyAlignment="0"/>
    <xf numFmtId="183" fontId="132" fillId="0" borderId="0" applyFill="0" applyBorder="0" applyAlignment="0"/>
    <xf numFmtId="175" fontId="38" fillId="0" borderId="0" applyFont="0" applyFill="0" applyBorder="0" applyAlignment="0" applyProtection="0"/>
    <xf numFmtId="0" fontId="133" fillId="0" borderId="0" applyNumberFormat="0" applyFill="0" applyBorder="0" applyAlignment="0" applyProtection="0"/>
    <xf numFmtId="195" fontId="38" fillId="0" borderId="0" applyFont="0" applyFill="0" applyBorder="0" applyAlignment="0" applyProtection="0"/>
    <xf numFmtId="196" fontId="38" fillId="0" borderId="0" applyFont="0" applyFill="0" applyBorder="0" applyAlignment="0" applyProtection="0"/>
    <xf numFmtId="0" fontId="122" fillId="49" borderId="0">
      <alignment horizontal="right"/>
      <protection locked="0"/>
    </xf>
    <xf numFmtId="197" fontId="122" fillId="99" borderId="0">
      <alignment horizontal="right"/>
      <protection locked="0"/>
    </xf>
    <xf numFmtId="10" fontId="122" fillId="99" borderId="0">
      <alignment horizontal="right"/>
      <protection locked="0"/>
    </xf>
    <xf numFmtId="197" fontId="122" fillId="96" borderId="0">
      <alignment horizontal="right"/>
      <protection locked="0"/>
    </xf>
    <xf numFmtId="198" fontId="122" fillId="96" borderId="0">
      <alignment horizontal="right"/>
      <protection locked="0"/>
    </xf>
    <xf numFmtId="198" fontId="122" fillId="99" borderId="0">
      <alignment horizontal="right"/>
      <protection locked="0"/>
    </xf>
    <xf numFmtId="199" fontId="122" fillId="99" borderId="0">
      <alignment horizontal="right"/>
      <protection locked="0"/>
    </xf>
    <xf numFmtId="199" fontId="122" fillId="96" borderId="0">
      <alignment horizontal="right"/>
      <protection locked="0"/>
    </xf>
    <xf numFmtId="197" fontId="122" fillId="100" borderId="0">
      <alignment horizontal="right"/>
      <protection locked="0"/>
    </xf>
    <xf numFmtId="0" fontId="122" fillId="99" borderId="0">
      <alignment horizontal="right"/>
      <protection locked="0"/>
    </xf>
    <xf numFmtId="197" fontId="134" fillId="49" borderId="0">
      <alignment horizontal="right"/>
      <protection locked="0"/>
    </xf>
    <xf numFmtId="10" fontId="122" fillId="100" borderId="0">
      <alignment horizontal="right"/>
      <protection locked="0"/>
    </xf>
    <xf numFmtId="10" fontId="122" fillId="96" borderId="0">
      <alignment horizontal="right"/>
      <protection locked="0"/>
    </xf>
    <xf numFmtId="199" fontId="122" fillId="100" borderId="0">
      <alignment horizontal="right"/>
      <protection locked="0"/>
    </xf>
    <xf numFmtId="199" fontId="134" fillId="49" borderId="0">
      <alignment horizontal="right"/>
      <protection locked="0"/>
    </xf>
    <xf numFmtId="198" fontId="122" fillId="100" borderId="0">
      <alignment horizontal="right"/>
      <protection locked="0"/>
    </xf>
    <xf numFmtId="198" fontId="134" fillId="49" borderId="0">
      <alignment horizontal="right"/>
      <protection locked="0"/>
    </xf>
    <xf numFmtId="10" fontId="134" fillId="49" borderId="0">
      <alignment horizontal="right"/>
      <protection locked="0"/>
    </xf>
    <xf numFmtId="0" fontId="122" fillId="96" borderId="0">
      <alignment horizontal="right"/>
      <protection locked="0"/>
    </xf>
    <xf numFmtId="197" fontId="122" fillId="49" borderId="0">
      <alignment horizontal="right"/>
      <protection locked="0"/>
    </xf>
    <xf numFmtId="0" fontId="135" fillId="94" borderId="0">
      <alignment horizontal="right"/>
      <protection locked="0"/>
    </xf>
    <xf numFmtId="10" fontId="122" fillId="49" borderId="0">
      <alignment horizontal="right"/>
      <protection locked="0"/>
    </xf>
    <xf numFmtId="0" fontId="135" fillId="95" borderId="0">
      <alignment horizontal="right"/>
      <protection locked="0"/>
    </xf>
    <xf numFmtId="197" fontId="123" fillId="49" borderId="0">
      <alignment horizontal="right"/>
      <protection locked="0"/>
    </xf>
    <xf numFmtId="10" fontId="123" fillId="49" borderId="0">
      <alignment horizontal="right"/>
      <protection locked="0"/>
    </xf>
    <xf numFmtId="0" fontId="123" fillId="96" borderId="0">
      <alignment horizontal="right"/>
      <protection locked="0"/>
    </xf>
    <xf numFmtId="199" fontId="122" fillId="49" borderId="0">
      <alignment horizontal="right"/>
      <protection locked="0"/>
    </xf>
    <xf numFmtId="199" fontId="123" fillId="49" borderId="0">
      <alignment horizontal="right"/>
      <protection locked="0"/>
    </xf>
    <xf numFmtId="198" fontId="123" fillId="49" borderId="0">
      <alignment horizontal="right"/>
      <protection locked="0"/>
    </xf>
    <xf numFmtId="198" fontId="122" fillId="49" borderId="0">
      <alignment horizontal="right"/>
      <protection locked="0"/>
    </xf>
    <xf numFmtId="197" fontId="135" fillId="94" borderId="0">
      <alignment horizontal="right"/>
      <protection locked="0"/>
    </xf>
    <xf numFmtId="0" fontId="123" fillId="49" borderId="0">
      <alignment horizontal="right"/>
      <protection locked="0"/>
    </xf>
    <xf numFmtId="199" fontId="135" fillId="95" borderId="0">
      <alignment horizontal="right"/>
      <protection locked="0"/>
    </xf>
    <xf numFmtId="197" fontId="135" fillId="95" borderId="0">
      <alignment horizontal="right"/>
      <protection locked="0"/>
    </xf>
    <xf numFmtId="168" fontId="123" fillId="49" borderId="0">
      <alignment horizontal="right"/>
      <protection locked="0"/>
    </xf>
    <xf numFmtId="200" fontId="122" fillId="49" borderId="0">
      <alignment horizontal="right"/>
      <protection locked="0"/>
    </xf>
    <xf numFmtId="201" fontId="122" fillId="49" borderId="0">
      <alignment horizontal="right"/>
      <protection locked="0"/>
    </xf>
    <xf numFmtId="170" fontId="123" fillId="49" borderId="0">
      <alignment horizontal="right"/>
      <protection locked="0"/>
    </xf>
    <xf numFmtId="201" fontId="123" fillId="49" borderId="0">
      <alignment horizontal="right"/>
      <protection locked="0"/>
    </xf>
    <xf numFmtId="169" fontId="123" fillId="49" borderId="0">
      <alignment horizontal="right"/>
      <protection locked="0"/>
    </xf>
    <xf numFmtId="1" fontId="122" fillId="49" borderId="0">
      <alignment horizontal="right"/>
      <protection locked="0"/>
    </xf>
    <xf numFmtId="202" fontId="123" fillId="49" borderId="0">
      <alignment horizontal="right"/>
      <protection locked="0"/>
    </xf>
    <xf numFmtId="203" fontId="123" fillId="49" borderId="0">
      <alignment horizontal="right"/>
      <protection locked="0"/>
    </xf>
    <xf numFmtId="175" fontId="82" fillId="0" borderId="0">
      <protection locked="0"/>
    </xf>
    <xf numFmtId="175" fontId="82" fillId="0" borderId="0">
      <protection locked="0"/>
    </xf>
    <xf numFmtId="175" fontId="82" fillId="0" borderId="0">
      <protection locked="0"/>
    </xf>
    <xf numFmtId="175" fontId="82" fillId="0" borderId="0">
      <protection locked="0"/>
    </xf>
    <xf numFmtId="175" fontId="82" fillId="0" borderId="0">
      <protection locked="0"/>
    </xf>
    <xf numFmtId="175" fontId="82" fillId="0" borderId="0">
      <protection locked="0"/>
    </xf>
    <xf numFmtId="175" fontId="82" fillId="0" borderId="0">
      <protection locked="0"/>
    </xf>
    <xf numFmtId="175" fontId="82" fillId="0" borderId="0">
      <protection locked="0"/>
    </xf>
    <xf numFmtId="175" fontId="136" fillId="0" borderId="0">
      <protection locked="0"/>
    </xf>
    <xf numFmtId="175" fontId="136" fillId="0" borderId="0">
      <protection locked="0"/>
    </xf>
    <xf numFmtId="175" fontId="136" fillId="0" borderId="0">
      <protection locked="0"/>
    </xf>
    <xf numFmtId="175" fontId="136" fillId="0" borderId="0">
      <protection locked="0"/>
    </xf>
    <xf numFmtId="175" fontId="82" fillId="0" borderId="0">
      <protection locked="0"/>
    </xf>
    <xf numFmtId="175" fontId="82" fillId="0" borderId="0">
      <protection locked="0"/>
    </xf>
    <xf numFmtId="175" fontId="82" fillId="0" borderId="0">
      <protection locked="0"/>
    </xf>
    <xf numFmtId="175" fontId="82" fillId="0" borderId="0">
      <protection locked="0"/>
    </xf>
    <xf numFmtId="175" fontId="82" fillId="0" borderId="0">
      <protection locked="0"/>
    </xf>
    <xf numFmtId="175" fontId="82" fillId="0" borderId="0">
      <protection locked="0"/>
    </xf>
    <xf numFmtId="175" fontId="82" fillId="0" borderId="0">
      <protection locked="0"/>
    </xf>
    <xf numFmtId="175" fontId="82" fillId="0" borderId="0">
      <protection locked="0"/>
    </xf>
    <xf numFmtId="175" fontId="82" fillId="0" borderId="0">
      <protection locked="0"/>
    </xf>
    <xf numFmtId="175" fontId="82" fillId="0" borderId="0">
      <protection locked="0"/>
    </xf>
    <xf numFmtId="175" fontId="82" fillId="0" borderId="0">
      <protection locked="0"/>
    </xf>
    <xf numFmtId="175" fontId="82" fillId="0" borderId="0">
      <protection locked="0"/>
    </xf>
    <xf numFmtId="175" fontId="82" fillId="0" borderId="0">
      <protection locked="0"/>
    </xf>
    <xf numFmtId="175" fontId="82" fillId="0" borderId="0">
      <protection locked="0"/>
    </xf>
    <xf numFmtId="175" fontId="82" fillId="0" borderId="0">
      <protection locked="0"/>
    </xf>
    <xf numFmtId="175" fontId="82" fillId="0" borderId="0">
      <protection locked="0"/>
    </xf>
    <xf numFmtId="204" fontId="18" fillId="0" borderId="0" applyFont="0" applyFill="0" applyBorder="0" applyAlignment="0" applyProtection="0"/>
    <xf numFmtId="2" fontId="120" fillId="0" borderId="0" applyFont="0" applyFill="0" applyBorder="0" applyAlignment="0" applyProtection="0"/>
    <xf numFmtId="0" fontId="137" fillId="0" borderId="0" applyNumberFormat="0" applyFill="0" applyBorder="0" applyAlignment="0" applyProtection="0">
      <alignment vertical="top"/>
      <protection locked="0"/>
    </xf>
    <xf numFmtId="15" fontId="38" fillId="0" borderId="0">
      <alignment vertical="center"/>
    </xf>
    <xf numFmtId="175" fontId="138" fillId="0" borderId="0" applyFill="0" applyBorder="0" applyProtection="0">
      <alignment horizontal="left"/>
    </xf>
    <xf numFmtId="175" fontId="138" fillId="0" borderId="0" applyFill="0" applyBorder="0" applyProtection="0">
      <alignment horizontal="left"/>
    </xf>
    <xf numFmtId="175" fontId="138" fillId="0" borderId="0" applyFill="0" applyBorder="0" applyProtection="0">
      <alignment horizontal="left"/>
    </xf>
    <xf numFmtId="175" fontId="138" fillId="0" borderId="0" applyFill="0" applyBorder="0" applyProtection="0">
      <alignment horizontal="left"/>
    </xf>
    <xf numFmtId="193" fontId="132" fillId="0" borderId="0" applyNumberFormat="0" applyFill="0" applyBorder="0" applyAlignment="0" applyProtection="0"/>
    <xf numFmtId="0" fontId="139" fillId="83" borderId="0" applyNumberFormat="0" applyBorder="0" applyAlignment="0" applyProtection="0"/>
    <xf numFmtId="165" fontId="140" fillId="0" borderId="0" applyNumberFormat="0" applyFill="0" applyBorder="0" applyAlignment="0" applyProtection="0">
      <alignment horizontal="center"/>
    </xf>
    <xf numFmtId="175" fontId="117" fillId="0" borderId="0" applyFont="0" applyFill="0" applyBorder="0" applyAlignment="0" applyProtection="0">
      <alignment horizontal="right"/>
    </xf>
    <xf numFmtId="175" fontId="117" fillId="0" borderId="0" applyFont="0" applyFill="0" applyBorder="0" applyAlignment="0" applyProtection="0">
      <alignment horizontal="right"/>
    </xf>
    <xf numFmtId="175" fontId="117" fillId="0" borderId="0" applyFont="0" applyFill="0" applyBorder="0" applyAlignment="0" applyProtection="0">
      <alignment horizontal="right"/>
    </xf>
    <xf numFmtId="175" fontId="117" fillId="0" borderId="0" applyFont="0" applyFill="0" applyBorder="0" applyAlignment="0" applyProtection="0">
      <alignment horizontal="right"/>
    </xf>
    <xf numFmtId="175" fontId="141" fillId="0" borderId="0" applyProtection="0">
      <alignment horizontal="right"/>
    </xf>
    <xf numFmtId="175" fontId="141" fillId="0" borderId="0" applyProtection="0">
      <alignment horizontal="right"/>
    </xf>
    <xf numFmtId="175" fontId="141" fillId="0" borderId="0" applyProtection="0">
      <alignment horizontal="right"/>
    </xf>
    <xf numFmtId="175" fontId="141" fillId="0" borderId="0" applyProtection="0">
      <alignment horizontal="right"/>
    </xf>
    <xf numFmtId="0" fontId="142" fillId="0" borderId="28" applyNumberFormat="0" applyAlignment="0" applyProtection="0">
      <alignment horizontal="left" vertical="center"/>
    </xf>
    <xf numFmtId="0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0" fontId="142" fillId="0" borderId="16">
      <alignment horizontal="left" vertical="center"/>
    </xf>
    <xf numFmtId="0" fontId="142" fillId="0" borderId="16">
      <alignment horizontal="left" vertical="center"/>
    </xf>
    <xf numFmtId="0" fontId="142" fillId="0" borderId="16">
      <alignment horizontal="left" vertical="center"/>
    </xf>
    <xf numFmtId="0" fontId="142" fillId="0" borderId="16">
      <alignment horizontal="left" vertical="center"/>
    </xf>
    <xf numFmtId="0" fontId="142" fillId="0" borderId="16">
      <alignment horizontal="left" vertical="center"/>
    </xf>
    <xf numFmtId="0" fontId="142" fillId="0" borderId="16">
      <alignment horizontal="left" vertical="center"/>
    </xf>
    <xf numFmtId="0" fontId="142" fillId="0" borderId="16">
      <alignment horizontal="left" vertical="center"/>
    </xf>
    <xf numFmtId="0" fontId="142" fillId="0" borderId="16">
      <alignment horizontal="left" vertical="center"/>
    </xf>
    <xf numFmtId="0" fontId="142" fillId="0" borderId="16">
      <alignment horizontal="left" vertical="center"/>
    </xf>
    <xf numFmtId="0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0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2" fillId="0" borderId="16">
      <alignment horizontal="left" vertical="center"/>
    </xf>
    <xf numFmtId="175" fontId="143" fillId="0" borderId="0">
      <alignment horizontal="center"/>
    </xf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175" fontId="143" fillId="0" borderId="0">
      <alignment horizontal="center"/>
    </xf>
    <xf numFmtId="175" fontId="143" fillId="0" borderId="0">
      <alignment horizontal="center"/>
    </xf>
    <xf numFmtId="175" fontId="143" fillId="0" borderId="0">
      <alignment horizontal="center"/>
    </xf>
    <xf numFmtId="175" fontId="143" fillId="0" borderId="0">
      <alignment horizontal="center"/>
    </xf>
    <xf numFmtId="175" fontId="143" fillId="0" borderId="0">
      <alignment horizontal="center"/>
    </xf>
    <xf numFmtId="175" fontId="143" fillId="0" borderId="0">
      <alignment horizontal="center"/>
    </xf>
    <xf numFmtId="175" fontId="143" fillId="0" borderId="0">
      <alignment horizontal="center"/>
    </xf>
    <xf numFmtId="175" fontId="143" fillId="0" borderId="0">
      <alignment horizontal="center"/>
    </xf>
    <xf numFmtId="175" fontId="143" fillId="0" borderId="0">
      <alignment horizontal="center"/>
    </xf>
    <xf numFmtId="175" fontId="143" fillId="0" borderId="0">
      <alignment horizontal="center"/>
    </xf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175" fontId="143" fillId="0" borderId="0">
      <alignment horizontal="center"/>
    </xf>
    <xf numFmtId="175" fontId="143" fillId="0" borderId="0">
      <alignment horizontal="center"/>
    </xf>
    <xf numFmtId="175" fontId="143" fillId="0" borderId="0">
      <alignment horizontal="center"/>
    </xf>
    <xf numFmtId="175" fontId="143" fillId="0" borderId="0">
      <alignment horizontal="center"/>
    </xf>
    <xf numFmtId="175" fontId="143" fillId="0" borderId="0">
      <alignment horizontal="center"/>
    </xf>
    <xf numFmtId="175" fontId="143" fillId="0" borderId="0">
      <alignment horizontal="center"/>
    </xf>
    <xf numFmtId="175" fontId="143" fillId="0" borderId="0">
      <alignment horizontal="center"/>
    </xf>
    <xf numFmtId="175" fontId="143" fillId="0" borderId="0">
      <alignment horizontal="center"/>
    </xf>
    <xf numFmtId="175" fontId="143" fillId="0" borderId="0">
      <alignment horizontal="center"/>
    </xf>
    <xf numFmtId="175" fontId="143" fillId="0" borderId="0">
      <alignment horizontal="center"/>
    </xf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175" fontId="143" fillId="0" borderId="0">
      <alignment horizontal="center"/>
    </xf>
    <xf numFmtId="175" fontId="143" fillId="0" borderId="0">
      <alignment horizontal="center"/>
    </xf>
    <xf numFmtId="175" fontId="143" fillId="0" borderId="0">
      <alignment horizontal="center"/>
    </xf>
    <xf numFmtId="175" fontId="143" fillId="0" borderId="0">
      <alignment horizontal="center"/>
    </xf>
    <xf numFmtId="175" fontId="143" fillId="0" borderId="0">
      <alignment horizontal="center"/>
    </xf>
    <xf numFmtId="175" fontId="143" fillId="0" borderId="0">
      <alignment horizontal="center"/>
    </xf>
    <xf numFmtId="175" fontId="143" fillId="0" borderId="0">
      <alignment horizontal="center"/>
    </xf>
    <xf numFmtId="175" fontId="143" fillId="0" borderId="0">
      <alignment horizontal="center"/>
    </xf>
    <xf numFmtId="175" fontId="143" fillId="0" borderId="0">
      <alignment horizontal="center"/>
    </xf>
    <xf numFmtId="175" fontId="143" fillId="0" borderId="0">
      <alignment horizontal="center"/>
    </xf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175" fontId="143" fillId="0" borderId="0">
      <alignment horizontal="center"/>
    </xf>
    <xf numFmtId="175" fontId="143" fillId="0" borderId="0">
      <alignment horizontal="center"/>
    </xf>
    <xf numFmtId="175" fontId="143" fillId="0" borderId="0">
      <alignment horizontal="center"/>
    </xf>
    <xf numFmtId="175" fontId="143" fillId="0" borderId="0">
      <alignment horizontal="center"/>
    </xf>
    <xf numFmtId="175" fontId="143" fillId="0" borderId="0">
      <alignment horizontal="center"/>
    </xf>
    <xf numFmtId="175" fontId="143" fillId="0" borderId="0">
      <alignment horizontal="center"/>
    </xf>
    <xf numFmtId="175" fontId="143" fillId="0" borderId="0">
      <alignment horizontal="center"/>
    </xf>
    <xf numFmtId="175" fontId="143" fillId="0" borderId="0">
      <alignment horizontal="center"/>
    </xf>
    <xf numFmtId="175" fontId="147" fillId="0" borderId="111" applyNumberFormat="0" applyFill="0" applyBorder="0" applyAlignment="0" applyProtection="0">
      <alignment horizontal="left"/>
    </xf>
    <xf numFmtId="175" fontId="147" fillId="0" borderId="111" applyNumberFormat="0" applyFill="0" applyBorder="0" applyAlignment="0" applyProtection="0">
      <alignment horizontal="left"/>
    </xf>
    <xf numFmtId="175" fontId="147" fillId="0" borderId="111" applyNumberFormat="0" applyFill="0" applyBorder="0" applyAlignment="0" applyProtection="0">
      <alignment horizontal="left"/>
    </xf>
    <xf numFmtId="175" fontId="147" fillId="0" borderId="111" applyNumberFormat="0" applyFill="0" applyBorder="0" applyAlignment="0" applyProtection="0">
      <alignment horizontal="left"/>
    </xf>
    <xf numFmtId="205" fontId="148" fillId="47" borderId="0" applyNumberFormat="0" applyBorder="0" applyAlignment="0" applyProtection="0">
      <protection locked="0"/>
    </xf>
    <xf numFmtId="0" fontId="149" fillId="0" borderId="0" applyNumberFormat="0" applyFill="0" applyBorder="0" applyAlignment="0" applyProtection="0">
      <alignment vertical="top"/>
      <protection locked="0"/>
    </xf>
    <xf numFmtId="175" fontId="150" fillId="0" borderId="0"/>
    <xf numFmtId="175" fontId="38" fillId="0" borderId="0"/>
    <xf numFmtId="0" fontId="151" fillId="86" borderId="105" applyNumberFormat="0" applyAlignment="0" applyProtection="0"/>
    <xf numFmtId="0" fontId="151" fillId="86" borderId="105" applyNumberFormat="0" applyAlignment="0" applyProtection="0"/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0" fontId="151" fillId="86" borderId="105" applyNumberFormat="0" applyAlignment="0" applyProtection="0"/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0" fontId="151" fillId="86" borderId="105" applyNumberFormat="0" applyAlignment="0" applyProtection="0"/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0" fontId="151" fillId="86" borderId="105" applyNumberFormat="0" applyAlignment="0" applyProtection="0"/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0" fontId="151" fillId="86" borderId="105" applyNumberFormat="0" applyAlignment="0" applyProtection="0"/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0" fontId="151" fillId="86" borderId="105" applyNumberFormat="0" applyAlignment="0" applyProtection="0"/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0" fontId="151" fillId="86" borderId="105" applyNumberFormat="0" applyAlignment="0" applyProtection="0"/>
    <xf numFmtId="0" fontId="151" fillId="86" borderId="105" applyNumberFormat="0" applyAlignment="0" applyProtection="0"/>
    <xf numFmtId="0" fontId="151" fillId="86" borderId="105" applyNumberFormat="0" applyAlignment="0" applyProtection="0"/>
    <xf numFmtId="0" fontId="151" fillId="86" borderId="105" applyNumberFormat="0" applyAlignment="0" applyProtection="0"/>
    <xf numFmtId="0" fontId="151" fillId="86" borderId="105" applyNumberFormat="0" applyAlignment="0" applyProtection="0"/>
    <xf numFmtId="0" fontId="151" fillId="86" borderId="105" applyNumberFormat="0" applyAlignment="0" applyProtection="0"/>
    <xf numFmtId="0" fontId="151" fillId="86" borderId="105" applyNumberFormat="0" applyAlignment="0" applyProtection="0"/>
    <xf numFmtId="0" fontId="151" fillId="86" borderId="105" applyNumberFormat="0" applyAlignment="0" applyProtection="0"/>
    <xf numFmtId="0" fontId="151" fillId="86" borderId="105" applyNumberFormat="0" applyAlignment="0" applyProtection="0"/>
    <xf numFmtId="0" fontId="151" fillId="86" borderId="105" applyNumberFormat="0" applyAlignment="0" applyProtection="0"/>
    <xf numFmtId="0" fontId="151" fillId="86" borderId="105" applyNumberFormat="0" applyAlignment="0" applyProtection="0"/>
    <xf numFmtId="0" fontId="151" fillId="86" borderId="105" applyNumberFormat="0" applyAlignment="0" applyProtection="0"/>
    <xf numFmtId="0" fontId="151" fillId="86" borderId="105" applyNumberFormat="0" applyAlignment="0" applyProtection="0"/>
    <xf numFmtId="0" fontId="151" fillId="86" borderId="105" applyNumberFormat="0" applyAlignment="0" applyProtection="0"/>
    <xf numFmtId="0" fontId="151" fillId="86" borderId="105" applyNumberFormat="0" applyAlignment="0" applyProtection="0"/>
    <xf numFmtId="0" fontId="151" fillId="86" borderId="105" applyNumberFormat="0" applyAlignment="0" applyProtection="0"/>
    <xf numFmtId="0" fontId="151" fillId="86" borderId="105" applyNumberFormat="0" applyAlignment="0" applyProtection="0"/>
    <xf numFmtId="0" fontId="151" fillId="86" borderId="105" applyNumberFormat="0" applyAlignment="0" applyProtection="0"/>
    <xf numFmtId="0" fontId="151" fillId="86" borderId="105" applyNumberFormat="0" applyAlignment="0" applyProtection="0"/>
    <xf numFmtId="0" fontId="151" fillId="86" borderId="105" applyNumberFormat="0" applyAlignment="0" applyProtection="0"/>
    <xf numFmtId="0" fontId="151" fillId="86" borderId="105" applyNumberFormat="0" applyAlignment="0" applyProtection="0"/>
    <xf numFmtId="0" fontId="151" fillId="86" borderId="105" applyNumberFormat="0" applyAlignment="0" applyProtection="0"/>
    <xf numFmtId="0" fontId="151" fillId="86" borderId="105" applyNumberFormat="0" applyAlignment="0" applyProtection="0"/>
    <xf numFmtId="0" fontId="151" fillId="86" borderId="105" applyNumberFormat="0" applyAlignment="0" applyProtection="0"/>
    <xf numFmtId="0" fontId="151" fillId="86" borderId="105" applyNumberFormat="0" applyAlignment="0" applyProtection="0"/>
    <xf numFmtId="0" fontId="151" fillId="86" borderId="105" applyNumberFormat="0" applyAlignment="0" applyProtection="0"/>
    <xf numFmtId="0" fontId="151" fillId="86" borderId="105" applyNumberFormat="0" applyAlignment="0" applyProtection="0"/>
    <xf numFmtId="0" fontId="151" fillId="86" borderId="105" applyNumberFormat="0" applyAlignment="0" applyProtection="0"/>
    <xf numFmtId="0" fontId="151" fillId="86" borderId="105" applyNumberFormat="0" applyAlignment="0" applyProtection="0"/>
    <xf numFmtId="0" fontId="151" fillId="86" borderId="105" applyNumberFormat="0" applyAlignment="0" applyProtection="0"/>
    <xf numFmtId="0" fontId="151" fillId="86" borderId="105" applyNumberFormat="0" applyAlignment="0" applyProtection="0"/>
    <xf numFmtId="0" fontId="151" fillId="86" borderId="105" applyNumberFormat="0" applyAlignment="0" applyProtection="0"/>
    <xf numFmtId="0" fontId="151" fillId="86" borderId="105" applyNumberFormat="0" applyAlignment="0" applyProtection="0"/>
    <xf numFmtId="0" fontId="151" fillId="86" borderId="105" applyNumberFormat="0" applyAlignment="0" applyProtection="0"/>
    <xf numFmtId="0" fontId="151" fillId="86" borderId="105" applyNumberFormat="0" applyAlignment="0" applyProtection="0"/>
    <xf numFmtId="0" fontId="151" fillId="86" borderId="105" applyNumberFormat="0" applyAlignment="0" applyProtection="0"/>
    <xf numFmtId="0" fontId="151" fillId="86" borderId="105" applyNumberFormat="0" applyAlignment="0" applyProtection="0"/>
    <xf numFmtId="0" fontId="151" fillId="86" borderId="105" applyNumberFormat="0" applyAlignment="0" applyProtection="0"/>
    <xf numFmtId="0" fontId="151" fillId="86" borderId="105" applyNumberFormat="0" applyAlignment="0" applyProtection="0"/>
    <xf numFmtId="0" fontId="151" fillId="86" borderId="105" applyNumberFormat="0" applyAlignment="0" applyProtection="0"/>
    <xf numFmtId="0" fontId="151" fillId="86" borderId="105" applyNumberFormat="0" applyAlignment="0" applyProtection="0"/>
    <xf numFmtId="0" fontId="151" fillId="86" borderId="105" applyNumberFormat="0" applyAlignment="0" applyProtection="0"/>
    <xf numFmtId="0" fontId="151" fillId="86" borderId="105" applyNumberFormat="0" applyAlignment="0" applyProtection="0"/>
    <xf numFmtId="0" fontId="151" fillId="86" borderId="105" applyNumberFormat="0" applyAlignment="0" applyProtection="0"/>
    <xf numFmtId="0" fontId="151" fillId="86" borderId="105" applyNumberFormat="0" applyAlignment="0" applyProtection="0"/>
    <xf numFmtId="0" fontId="151" fillId="86" borderId="105" applyNumberFormat="0" applyAlignment="0" applyProtection="0"/>
    <xf numFmtId="0" fontId="151" fillId="86" borderId="105" applyNumberFormat="0" applyAlignment="0" applyProtection="0"/>
    <xf numFmtId="0" fontId="151" fillId="86" borderId="105" applyNumberFormat="0" applyAlignment="0" applyProtection="0"/>
    <xf numFmtId="0" fontId="151" fillId="86" borderId="105" applyNumberFormat="0" applyAlignment="0" applyProtection="0"/>
    <xf numFmtId="0" fontId="151" fillId="86" borderId="105" applyNumberFormat="0" applyAlignment="0" applyProtection="0"/>
    <xf numFmtId="0" fontId="151" fillId="86" borderId="105" applyNumberFormat="0" applyAlignment="0" applyProtection="0"/>
    <xf numFmtId="0" fontId="151" fillId="86" borderId="105" applyNumberFormat="0" applyAlignment="0" applyProtection="0"/>
    <xf numFmtId="0" fontId="151" fillId="86" borderId="105" applyNumberFormat="0" applyAlignment="0" applyProtection="0"/>
    <xf numFmtId="0" fontId="151" fillId="86" borderId="105" applyNumberFormat="0" applyAlignment="0" applyProtection="0"/>
    <xf numFmtId="0" fontId="151" fillId="86" borderId="105" applyNumberFormat="0" applyAlignment="0" applyProtection="0"/>
    <xf numFmtId="0" fontId="151" fillId="86" borderId="105" applyNumberFormat="0" applyAlignment="0" applyProtection="0"/>
    <xf numFmtId="0" fontId="151" fillId="86" borderId="105" applyNumberFormat="0" applyAlignment="0" applyProtection="0"/>
    <xf numFmtId="0" fontId="151" fillId="86" borderId="105" applyNumberFormat="0" applyAlignment="0" applyProtection="0"/>
    <xf numFmtId="0" fontId="151" fillId="86" borderId="105" applyNumberFormat="0" applyAlignment="0" applyProtection="0"/>
    <xf numFmtId="0" fontId="151" fillId="86" borderId="105" applyNumberFormat="0" applyAlignment="0" applyProtection="0"/>
    <xf numFmtId="0" fontId="151" fillId="86" borderId="105" applyNumberFormat="0" applyAlignment="0" applyProtection="0"/>
    <xf numFmtId="0" fontId="151" fillId="86" borderId="105" applyNumberFormat="0" applyAlignment="0" applyProtection="0"/>
    <xf numFmtId="0" fontId="151" fillId="86" borderId="105" applyNumberFormat="0" applyAlignment="0" applyProtection="0"/>
    <xf numFmtId="0" fontId="151" fillId="86" borderId="105" applyNumberFormat="0" applyAlignment="0" applyProtection="0"/>
    <xf numFmtId="0" fontId="151" fillId="86" borderId="105" applyNumberFormat="0" applyAlignment="0" applyProtection="0"/>
    <xf numFmtId="0" fontId="151" fillId="86" borderId="105" applyNumberFormat="0" applyAlignment="0" applyProtection="0"/>
    <xf numFmtId="0" fontId="151" fillId="86" borderId="105" applyNumberFormat="0" applyAlignment="0" applyProtection="0"/>
    <xf numFmtId="0" fontId="151" fillId="86" borderId="105" applyNumberFormat="0" applyAlignment="0" applyProtection="0"/>
    <xf numFmtId="0" fontId="151" fillId="86" borderId="105" applyNumberFormat="0" applyAlignment="0" applyProtection="0"/>
    <xf numFmtId="0" fontId="151" fillId="86" borderId="105" applyNumberFormat="0" applyAlignment="0" applyProtection="0"/>
    <xf numFmtId="0" fontId="151" fillId="86" borderId="105" applyNumberFormat="0" applyAlignment="0" applyProtection="0"/>
    <xf numFmtId="0" fontId="151" fillId="86" borderId="105" applyNumberFormat="0" applyAlignment="0" applyProtection="0"/>
    <xf numFmtId="0" fontId="151" fillId="86" borderId="105" applyNumberFormat="0" applyAlignment="0" applyProtection="0"/>
    <xf numFmtId="0" fontId="151" fillId="86" borderId="105" applyNumberFormat="0" applyAlignment="0" applyProtection="0"/>
    <xf numFmtId="0" fontId="151" fillId="86" borderId="105" applyNumberFormat="0" applyAlignment="0" applyProtection="0"/>
    <xf numFmtId="0" fontId="151" fillId="86" borderId="105" applyNumberFormat="0" applyAlignment="0" applyProtection="0"/>
    <xf numFmtId="0" fontId="151" fillId="86" borderId="105" applyNumberFormat="0" applyAlignment="0" applyProtection="0"/>
    <xf numFmtId="0" fontId="151" fillId="86" borderId="105" applyNumberFormat="0" applyAlignment="0" applyProtection="0"/>
    <xf numFmtId="0" fontId="151" fillId="86" borderId="105" applyNumberFormat="0" applyAlignment="0" applyProtection="0"/>
    <xf numFmtId="0" fontId="151" fillId="86" borderId="105" applyNumberFormat="0" applyAlignment="0" applyProtection="0"/>
    <xf numFmtId="0" fontId="151" fillId="86" borderId="105" applyNumberFormat="0" applyAlignment="0" applyProtection="0"/>
    <xf numFmtId="0" fontId="151" fillId="86" borderId="105" applyNumberFormat="0" applyAlignment="0" applyProtection="0"/>
    <xf numFmtId="0" fontId="151" fillId="86" borderId="105" applyNumberFormat="0" applyAlignment="0" applyProtection="0"/>
    <xf numFmtId="0" fontId="151" fillId="86" borderId="105" applyNumberFormat="0" applyAlignment="0" applyProtection="0"/>
    <xf numFmtId="0" fontId="151" fillId="86" borderId="105" applyNumberFormat="0" applyAlignment="0" applyProtection="0"/>
    <xf numFmtId="0" fontId="151" fillId="86" borderId="105" applyNumberFormat="0" applyAlignment="0" applyProtection="0"/>
    <xf numFmtId="0" fontId="151" fillId="86" borderId="105" applyNumberFormat="0" applyAlignment="0" applyProtection="0"/>
    <xf numFmtId="0" fontId="151" fillId="86" borderId="105" applyNumberFormat="0" applyAlignment="0" applyProtection="0"/>
    <xf numFmtId="0" fontId="151" fillId="86" borderId="105" applyNumberFormat="0" applyAlignment="0" applyProtection="0"/>
    <xf numFmtId="0" fontId="151" fillId="86" borderId="105" applyNumberFormat="0" applyAlignment="0" applyProtection="0"/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0" fontId="151" fillId="86" borderId="105" applyNumberFormat="0" applyAlignment="0" applyProtection="0"/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0" fontId="151" fillId="86" borderId="105" applyNumberFormat="0" applyAlignment="0" applyProtection="0"/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0" fontId="151" fillId="86" borderId="105" applyNumberFormat="0" applyAlignment="0" applyProtection="0"/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0" fontId="151" fillId="86" borderId="105" applyNumberFormat="0" applyAlignment="0" applyProtection="0"/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0" fontId="151" fillId="86" borderId="105" applyNumberFormat="0" applyAlignment="0" applyProtection="0"/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0" fontId="151" fillId="86" borderId="105" applyNumberFormat="0" applyAlignment="0" applyProtection="0"/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8" fillId="22" borderId="1" applyNumberFormat="0" applyFont="0" applyAlignment="0">
      <protection locked="0"/>
    </xf>
    <xf numFmtId="175" fontId="152" fillId="0" borderId="0" applyNumberFormat="0" applyFill="0" applyBorder="0" applyAlignment="0" applyProtection="0">
      <alignment vertical="top"/>
      <protection locked="0"/>
    </xf>
    <xf numFmtId="175" fontId="152" fillId="0" borderId="0" applyNumberFormat="0" applyFill="0" applyBorder="0" applyAlignment="0" applyProtection="0">
      <alignment vertical="top"/>
      <protection locked="0"/>
    </xf>
    <xf numFmtId="175" fontId="152" fillId="0" borderId="0" applyNumberFormat="0" applyFill="0" applyBorder="0" applyAlignment="0" applyProtection="0">
      <alignment vertical="top"/>
      <protection locked="0"/>
    </xf>
    <xf numFmtId="175" fontId="152" fillId="0" borderId="0" applyNumberFormat="0" applyFill="0" applyBorder="0" applyAlignment="0" applyProtection="0">
      <alignment vertical="top"/>
      <protection locked="0"/>
    </xf>
    <xf numFmtId="175" fontId="153" fillId="0" borderId="0">
      <alignment vertical="center"/>
    </xf>
    <xf numFmtId="175" fontId="153" fillId="0" borderId="0">
      <alignment vertical="center"/>
    </xf>
    <xf numFmtId="175" fontId="153" fillId="0" borderId="0">
      <alignment vertical="center"/>
    </xf>
    <xf numFmtId="175" fontId="153" fillId="0" borderId="0">
      <alignment vertical="center"/>
    </xf>
    <xf numFmtId="206" fontId="38" fillId="0" borderId="0" applyFont="0" applyFill="0" applyBorder="0" applyAlignment="0" applyProtection="0"/>
    <xf numFmtId="207" fontId="38" fillId="0" borderId="0" applyFont="0" applyFill="0" applyBorder="0" applyAlignment="0" applyProtection="0"/>
    <xf numFmtId="182" fontId="154" fillId="0" borderId="0" applyFill="0" applyBorder="0" applyAlignment="0"/>
    <xf numFmtId="183" fontId="154" fillId="0" borderId="0" applyFill="0" applyBorder="0" applyAlignment="0"/>
    <xf numFmtId="182" fontId="154" fillId="0" borderId="0" applyFill="0" applyBorder="0" applyAlignment="0"/>
    <xf numFmtId="187" fontId="154" fillId="0" borderId="0" applyFill="0" applyBorder="0" applyAlignment="0"/>
    <xf numFmtId="183" fontId="154" fillId="0" borderId="0" applyFill="0" applyBorder="0" applyAlignment="0"/>
    <xf numFmtId="0" fontId="155" fillId="0" borderId="112" applyNumberFormat="0" applyFill="0" applyAlignment="0" applyProtection="0"/>
    <xf numFmtId="0" fontId="39" fillId="0" borderId="0"/>
    <xf numFmtId="208" fontId="38" fillId="0" borderId="0" applyFont="0" applyFill="0" applyBorder="0" applyAlignment="0" applyProtection="0"/>
    <xf numFmtId="209" fontId="38" fillId="0" borderId="0" applyFont="0" applyFill="0" applyBorder="0" applyAlignment="0" applyProtection="0"/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0" fontId="156" fillId="0" borderId="104">
      <alignment horizontal="right"/>
      <protection locked="0"/>
    </xf>
    <xf numFmtId="211" fontId="38" fillId="0" borderId="0" applyFont="0" applyFill="0" applyBorder="0" applyAlignment="0" applyProtection="0"/>
    <xf numFmtId="212" fontId="38" fillId="0" borderId="0" applyFont="0" applyFill="0" applyBorder="0" applyAlignment="0" applyProtection="0"/>
    <xf numFmtId="213" fontId="76" fillId="0" borderId="0" applyFont="0" applyFill="0" applyBorder="0" applyAlignment="0" applyProtection="0"/>
    <xf numFmtId="214" fontId="76" fillId="0" borderId="0" applyFont="0" applyFill="0" applyBorder="0" applyAlignment="0" applyProtection="0"/>
    <xf numFmtId="215" fontId="76" fillId="0" borderId="0" applyFont="0" applyFill="0" applyBorder="0" applyAlignment="0" applyProtection="0"/>
    <xf numFmtId="194" fontId="157" fillId="0" borderId="0" applyFont="0" applyFill="0" applyBorder="0" applyAlignment="0" applyProtection="0"/>
    <xf numFmtId="0" fontId="158" fillId="23" borderId="0" applyNumberFormat="0" applyBorder="0" applyAlignment="0" applyProtection="0"/>
    <xf numFmtId="37" fontId="159" fillId="0" borderId="0"/>
    <xf numFmtId="0" fontId="37" fillId="0" borderId="70"/>
    <xf numFmtId="0" fontId="37" fillId="0" borderId="70"/>
    <xf numFmtId="167" fontId="76" fillId="0" borderId="0"/>
    <xf numFmtId="0" fontId="39" fillId="0" borderId="0"/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0" fontId="161" fillId="0" borderId="0"/>
    <xf numFmtId="0" fontId="161" fillId="0" borderId="0"/>
    <xf numFmtId="0" fontId="161" fillId="0" borderId="0"/>
    <xf numFmtId="0" fontId="161" fillId="0" borderId="0"/>
    <xf numFmtId="0" fontId="52" fillId="0" borderId="0"/>
    <xf numFmtId="0" fontId="52" fillId="0" borderId="0"/>
    <xf numFmtId="0" fontId="52" fillId="0" borderId="0"/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0" fontId="52" fillId="0" borderId="0"/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37" fontId="160" fillId="47" borderId="113" applyBorder="0">
      <alignment horizontal="left" vertical="center" indent="2"/>
    </xf>
    <xf numFmtId="0" fontId="162" fillId="0" borderId="0"/>
    <xf numFmtId="175" fontId="163" fillId="0" borderId="0">
      <alignment horizontal="right"/>
    </xf>
    <xf numFmtId="175" fontId="163" fillId="0" borderId="0">
      <alignment horizontal="right"/>
    </xf>
    <xf numFmtId="175" fontId="163" fillId="0" borderId="0">
      <alignment horizontal="right"/>
    </xf>
    <xf numFmtId="175" fontId="163" fillId="0" borderId="0">
      <alignment horizontal="right"/>
    </xf>
    <xf numFmtId="0" fontId="38" fillId="0" borderId="0"/>
    <xf numFmtId="175" fontId="164" fillId="0" borderId="0"/>
    <xf numFmtId="0" fontId="165" fillId="0" borderId="0"/>
    <xf numFmtId="175" fontId="166" fillId="0" borderId="0"/>
    <xf numFmtId="0" fontId="39" fillId="0" borderId="0"/>
    <xf numFmtId="175" fontId="167" fillId="0" borderId="0"/>
    <xf numFmtId="175" fontId="167" fillId="0" borderId="0"/>
    <xf numFmtId="175" fontId="167" fillId="0" borderId="0"/>
    <xf numFmtId="175" fontId="167" fillId="0" borderId="0"/>
    <xf numFmtId="0" fontId="40" fillId="45" borderId="114" applyNumberFormat="0" applyFont="0" applyAlignment="0" applyProtection="0"/>
    <xf numFmtId="0" fontId="40" fillId="45" borderId="114" applyNumberFormat="0" applyFont="0" applyAlignment="0" applyProtection="0"/>
    <xf numFmtId="0" fontId="40" fillId="45" borderId="114" applyNumberFormat="0" applyFont="0" applyAlignment="0" applyProtection="0"/>
    <xf numFmtId="0" fontId="40" fillId="45" borderId="114" applyNumberFormat="0" applyFont="0" applyAlignment="0" applyProtection="0"/>
    <xf numFmtId="0" fontId="40" fillId="45" borderId="114" applyNumberFormat="0" applyFont="0" applyAlignment="0" applyProtection="0"/>
    <xf numFmtId="0" fontId="40" fillId="45" borderId="114" applyNumberFormat="0" applyFont="0" applyAlignment="0" applyProtection="0"/>
    <xf numFmtId="0" fontId="40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40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40" fillId="45" borderId="114" applyNumberFormat="0" applyFont="0" applyAlignment="0" applyProtection="0"/>
    <xf numFmtId="0" fontId="39" fillId="45" borderId="114" applyNumberFormat="0" applyFont="0" applyAlignment="0" applyProtection="0"/>
    <xf numFmtId="0" fontId="40" fillId="45" borderId="114" applyNumberFormat="0" applyFont="0" applyAlignment="0" applyProtection="0"/>
    <xf numFmtId="0" fontId="39" fillId="45" borderId="114" applyNumberFormat="0" applyFont="0" applyAlignment="0" applyProtection="0"/>
    <xf numFmtId="0" fontId="40" fillId="45" borderId="114" applyNumberFormat="0" applyFont="0" applyAlignment="0" applyProtection="0"/>
    <xf numFmtId="0" fontId="40" fillId="45" borderId="114" applyNumberFormat="0" applyFont="0" applyAlignment="0" applyProtection="0"/>
    <xf numFmtId="0" fontId="40" fillId="45" borderId="114" applyNumberFormat="0" applyFont="0" applyAlignment="0" applyProtection="0"/>
    <xf numFmtId="0" fontId="40" fillId="45" borderId="114" applyNumberFormat="0" applyFon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40" fontId="43" fillId="44" borderId="0">
      <alignment horizontal="right"/>
    </xf>
    <xf numFmtId="175" fontId="169" fillId="101" borderId="0">
      <alignment horizontal="center"/>
    </xf>
    <xf numFmtId="175" fontId="169" fillId="101" borderId="0">
      <alignment horizontal="center"/>
    </xf>
    <xf numFmtId="175" fontId="169" fillId="101" borderId="0">
      <alignment horizontal="center"/>
    </xf>
    <xf numFmtId="175" fontId="169" fillId="101" borderId="0">
      <alignment horizontal="center"/>
    </xf>
    <xf numFmtId="175" fontId="170" fillId="102" borderId="0"/>
    <xf numFmtId="175" fontId="170" fillId="102" borderId="0"/>
    <xf numFmtId="175" fontId="170" fillId="102" borderId="0"/>
    <xf numFmtId="175" fontId="170" fillId="102" borderId="0"/>
    <xf numFmtId="175" fontId="171" fillId="44" borderId="0" applyBorder="0">
      <alignment horizontal="centerContinuous"/>
    </xf>
    <xf numFmtId="175" fontId="171" fillId="44" borderId="0" applyBorder="0">
      <alignment horizontal="centerContinuous"/>
    </xf>
    <xf numFmtId="175" fontId="171" fillId="44" borderId="0" applyBorder="0">
      <alignment horizontal="centerContinuous"/>
    </xf>
    <xf numFmtId="175" fontId="171" fillId="44" borderId="0" applyBorder="0">
      <alignment horizontal="centerContinuous"/>
    </xf>
    <xf numFmtId="175" fontId="172" fillId="102" borderId="0" applyBorder="0">
      <alignment horizontal="centerContinuous"/>
    </xf>
    <xf numFmtId="175" fontId="172" fillId="102" borderId="0" applyBorder="0">
      <alignment horizontal="centerContinuous"/>
    </xf>
    <xf numFmtId="175" fontId="172" fillId="102" borderId="0" applyBorder="0">
      <alignment horizontal="centerContinuous"/>
    </xf>
    <xf numFmtId="175" fontId="172" fillId="102" borderId="0" applyBorder="0">
      <alignment horizontal="centerContinuous"/>
    </xf>
    <xf numFmtId="175" fontId="142" fillId="0" borderId="0" applyNumberFormat="0" applyFill="0" applyBorder="0" applyAlignment="0" applyProtection="0"/>
    <xf numFmtId="175" fontId="142" fillId="0" borderId="0" applyNumberFormat="0" applyFill="0" applyBorder="0" applyAlignment="0" applyProtection="0"/>
    <xf numFmtId="175" fontId="142" fillId="0" borderId="0" applyNumberFormat="0" applyFill="0" applyBorder="0" applyAlignment="0" applyProtection="0"/>
    <xf numFmtId="175" fontId="142" fillId="0" borderId="0" applyNumberFormat="0" applyFill="0" applyBorder="0" applyAlignment="0" applyProtection="0"/>
    <xf numFmtId="175" fontId="173" fillId="0" borderId="0"/>
    <xf numFmtId="175" fontId="173" fillId="0" borderId="0"/>
    <xf numFmtId="175" fontId="173" fillId="0" borderId="0"/>
    <xf numFmtId="175" fontId="173" fillId="0" borderId="0"/>
    <xf numFmtId="1" fontId="174" fillId="0" borderId="0" applyProtection="0">
      <alignment horizontal="right" vertical="center"/>
    </xf>
    <xf numFmtId="216" fontId="38" fillId="0" borderId="0" applyFont="0" applyFill="0" applyBorder="0" applyAlignment="0" applyProtection="0"/>
    <xf numFmtId="217" fontId="38" fillId="0" borderId="0" applyFont="0" applyFill="0" applyBorder="0" applyAlignment="0" applyProtection="0"/>
    <xf numFmtId="186" fontId="18" fillId="0" borderId="0" applyFont="0" applyFill="0" applyBorder="0" applyAlignment="0" applyProtection="0"/>
    <xf numFmtId="186" fontId="18" fillId="0" borderId="0" applyFont="0" applyFill="0" applyBorder="0" applyAlignment="0" applyProtection="0"/>
    <xf numFmtId="186" fontId="18" fillId="0" borderId="0" applyFont="0" applyFill="0" applyBorder="0" applyAlignment="0" applyProtection="0"/>
    <xf numFmtId="186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170" fontId="9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8" fillId="0" borderId="0" applyFont="0" applyFill="0" applyBorder="0" applyAlignment="0" applyProtection="0"/>
    <xf numFmtId="182" fontId="175" fillId="0" borderId="0" applyFill="0" applyBorder="0" applyAlignment="0"/>
    <xf numFmtId="183" fontId="175" fillId="0" borderId="0" applyFill="0" applyBorder="0" applyAlignment="0"/>
    <xf numFmtId="182" fontId="175" fillId="0" borderId="0" applyFill="0" applyBorder="0" applyAlignment="0"/>
    <xf numFmtId="187" fontId="175" fillId="0" borderId="0" applyFill="0" applyBorder="0" applyAlignment="0"/>
    <xf numFmtId="183" fontId="175" fillId="0" borderId="0" applyFill="0" applyBorder="0" applyAlignment="0"/>
    <xf numFmtId="218" fontId="176" fillId="0" borderId="116" applyBorder="0">
      <alignment horizontal="right"/>
      <protection locked="0"/>
    </xf>
    <xf numFmtId="218" fontId="176" fillId="0" borderId="116" applyBorder="0">
      <alignment horizontal="right"/>
      <protection locked="0"/>
    </xf>
    <xf numFmtId="218" fontId="177" fillId="0" borderId="116" applyBorder="0">
      <alignment horizontal="right"/>
      <protection locked="0"/>
    </xf>
    <xf numFmtId="218" fontId="176" fillId="0" borderId="116" applyBorder="0">
      <alignment horizontal="right"/>
      <protection locked="0"/>
    </xf>
    <xf numFmtId="218" fontId="176" fillId="0" borderId="116" applyBorder="0">
      <alignment horizontal="right"/>
      <protection locked="0"/>
    </xf>
    <xf numFmtId="218" fontId="177" fillId="0" borderId="116" applyBorder="0">
      <alignment horizontal="right"/>
      <protection locked="0"/>
    </xf>
    <xf numFmtId="218" fontId="176" fillId="0" borderId="116" applyBorder="0">
      <alignment horizontal="right"/>
      <protection locked="0"/>
    </xf>
    <xf numFmtId="218" fontId="176" fillId="0" borderId="116" applyBorder="0">
      <alignment horizontal="right"/>
      <protection locked="0"/>
    </xf>
    <xf numFmtId="218" fontId="177" fillId="0" borderId="116" applyBorder="0">
      <alignment horizontal="right"/>
      <protection locked="0"/>
    </xf>
    <xf numFmtId="218" fontId="176" fillId="0" borderId="116" applyBorder="0">
      <alignment horizontal="right"/>
      <protection locked="0"/>
    </xf>
    <xf numFmtId="218" fontId="176" fillId="0" borderId="116" applyBorder="0">
      <alignment horizontal="right"/>
      <protection locked="0"/>
    </xf>
    <xf numFmtId="218" fontId="177" fillId="0" borderId="116" applyBorder="0">
      <alignment horizontal="right"/>
      <protection locked="0"/>
    </xf>
    <xf numFmtId="218" fontId="176" fillId="0" borderId="116" applyBorder="0">
      <alignment horizontal="right"/>
      <protection locked="0"/>
    </xf>
    <xf numFmtId="218" fontId="177" fillId="0" borderId="116" applyBorder="0">
      <alignment horizontal="right"/>
      <protection locked="0"/>
    </xf>
    <xf numFmtId="218" fontId="176" fillId="0" borderId="116" applyBorder="0">
      <alignment horizontal="right"/>
      <protection locked="0"/>
    </xf>
    <xf numFmtId="218" fontId="176" fillId="0" borderId="116" applyBorder="0">
      <alignment horizontal="right"/>
      <protection locked="0"/>
    </xf>
    <xf numFmtId="218" fontId="177" fillId="0" borderId="116" applyBorder="0">
      <alignment horizontal="right"/>
      <protection locked="0"/>
    </xf>
    <xf numFmtId="218" fontId="176" fillId="0" borderId="116" applyBorder="0">
      <alignment horizontal="right"/>
      <protection locked="0"/>
    </xf>
    <xf numFmtId="218" fontId="176" fillId="0" borderId="116" applyBorder="0">
      <alignment horizontal="right"/>
      <protection locked="0"/>
    </xf>
    <xf numFmtId="218" fontId="177" fillId="0" borderId="116" applyBorder="0">
      <alignment horizontal="right"/>
      <protection locked="0"/>
    </xf>
    <xf numFmtId="218" fontId="176" fillId="0" borderId="116" applyBorder="0">
      <alignment horizontal="right"/>
      <protection locked="0"/>
    </xf>
    <xf numFmtId="218" fontId="176" fillId="0" borderId="116" applyBorder="0">
      <alignment horizontal="right"/>
      <protection locked="0"/>
    </xf>
    <xf numFmtId="218" fontId="177" fillId="0" borderId="116" applyBorder="0">
      <alignment horizontal="right"/>
      <protection locked="0"/>
    </xf>
    <xf numFmtId="218" fontId="176" fillId="0" borderId="116" applyBorder="0">
      <alignment horizontal="right"/>
      <protection locked="0"/>
    </xf>
    <xf numFmtId="218" fontId="176" fillId="0" borderId="116" applyBorder="0">
      <alignment horizontal="right"/>
      <protection locked="0"/>
    </xf>
    <xf numFmtId="218" fontId="177" fillId="0" borderId="116" applyBorder="0">
      <alignment horizontal="right"/>
      <protection locked="0"/>
    </xf>
    <xf numFmtId="218" fontId="176" fillId="0" borderId="116" applyBorder="0">
      <alignment horizontal="right"/>
      <protection locked="0"/>
    </xf>
    <xf numFmtId="218" fontId="176" fillId="0" borderId="116" applyBorder="0">
      <alignment horizontal="right"/>
      <protection locked="0"/>
    </xf>
    <xf numFmtId="218" fontId="177" fillId="0" borderId="116" applyBorder="0">
      <alignment horizontal="right"/>
      <protection locked="0"/>
    </xf>
    <xf numFmtId="218" fontId="176" fillId="0" borderId="116" applyBorder="0">
      <alignment horizontal="right"/>
      <protection locked="0"/>
    </xf>
    <xf numFmtId="218" fontId="176" fillId="0" borderId="116" applyBorder="0">
      <alignment horizontal="right"/>
      <protection locked="0"/>
    </xf>
    <xf numFmtId="218" fontId="177" fillId="0" borderId="116" applyBorder="0">
      <alignment horizontal="right"/>
      <protection locked="0"/>
    </xf>
    <xf numFmtId="218" fontId="176" fillId="0" borderId="116" applyBorder="0">
      <alignment horizontal="right"/>
      <protection locked="0"/>
    </xf>
    <xf numFmtId="218" fontId="176" fillId="0" borderId="116" applyBorder="0">
      <alignment horizontal="right"/>
      <protection locked="0"/>
    </xf>
    <xf numFmtId="218" fontId="177" fillId="0" borderId="116" applyBorder="0">
      <alignment horizontal="right"/>
      <protection locked="0"/>
    </xf>
    <xf numFmtId="218" fontId="176" fillId="0" borderId="116" applyBorder="0">
      <alignment horizontal="right"/>
      <protection locked="0"/>
    </xf>
    <xf numFmtId="218" fontId="176" fillId="0" borderId="116" applyBorder="0">
      <alignment horizontal="right"/>
      <protection locked="0"/>
    </xf>
    <xf numFmtId="218" fontId="177" fillId="0" borderId="116" applyBorder="0">
      <alignment horizontal="right"/>
      <protection locked="0"/>
    </xf>
    <xf numFmtId="218" fontId="176" fillId="0" borderId="116" applyBorder="0">
      <alignment horizontal="right"/>
      <protection locked="0"/>
    </xf>
    <xf numFmtId="175" fontId="173" fillId="0" borderId="0"/>
    <xf numFmtId="175" fontId="173" fillId="0" borderId="0"/>
    <xf numFmtId="175" fontId="173" fillId="0" borderId="0"/>
    <xf numFmtId="175" fontId="173" fillId="0" borderId="0"/>
    <xf numFmtId="175" fontId="178" fillId="0" borderId="0" applyNumberFormat="0" applyFill="0" applyBorder="0" applyAlignment="0" applyProtection="0">
      <alignment horizontal="left"/>
      <protection locked="0"/>
    </xf>
    <xf numFmtId="175" fontId="178" fillId="0" borderId="0" applyNumberFormat="0" applyFill="0" applyBorder="0" applyAlignment="0" applyProtection="0">
      <alignment horizontal="left"/>
      <protection locked="0"/>
    </xf>
    <xf numFmtId="175" fontId="178" fillId="0" borderId="0" applyNumberFormat="0" applyFill="0" applyBorder="0" applyAlignment="0" applyProtection="0">
      <alignment horizontal="left"/>
      <protection locked="0"/>
    </xf>
    <xf numFmtId="175" fontId="178" fillId="0" borderId="0" applyNumberFormat="0" applyFill="0" applyBorder="0" applyAlignment="0" applyProtection="0">
      <alignment horizontal="left"/>
      <protection locked="0"/>
    </xf>
    <xf numFmtId="175" fontId="179" fillId="0" borderId="117">
      <alignment vertical="center"/>
    </xf>
    <xf numFmtId="175" fontId="179" fillId="0" borderId="117">
      <alignment vertical="center"/>
    </xf>
    <xf numFmtId="175" fontId="179" fillId="0" borderId="117">
      <alignment vertical="center"/>
    </xf>
    <xf numFmtId="175" fontId="179" fillId="0" borderId="117">
      <alignment vertical="center"/>
    </xf>
    <xf numFmtId="4" fontId="17" fillId="23" borderId="118" applyNumberFormat="0" applyProtection="0">
      <alignment vertical="center"/>
    </xf>
    <xf numFmtId="4" fontId="17" fillId="23" borderId="118" applyNumberFormat="0" applyProtection="0">
      <alignment vertical="center"/>
    </xf>
    <xf numFmtId="4" fontId="17" fillId="23" borderId="118" applyNumberFormat="0" applyProtection="0">
      <alignment vertical="center"/>
    </xf>
    <xf numFmtId="4" fontId="17" fillId="23" borderId="118" applyNumberFormat="0" applyProtection="0">
      <alignment vertical="center"/>
    </xf>
    <xf numFmtId="4" fontId="17" fillId="23" borderId="118" applyNumberFormat="0" applyProtection="0">
      <alignment vertical="center"/>
    </xf>
    <xf numFmtId="4" fontId="17" fillId="23" borderId="118" applyNumberFormat="0" applyProtection="0">
      <alignment vertical="center"/>
    </xf>
    <xf numFmtId="4" fontId="17" fillId="23" borderId="118" applyNumberFormat="0" applyProtection="0">
      <alignment vertical="center"/>
    </xf>
    <xf numFmtId="4" fontId="17" fillId="23" borderId="118" applyNumberFormat="0" applyProtection="0">
      <alignment vertical="center"/>
    </xf>
    <xf numFmtId="4" fontId="17" fillId="23" borderId="118" applyNumberFormat="0" applyProtection="0">
      <alignment vertical="center"/>
    </xf>
    <xf numFmtId="4" fontId="17" fillId="23" borderId="118" applyNumberFormat="0" applyProtection="0">
      <alignment vertical="center"/>
    </xf>
    <xf numFmtId="4" fontId="17" fillId="23" borderId="118" applyNumberFormat="0" applyProtection="0">
      <alignment vertical="center"/>
    </xf>
    <xf numFmtId="4" fontId="17" fillId="23" borderId="118" applyNumberFormat="0" applyProtection="0">
      <alignment vertical="center"/>
    </xf>
    <xf numFmtId="4" fontId="17" fillId="23" borderId="118" applyNumberFormat="0" applyProtection="0">
      <alignment vertical="center"/>
    </xf>
    <xf numFmtId="4" fontId="17" fillId="23" borderId="118" applyNumberFormat="0" applyProtection="0">
      <alignment vertical="center"/>
    </xf>
    <xf numFmtId="4" fontId="17" fillId="23" borderId="118" applyNumberFormat="0" applyProtection="0">
      <alignment vertical="center"/>
    </xf>
    <xf numFmtId="4" fontId="17" fillId="23" borderId="118" applyNumberFormat="0" applyProtection="0">
      <alignment vertical="center"/>
    </xf>
    <xf numFmtId="4" fontId="17" fillId="23" borderId="118" applyNumberFormat="0" applyProtection="0">
      <alignment vertical="center"/>
    </xf>
    <xf numFmtId="4" fontId="43" fillId="22" borderId="115" applyNumberFormat="0" applyProtection="0">
      <alignment vertical="center"/>
    </xf>
    <xf numFmtId="4" fontId="43" fillId="22" borderId="115" applyNumberFormat="0" applyProtection="0">
      <alignment vertical="center"/>
    </xf>
    <xf numFmtId="4" fontId="43" fillId="22" borderId="115" applyNumberFormat="0" applyProtection="0">
      <alignment vertical="center"/>
    </xf>
    <xf numFmtId="4" fontId="43" fillId="22" borderId="115" applyNumberFormat="0" applyProtection="0">
      <alignment vertical="center"/>
    </xf>
    <xf numFmtId="4" fontId="43" fillId="22" borderId="115" applyNumberFormat="0" applyProtection="0">
      <alignment vertical="center"/>
    </xf>
    <xf numFmtId="4" fontId="43" fillId="22" borderId="115" applyNumberFormat="0" applyProtection="0">
      <alignment vertical="center"/>
    </xf>
    <xf numFmtId="4" fontId="43" fillId="22" borderId="115" applyNumberFormat="0" applyProtection="0">
      <alignment vertical="center"/>
    </xf>
    <xf numFmtId="4" fontId="43" fillId="22" borderId="115" applyNumberFormat="0" applyProtection="0">
      <alignment vertical="center"/>
    </xf>
    <xf numFmtId="4" fontId="43" fillId="22" borderId="115" applyNumberFormat="0" applyProtection="0">
      <alignment vertical="center"/>
    </xf>
    <xf numFmtId="4" fontId="43" fillId="22" borderId="115" applyNumberFormat="0" applyProtection="0">
      <alignment vertical="center"/>
    </xf>
    <xf numFmtId="4" fontId="43" fillId="22" borderId="115" applyNumberFormat="0" applyProtection="0">
      <alignment vertical="center"/>
    </xf>
    <xf numFmtId="4" fontId="43" fillId="22" borderId="115" applyNumberFormat="0" applyProtection="0">
      <alignment vertical="center"/>
    </xf>
    <xf numFmtId="4" fontId="43" fillId="22" borderId="115" applyNumberFormat="0" applyProtection="0">
      <alignment vertical="center"/>
    </xf>
    <xf numFmtId="4" fontId="43" fillId="22" borderId="115" applyNumberFormat="0" applyProtection="0">
      <alignment vertical="center"/>
    </xf>
    <xf numFmtId="4" fontId="43" fillId="22" borderId="115" applyNumberFormat="0" applyProtection="0">
      <alignment vertical="center"/>
    </xf>
    <xf numFmtId="4" fontId="180" fillId="22" borderId="115" applyNumberFormat="0" applyProtection="0">
      <alignment vertical="center"/>
    </xf>
    <xf numFmtId="4" fontId="180" fillId="22" borderId="115" applyNumberFormat="0" applyProtection="0">
      <alignment vertical="center"/>
    </xf>
    <xf numFmtId="4" fontId="180" fillId="22" borderId="115" applyNumberFormat="0" applyProtection="0">
      <alignment vertical="center"/>
    </xf>
    <xf numFmtId="4" fontId="180" fillId="22" borderId="115" applyNumberFormat="0" applyProtection="0">
      <alignment vertical="center"/>
    </xf>
    <xf numFmtId="4" fontId="180" fillId="22" borderId="115" applyNumberFormat="0" applyProtection="0">
      <alignment vertical="center"/>
    </xf>
    <xf numFmtId="4" fontId="180" fillId="22" borderId="115" applyNumberFormat="0" applyProtection="0">
      <alignment vertical="center"/>
    </xf>
    <xf numFmtId="4" fontId="180" fillId="22" borderId="115" applyNumberFormat="0" applyProtection="0">
      <alignment vertical="center"/>
    </xf>
    <xf numFmtId="4" fontId="180" fillId="22" borderId="115" applyNumberFormat="0" applyProtection="0">
      <alignment vertical="center"/>
    </xf>
    <xf numFmtId="4" fontId="180" fillId="22" borderId="115" applyNumberFormat="0" applyProtection="0">
      <alignment vertical="center"/>
    </xf>
    <xf numFmtId="4" fontId="180" fillId="22" borderId="115" applyNumberFormat="0" applyProtection="0">
      <alignment vertical="center"/>
    </xf>
    <xf numFmtId="4" fontId="180" fillId="22" borderId="115" applyNumberFormat="0" applyProtection="0">
      <alignment vertical="center"/>
    </xf>
    <xf numFmtId="4" fontId="180" fillId="22" borderId="115" applyNumberFormat="0" applyProtection="0">
      <alignment vertical="center"/>
    </xf>
    <xf numFmtId="4" fontId="180" fillId="22" borderId="115" applyNumberFormat="0" applyProtection="0">
      <alignment vertical="center"/>
    </xf>
    <xf numFmtId="4" fontId="180" fillId="22" borderId="115" applyNumberFormat="0" applyProtection="0">
      <alignment vertical="center"/>
    </xf>
    <xf numFmtId="4" fontId="180" fillId="22" borderId="115" applyNumberFormat="0" applyProtection="0">
      <alignment vertical="center"/>
    </xf>
    <xf numFmtId="4" fontId="180" fillId="22" borderId="115" applyNumberFormat="0" applyProtection="0">
      <alignment vertical="center"/>
    </xf>
    <xf numFmtId="4" fontId="180" fillId="22" borderId="115" applyNumberFormat="0" applyProtection="0">
      <alignment vertical="center"/>
    </xf>
    <xf numFmtId="4" fontId="180" fillId="22" borderId="115" applyNumberFormat="0" applyProtection="0">
      <alignment vertical="center"/>
    </xf>
    <xf numFmtId="4" fontId="180" fillId="22" borderId="115" applyNumberFormat="0" applyProtection="0">
      <alignment vertical="center"/>
    </xf>
    <xf numFmtId="4" fontId="180" fillId="22" borderId="115" applyNumberFormat="0" applyProtection="0">
      <alignment vertical="center"/>
    </xf>
    <xf numFmtId="4" fontId="180" fillId="22" borderId="115" applyNumberFormat="0" applyProtection="0">
      <alignment vertical="center"/>
    </xf>
    <xf numFmtId="4" fontId="180" fillId="22" borderId="115" applyNumberFormat="0" applyProtection="0">
      <alignment vertical="center"/>
    </xf>
    <xf numFmtId="4" fontId="180" fillId="22" borderId="115" applyNumberFormat="0" applyProtection="0">
      <alignment vertical="center"/>
    </xf>
    <xf numFmtId="4" fontId="180" fillId="22" borderId="115" applyNumberFormat="0" applyProtection="0">
      <alignment vertical="center"/>
    </xf>
    <xf numFmtId="4" fontId="180" fillId="22" borderId="115" applyNumberFormat="0" applyProtection="0">
      <alignment vertical="center"/>
    </xf>
    <xf numFmtId="4" fontId="180" fillId="22" borderId="115" applyNumberFormat="0" applyProtection="0">
      <alignment vertical="center"/>
    </xf>
    <xf numFmtId="4" fontId="17" fillId="22" borderId="118" applyNumberFormat="0" applyProtection="0">
      <alignment horizontal="left" vertical="center" indent="1"/>
    </xf>
    <xf numFmtId="4" fontId="17" fillId="22" borderId="118" applyNumberFormat="0" applyProtection="0">
      <alignment horizontal="left" vertical="center" indent="1"/>
    </xf>
    <xf numFmtId="4" fontId="17" fillId="22" borderId="118" applyNumberFormat="0" applyProtection="0">
      <alignment horizontal="left" vertical="center" indent="1"/>
    </xf>
    <xf numFmtId="4" fontId="17" fillId="22" borderId="118" applyNumberFormat="0" applyProtection="0">
      <alignment horizontal="left" vertical="center" indent="1"/>
    </xf>
    <xf numFmtId="4" fontId="17" fillId="22" borderId="118" applyNumberFormat="0" applyProtection="0">
      <alignment horizontal="left" vertical="center" indent="1"/>
    </xf>
    <xf numFmtId="4" fontId="17" fillId="22" borderId="118" applyNumberFormat="0" applyProtection="0">
      <alignment horizontal="left" vertical="center" indent="1"/>
    </xf>
    <xf numFmtId="4" fontId="17" fillId="22" borderId="118" applyNumberFormat="0" applyProtection="0">
      <alignment horizontal="left" vertical="center" indent="1"/>
    </xf>
    <xf numFmtId="4" fontId="17" fillId="22" borderId="118" applyNumberFormat="0" applyProtection="0">
      <alignment horizontal="left" vertical="center" indent="1"/>
    </xf>
    <xf numFmtId="4" fontId="17" fillId="22" borderId="118" applyNumberFormat="0" applyProtection="0">
      <alignment horizontal="left" vertical="center" indent="1"/>
    </xf>
    <xf numFmtId="4" fontId="17" fillId="22" borderId="118" applyNumberFormat="0" applyProtection="0">
      <alignment horizontal="left" vertical="center" indent="1"/>
    </xf>
    <xf numFmtId="4" fontId="17" fillId="22" borderId="118" applyNumberFormat="0" applyProtection="0">
      <alignment horizontal="left" vertical="center" indent="1"/>
    </xf>
    <xf numFmtId="4" fontId="17" fillId="22" borderId="118" applyNumberFormat="0" applyProtection="0">
      <alignment horizontal="left" vertical="center" indent="1"/>
    </xf>
    <xf numFmtId="4" fontId="17" fillId="22" borderId="118" applyNumberFormat="0" applyProtection="0">
      <alignment horizontal="left" vertical="center" indent="1"/>
    </xf>
    <xf numFmtId="4" fontId="17" fillId="22" borderId="118" applyNumberFormat="0" applyProtection="0">
      <alignment horizontal="left" vertical="center" indent="1"/>
    </xf>
    <xf numFmtId="4" fontId="17" fillId="22" borderId="118" applyNumberFormat="0" applyProtection="0">
      <alignment horizontal="left" vertical="center" indent="1"/>
    </xf>
    <xf numFmtId="4" fontId="17" fillId="22" borderId="118" applyNumberFormat="0" applyProtection="0">
      <alignment horizontal="left" vertical="center" indent="1"/>
    </xf>
    <xf numFmtId="4" fontId="17" fillId="22" borderId="118" applyNumberFormat="0" applyProtection="0">
      <alignment horizontal="left" vertical="center" indent="1"/>
    </xf>
    <xf numFmtId="4" fontId="43" fillId="22" borderId="115" applyNumberFormat="0" applyProtection="0">
      <alignment horizontal="left" vertical="center" indent="1"/>
    </xf>
    <xf numFmtId="4" fontId="43" fillId="22" borderId="115" applyNumberFormat="0" applyProtection="0">
      <alignment horizontal="left" vertical="center" indent="1"/>
    </xf>
    <xf numFmtId="4" fontId="43" fillId="22" borderId="115" applyNumberFormat="0" applyProtection="0">
      <alignment horizontal="left" vertical="center" indent="1"/>
    </xf>
    <xf numFmtId="4" fontId="43" fillId="22" borderId="115" applyNumberFormat="0" applyProtection="0">
      <alignment horizontal="left" vertical="center" indent="1"/>
    </xf>
    <xf numFmtId="4" fontId="43" fillId="22" borderId="115" applyNumberFormat="0" applyProtection="0">
      <alignment horizontal="left" vertical="center" indent="1"/>
    </xf>
    <xf numFmtId="4" fontId="43" fillId="22" borderId="115" applyNumberFormat="0" applyProtection="0">
      <alignment horizontal="left" vertical="center" indent="1"/>
    </xf>
    <xf numFmtId="4" fontId="43" fillId="22" borderId="115" applyNumberFormat="0" applyProtection="0">
      <alignment horizontal="left" vertical="center" indent="1"/>
    </xf>
    <xf numFmtId="4" fontId="43" fillId="22" borderId="115" applyNumberFormat="0" applyProtection="0">
      <alignment horizontal="left" vertical="center" indent="1"/>
    </xf>
    <xf numFmtId="4" fontId="43" fillId="22" borderId="115" applyNumberFormat="0" applyProtection="0">
      <alignment horizontal="left" vertical="center" indent="1"/>
    </xf>
    <xf numFmtId="4" fontId="43" fillId="22" borderId="115" applyNumberFormat="0" applyProtection="0">
      <alignment horizontal="left" vertical="center" indent="1"/>
    </xf>
    <xf numFmtId="4" fontId="43" fillId="22" borderId="115" applyNumberFormat="0" applyProtection="0">
      <alignment horizontal="left" vertical="center" indent="1"/>
    </xf>
    <xf numFmtId="4" fontId="43" fillId="22" borderId="115" applyNumberFormat="0" applyProtection="0">
      <alignment horizontal="left" vertical="center" indent="1"/>
    </xf>
    <xf numFmtId="4" fontId="43" fillId="22" borderId="115" applyNumberFormat="0" applyProtection="0">
      <alignment horizontal="left" vertical="center" indent="1"/>
    </xf>
    <xf numFmtId="4" fontId="43" fillId="22" borderId="115" applyNumberFormat="0" applyProtection="0">
      <alignment horizontal="left" vertical="center" indent="1"/>
    </xf>
    <xf numFmtId="4" fontId="43" fillId="22" borderId="115" applyNumberFormat="0" applyProtection="0">
      <alignment horizontal="left" vertical="center" indent="1"/>
    </xf>
    <xf numFmtId="4" fontId="43" fillId="22" borderId="115" applyNumberFormat="0" applyProtection="0">
      <alignment horizontal="left" vertical="center" indent="1"/>
    </xf>
    <xf numFmtId="4" fontId="43" fillId="22" borderId="115" applyNumberFormat="0" applyProtection="0">
      <alignment horizontal="left" vertical="center" indent="1"/>
    </xf>
    <xf numFmtId="4" fontId="43" fillId="22" borderId="115" applyNumberFormat="0" applyProtection="0">
      <alignment horizontal="left" vertical="center" indent="1"/>
    </xf>
    <xf numFmtId="4" fontId="43" fillId="22" borderId="115" applyNumberFormat="0" applyProtection="0">
      <alignment horizontal="left" vertical="center" indent="1"/>
    </xf>
    <xf numFmtId="4" fontId="43" fillId="22" borderId="115" applyNumberFormat="0" applyProtection="0">
      <alignment horizontal="left" vertical="center" indent="1"/>
    </xf>
    <xf numFmtId="4" fontId="43" fillId="22" borderId="115" applyNumberFormat="0" applyProtection="0">
      <alignment horizontal="left" vertical="center" indent="1"/>
    </xf>
    <xf numFmtId="4" fontId="43" fillId="22" borderId="115" applyNumberFormat="0" applyProtection="0">
      <alignment horizontal="left" vertical="center" indent="1"/>
    </xf>
    <xf numFmtId="4" fontId="43" fillId="22" borderId="115" applyNumberFormat="0" applyProtection="0">
      <alignment horizontal="left" vertical="center" indent="1"/>
    </xf>
    <xf numFmtId="4" fontId="43" fillId="22" borderId="115" applyNumberFormat="0" applyProtection="0">
      <alignment horizontal="left" vertical="center" indent="1"/>
    </xf>
    <xf numFmtId="4" fontId="43" fillId="22" borderId="115" applyNumberFormat="0" applyProtection="0">
      <alignment horizontal="left" vertical="center" indent="1"/>
    </xf>
    <xf numFmtId="4" fontId="43" fillId="22" borderId="115" applyNumberFormat="0" applyProtection="0">
      <alignment horizontal="left" vertical="center" indent="1"/>
    </xf>
    <xf numFmtId="4" fontId="43" fillId="22" borderId="115" applyNumberFormat="0" applyProtection="0">
      <alignment horizontal="left" vertical="center" indent="1"/>
    </xf>
    <xf numFmtId="4" fontId="43" fillId="22" borderId="115" applyNumberFormat="0" applyProtection="0">
      <alignment horizontal="left" vertical="center" indent="1"/>
    </xf>
    <xf numFmtId="4" fontId="43" fillId="22" borderId="115" applyNumberFormat="0" applyProtection="0">
      <alignment horizontal="left" vertical="center" indent="1"/>
    </xf>
    <xf numFmtId="4" fontId="43" fillId="22" borderId="115" applyNumberFormat="0" applyProtection="0">
      <alignment horizontal="left" vertical="center" indent="1"/>
    </xf>
    <xf numFmtId="4" fontId="43" fillId="22" borderId="115" applyNumberFormat="0" applyProtection="0">
      <alignment horizontal="left" vertical="center" indent="1"/>
    </xf>
    <xf numFmtId="4" fontId="43" fillId="22" borderId="115" applyNumberFormat="0" applyProtection="0">
      <alignment horizontal="left" vertical="center" indent="1"/>
    </xf>
    <xf numFmtId="4" fontId="43" fillId="22" borderId="115" applyNumberFormat="0" applyProtection="0">
      <alignment horizontal="left" vertical="center" indent="1"/>
    </xf>
    <xf numFmtId="4" fontId="43" fillId="22" borderId="115" applyNumberFormat="0" applyProtection="0">
      <alignment horizontal="left" vertical="center" indent="1"/>
    </xf>
    <xf numFmtId="4" fontId="43" fillId="22" borderId="115" applyNumberFormat="0" applyProtection="0">
      <alignment horizontal="left" vertical="center" indent="1"/>
    </xf>
    <xf numFmtId="4" fontId="43" fillId="22" borderId="115" applyNumberFormat="0" applyProtection="0">
      <alignment horizontal="left" vertical="center" indent="1"/>
    </xf>
    <xf numFmtId="4" fontId="43" fillId="22" borderId="115" applyNumberFormat="0" applyProtection="0">
      <alignment horizontal="left" vertical="center" indent="1"/>
    </xf>
    <xf numFmtId="4" fontId="43" fillId="22" borderId="115" applyNumberFormat="0" applyProtection="0">
      <alignment horizontal="left" vertical="center" indent="1"/>
    </xf>
    <xf numFmtId="4" fontId="43" fillId="22" borderId="115" applyNumberFormat="0" applyProtection="0">
      <alignment horizontal="left" vertical="center" indent="1"/>
    </xf>
    <xf numFmtId="4" fontId="43" fillId="22" borderId="115" applyNumberFormat="0" applyProtection="0">
      <alignment horizontal="left" vertical="center" indent="1"/>
    </xf>
    <xf numFmtId="4" fontId="43" fillId="22" borderId="115" applyNumberFormat="0" applyProtection="0">
      <alignment horizontal="left" vertical="center" indent="1"/>
    </xf>
    <xf numFmtId="4" fontId="17" fillId="24" borderId="118" applyNumberFormat="0" applyProtection="0">
      <alignment horizontal="left" vertical="center" indent="1"/>
    </xf>
    <xf numFmtId="4" fontId="17" fillId="24" borderId="118" applyNumberFormat="0" applyProtection="0">
      <alignment horizontal="left" vertical="center" indent="1"/>
    </xf>
    <xf numFmtId="4" fontId="17" fillId="24" borderId="118" applyNumberFormat="0" applyProtection="0">
      <alignment horizontal="left" vertical="center" indent="1"/>
    </xf>
    <xf numFmtId="4" fontId="17" fillId="24" borderId="118" applyNumberFormat="0" applyProtection="0">
      <alignment horizontal="left" vertical="center" indent="1"/>
    </xf>
    <xf numFmtId="4" fontId="17" fillId="24" borderId="118" applyNumberFormat="0" applyProtection="0">
      <alignment horizontal="left" vertical="center" indent="1"/>
    </xf>
    <xf numFmtId="4" fontId="17" fillId="24" borderId="118" applyNumberFormat="0" applyProtection="0">
      <alignment horizontal="left" vertical="center" indent="1"/>
    </xf>
    <xf numFmtId="4" fontId="17" fillId="24" borderId="118" applyNumberFormat="0" applyProtection="0">
      <alignment horizontal="left" vertical="center" indent="1"/>
    </xf>
    <xf numFmtId="4" fontId="17" fillId="24" borderId="118" applyNumberFormat="0" applyProtection="0">
      <alignment horizontal="left" vertical="center" indent="1"/>
    </xf>
    <xf numFmtId="4" fontId="17" fillId="24" borderId="118" applyNumberFormat="0" applyProtection="0">
      <alignment horizontal="left" vertical="center" indent="1"/>
    </xf>
    <xf numFmtId="4" fontId="17" fillId="24" borderId="118" applyNumberFormat="0" applyProtection="0">
      <alignment horizontal="left" vertical="center" indent="1"/>
    </xf>
    <xf numFmtId="4" fontId="17" fillId="24" borderId="118" applyNumberFormat="0" applyProtection="0">
      <alignment horizontal="left" vertical="center" indent="1"/>
    </xf>
    <xf numFmtId="4" fontId="17" fillId="24" borderId="118" applyNumberFormat="0" applyProtection="0">
      <alignment horizontal="left" vertical="center" indent="1"/>
    </xf>
    <xf numFmtId="4" fontId="17" fillId="24" borderId="118" applyNumberFormat="0" applyProtection="0">
      <alignment horizontal="left" vertical="center" indent="1"/>
    </xf>
    <xf numFmtId="4" fontId="43" fillId="103" borderId="115" applyNumberFormat="0" applyProtection="0">
      <alignment horizontal="right" vertical="center"/>
    </xf>
    <xf numFmtId="4" fontId="43" fillId="103" borderId="115" applyNumberFormat="0" applyProtection="0">
      <alignment horizontal="right" vertical="center"/>
    </xf>
    <xf numFmtId="4" fontId="43" fillId="103" borderId="115" applyNumberFormat="0" applyProtection="0">
      <alignment horizontal="right" vertical="center"/>
    </xf>
    <xf numFmtId="4" fontId="43" fillId="103" borderId="115" applyNumberFormat="0" applyProtection="0">
      <alignment horizontal="right" vertical="center"/>
    </xf>
    <xf numFmtId="4" fontId="43" fillId="103" borderId="115" applyNumberFormat="0" applyProtection="0">
      <alignment horizontal="right" vertical="center"/>
    </xf>
    <xf numFmtId="4" fontId="43" fillId="103" borderId="115" applyNumberFormat="0" applyProtection="0">
      <alignment horizontal="right" vertical="center"/>
    </xf>
    <xf numFmtId="4" fontId="43" fillId="103" borderId="115" applyNumberFormat="0" applyProtection="0">
      <alignment horizontal="right" vertical="center"/>
    </xf>
    <xf numFmtId="4" fontId="43" fillId="103" borderId="115" applyNumberFormat="0" applyProtection="0">
      <alignment horizontal="right" vertical="center"/>
    </xf>
    <xf numFmtId="4" fontId="43" fillId="103" borderId="115" applyNumberFormat="0" applyProtection="0">
      <alignment horizontal="right" vertical="center"/>
    </xf>
    <xf numFmtId="4" fontId="43" fillId="103" borderId="115" applyNumberFormat="0" applyProtection="0">
      <alignment horizontal="right" vertical="center"/>
    </xf>
    <xf numFmtId="4" fontId="43" fillId="103" borderId="115" applyNumberFormat="0" applyProtection="0">
      <alignment horizontal="right" vertical="center"/>
    </xf>
    <xf numFmtId="4" fontId="43" fillId="103" borderId="115" applyNumberFormat="0" applyProtection="0">
      <alignment horizontal="right" vertical="center"/>
    </xf>
    <xf numFmtId="4" fontId="43" fillId="103" borderId="115" applyNumberFormat="0" applyProtection="0">
      <alignment horizontal="right" vertical="center"/>
    </xf>
    <xf numFmtId="4" fontId="43" fillId="103" borderId="115" applyNumberFormat="0" applyProtection="0">
      <alignment horizontal="right" vertical="center"/>
    </xf>
    <xf numFmtId="4" fontId="43" fillId="103" borderId="115" applyNumberFormat="0" applyProtection="0">
      <alignment horizontal="right" vertical="center"/>
    </xf>
    <xf numFmtId="4" fontId="43" fillId="103" borderId="115" applyNumberFormat="0" applyProtection="0">
      <alignment horizontal="right" vertical="center"/>
    </xf>
    <xf numFmtId="4" fontId="43" fillId="103" borderId="115" applyNumberFormat="0" applyProtection="0">
      <alignment horizontal="right" vertical="center"/>
    </xf>
    <xf numFmtId="4" fontId="43" fillId="103" borderId="115" applyNumberFormat="0" applyProtection="0">
      <alignment horizontal="right" vertical="center"/>
    </xf>
    <xf numFmtId="4" fontId="43" fillId="103" borderId="115" applyNumberFormat="0" applyProtection="0">
      <alignment horizontal="right" vertical="center"/>
    </xf>
    <xf numFmtId="4" fontId="43" fillId="103" borderId="115" applyNumberFormat="0" applyProtection="0">
      <alignment horizontal="right" vertical="center"/>
    </xf>
    <xf numFmtId="4" fontId="43" fillId="103" borderId="115" applyNumberFormat="0" applyProtection="0">
      <alignment horizontal="right" vertical="center"/>
    </xf>
    <xf numFmtId="4" fontId="43" fillId="103" borderId="115" applyNumberFormat="0" applyProtection="0">
      <alignment horizontal="right" vertical="center"/>
    </xf>
    <xf numFmtId="4" fontId="43" fillId="104" borderId="115" applyNumberFormat="0" applyProtection="0">
      <alignment horizontal="right" vertical="center"/>
    </xf>
    <xf numFmtId="4" fontId="43" fillId="104" borderId="115" applyNumberFormat="0" applyProtection="0">
      <alignment horizontal="right" vertical="center"/>
    </xf>
    <xf numFmtId="4" fontId="43" fillId="104" borderId="115" applyNumberFormat="0" applyProtection="0">
      <alignment horizontal="right" vertical="center"/>
    </xf>
    <xf numFmtId="4" fontId="43" fillId="104" borderId="115" applyNumberFormat="0" applyProtection="0">
      <alignment horizontal="right" vertical="center"/>
    </xf>
    <xf numFmtId="4" fontId="43" fillId="104" borderId="115" applyNumberFormat="0" applyProtection="0">
      <alignment horizontal="right" vertical="center"/>
    </xf>
    <xf numFmtId="4" fontId="43" fillId="104" borderId="115" applyNumberFormat="0" applyProtection="0">
      <alignment horizontal="right" vertical="center"/>
    </xf>
    <xf numFmtId="4" fontId="43" fillId="104" borderId="115" applyNumberFormat="0" applyProtection="0">
      <alignment horizontal="right" vertical="center"/>
    </xf>
    <xf numFmtId="4" fontId="43" fillId="104" borderId="115" applyNumberFormat="0" applyProtection="0">
      <alignment horizontal="right" vertical="center"/>
    </xf>
    <xf numFmtId="4" fontId="43" fillId="104" borderId="115" applyNumberFormat="0" applyProtection="0">
      <alignment horizontal="right" vertical="center"/>
    </xf>
    <xf numFmtId="4" fontId="43" fillId="104" borderId="115" applyNumberFormat="0" applyProtection="0">
      <alignment horizontal="right" vertical="center"/>
    </xf>
    <xf numFmtId="4" fontId="43" fillId="104" borderId="115" applyNumberFormat="0" applyProtection="0">
      <alignment horizontal="right" vertical="center"/>
    </xf>
    <xf numFmtId="4" fontId="43" fillId="104" borderId="115" applyNumberFormat="0" applyProtection="0">
      <alignment horizontal="right" vertical="center"/>
    </xf>
    <xf numFmtId="4" fontId="43" fillId="104" borderId="115" applyNumberFormat="0" applyProtection="0">
      <alignment horizontal="right" vertical="center"/>
    </xf>
    <xf numFmtId="4" fontId="43" fillId="104" borderId="115" applyNumberFormat="0" applyProtection="0">
      <alignment horizontal="right" vertical="center"/>
    </xf>
    <xf numFmtId="4" fontId="43" fillId="104" borderId="115" applyNumberFormat="0" applyProtection="0">
      <alignment horizontal="right" vertical="center"/>
    </xf>
    <xf numFmtId="4" fontId="43" fillId="104" borderId="115" applyNumberFormat="0" applyProtection="0">
      <alignment horizontal="right" vertical="center"/>
    </xf>
    <xf numFmtId="4" fontId="43" fillId="104" borderId="115" applyNumberFormat="0" applyProtection="0">
      <alignment horizontal="right" vertical="center"/>
    </xf>
    <xf numFmtId="4" fontId="43" fillId="104" borderId="115" applyNumberFormat="0" applyProtection="0">
      <alignment horizontal="right" vertical="center"/>
    </xf>
    <xf numFmtId="4" fontId="43" fillId="104" borderId="115" applyNumberFormat="0" applyProtection="0">
      <alignment horizontal="right" vertical="center"/>
    </xf>
    <xf numFmtId="4" fontId="43" fillId="104" borderId="115" applyNumberFormat="0" applyProtection="0">
      <alignment horizontal="right" vertical="center"/>
    </xf>
    <xf numFmtId="4" fontId="43" fillId="104" borderId="115" applyNumberFormat="0" applyProtection="0">
      <alignment horizontal="right" vertical="center"/>
    </xf>
    <xf numFmtId="4" fontId="43" fillId="104" borderId="115" applyNumberFormat="0" applyProtection="0">
      <alignment horizontal="right" vertical="center"/>
    </xf>
    <xf numFmtId="4" fontId="43" fillId="105" borderId="115" applyNumberFormat="0" applyProtection="0">
      <alignment horizontal="right" vertical="center"/>
    </xf>
    <xf numFmtId="4" fontId="43" fillId="105" borderId="115" applyNumberFormat="0" applyProtection="0">
      <alignment horizontal="right" vertical="center"/>
    </xf>
    <xf numFmtId="4" fontId="43" fillId="105" borderId="115" applyNumberFormat="0" applyProtection="0">
      <alignment horizontal="right" vertical="center"/>
    </xf>
    <xf numFmtId="4" fontId="43" fillId="105" borderId="115" applyNumberFormat="0" applyProtection="0">
      <alignment horizontal="right" vertical="center"/>
    </xf>
    <xf numFmtId="4" fontId="43" fillId="105" borderId="115" applyNumberFormat="0" applyProtection="0">
      <alignment horizontal="right" vertical="center"/>
    </xf>
    <xf numFmtId="4" fontId="43" fillId="105" borderId="115" applyNumberFormat="0" applyProtection="0">
      <alignment horizontal="right" vertical="center"/>
    </xf>
    <xf numFmtId="4" fontId="43" fillId="105" borderId="115" applyNumberFormat="0" applyProtection="0">
      <alignment horizontal="right" vertical="center"/>
    </xf>
    <xf numFmtId="4" fontId="43" fillId="105" borderId="115" applyNumberFormat="0" applyProtection="0">
      <alignment horizontal="right" vertical="center"/>
    </xf>
    <xf numFmtId="4" fontId="43" fillId="105" borderId="115" applyNumberFormat="0" applyProtection="0">
      <alignment horizontal="right" vertical="center"/>
    </xf>
    <xf numFmtId="4" fontId="43" fillId="105" borderId="115" applyNumberFormat="0" applyProtection="0">
      <alignment horizontal="right" vertical="center"/>
    </xf>
    <xf numFmtId="4" fontId="43" fillId="105" borderId="115" applyNumberFormat="0" applyProtection="0">
      <alignment horizontal="right" vertical="center"/>
    </xf>
    <xf numFmtId="4" fontId="43" fillId="105" borderId="115" applyNumberFormat="0" applyProtection="0">
      <alignment horizontal="right" vertical="center"/>
    </xf>
    <xf numFmtId="4" fontId="43" fillId="105" borderId="115" applyNumberFormat="0" applyProtection="0">
      <alignment horizontal="right" vertical="center"/>
    </xf>
    <xf numFmtId="4" fontId="43" fillId="105" borderId="115" applyNumberFormat="0" applyProtection="0">
      <alignment horizontal="right" vertical="center"/>
    </xf>
    <xf numFmtId="4" fontId="43" fillId="105" borderId="115" applyNumberFormat="0" applyProtection="0">
      <alignment horizontal="right" vertical="center"/>
    </xf>
    <xf numFmtId="4" fontId="43" fillId="105" borderId="115" applyNumberFormat="0" applyProtection="0">
      <alignment horizontal="right" vertical="center"/>
    </xf>
    <xf numFmtId="4" fontId="43" fillId="105" borderId="115" applyNumberFormat="0" applyProtection="0">
      <alignment horizontal="right" vertical="center"/>
    </xf>
    <xf numFmtId="4" fontId="43" fillId="105" borderId="115" applyNumberFormat="0" applyProtection="0">
      <alignment horizontal="right" vertical="center"/>
    </xf>
    <xf numFmtId="4" fontId="43" fillId="105" borderId="115" applyNumberFormat="0" applyProtection="0">
      <alignment horizontal="right" vertical="center"/>
    </xf>
    <xf numFmtId="4" fontId="43" fillId="105" borderId="115" applyNumberFormat="0" applyProtection="0">
      <alignment horizontal="right" vertical="center"/>
    </xf>
    <xf numFmtId="4" fontId="43" fillId="105" borderId="115" applyNumberFormat="0" applyProtection="0">
      <alignment horizontal="right" vertical="center"/>
    </xf>
    <xf numFmtId="4" fontId="43" fillId="105" borderId="115" applyNumberFormat="0" applyProtection="0">
      <alignment horizontal="right" vertical="center"/>
    </xf>
    <xf numFmtId="4" fontId="43" fillId="106" borderId="115" applyNumberFormat="0" applyProtection="0">
      <alignment horizontal="right" vertical="center"/>
    </xf>
    <xf numFmtId="4" fontId="43" fillId="106" borderId="115" applyNumberFormat="0" applyProtection="0">
      <alignment horizontal="right" vertical="center"/>
    </xf>
    <xf numFmtId="4" fontId="43" fillId="106" borderId="115" applyNumberFormat="0" applyProtection="0">
      <alignment horizontal="right" vertical="center"/>
    </xf>
    <xf numFmtId="4" fontId="43" fillId="106" borderId="115" applyNumberFormat="0" applyProtection="0">
      <alignment horizontal="right" vertical="center"/>
    </xf>
    <xf numFmtId="4" fontId="43" fillId="106" borderId="115" applyNumberFormat="0" applyProtection="0">
      <alignment horizontal="right" vertical="center"/>
    </xf>
    <xf numFmtId="4" fontId="43" fillId="106" borderId="115" applyNumberFormat="0" applyProtection="0">
      <alignment horizontal="right" vertical="center"/>
    </xf>
    <xf numFmtId="4" fontId="43" fillId="106" borderId="115" applyNumberFormat="0" applyProtection="0">
      <alignment horizontal="right" vertical="center"/>
    </xf>
    <xf numFmtId="4" fontId="43" fillId="106" borderId="115" applyNumberFormat="0" applyProtection="0">
      <alignment horizontal="right" vertical="center"/>
    </xf>
    <xf numFmtId="4" fontId="43" fillId="106" borderId="115" applyNumberFormat="0" applyProtection="0">
      <alignment horizontal="right" vertical="center"/>
    </xf>
    <xf numFmtId="4" fontId="43" fillId="106" borderId="115" applyNumberFormat="0" applyProtection="0">
      <alignment horizontal="right" vertical="center"/>
    </xf>
    <xf numFmtId="4" fontId="43" fillId="106" borderId="115" applyNumberFormat="0" applyProtection="0">
      <alignment horizontal="right" vertical="center"/>
    </xf>
    <xf numFmtId="4" fontId="43" fillId="106" borderId="115" applyNumberFormat="0" applyProtection="0">
      <alignment horizontal="right" vertical="center"/>
    </xf>
    <xf numFmtId="4" fontId="43" fillId="106" borderId="115" applyNumberFormat="0" applyProtection="0">
      <alignment horizontal="right" vertical="center"/>
    </xf>
    <xf numFmtId="4" fontId="43" fillId="106" borderId="115" applyNumberFormat="0" applyProtection="0">
      <alignment horizontal="right" vertical="center"/>
    </xf>
    <xf numFmtId="4" fontId="43" fillId="106" borderId="115" applyNumberFormat="0" applyProtection="0">
      <alignment horizontal="right" vertical="center"/>
    </xf>
    <xf numFmtId="4" fontId="43" fillId="106" borderId="115" applyNumberFormat="0" applyProtection="0">
      <alignment horizontal="right" vertical="center"/>
    </xf>
    <xf numFmtId="4" fontId="43" fillId="106" borderId="115" applyNumberFormat="0" applyProtection="0">
      <alignment horizontal="right" vertical="center"/>
    </xf>
    <xf numFmtId="4" fontId="43" fillId="106" borderId="115" applyNumberFormat="0" applyProtection="0">
      <alignment horizontal="right" vertical="center"/>
    </xf>
    <xf numFmtId="4" fontId="43" fillId="106" borderId="115" applyNumberFormat="0" applyProtection="0">
      <alignment horizontal="right" vertical="center"/>
    </xf>
    <xf numFmtId="4" fontId="43" fillId="106" borderId="115" applyNumberFormat="0" applyProtection="0">
      <alignment horizontal="right" vertical="center"/>
    </xf>
    <xf numFmtId="4" fontId="43" fillId="106" borderId="115" applyNumberFormat="0" applyProtection="0">
      <alignment horizontal="right" vertical="center"/>
    </xf>
    <xf numFmtId="4" fontId="43" fillId="106" borderId="115" applyNumberFormat="0" applyProtection="0">
      <alignment horizontal="right" vertical="center"/>
    </xf>
    <xf numFmtId="4" fontId="43" fillId="107" borderId="115" applyNumberFormat="0" applyProtection="0">
      <alignment horizontal="right" vertical="center"/>
    </xf>
    <xf numFmtId="4" fontId="43" fillId="107" borderId="115" applyNumberFormat="0" applyProtection="0">
      <alignment horizontal="right" vertical="center"/>
    </xf>
    <xf numFmtId="4" fontId="43" fillId="107" borderId="115" applyNumberFormat="0" applyProtection="0">
      <alignment horizontal="right" vertical="center"/>
    </xf>
    <xf numFmtId="4" fontId="43" fillId="107" borderId="115" applyNumberFormat="0" applyProtection="0">
      <alignment horizontal="right" vertical="center"/>
    </xf>
    <xf numFmtId="4" fontId="43" fillId="107" borderId="115" applyNumberFormat="0" applyProtection="0">
      <alignment horizontal="right" vertical="center"/>
    </xf>
    <xf numFmtId="4" fontId="43" fillId="107" borderId="115" applyNumberFormat="0" applyProtection="0">
      <alignment horizontal="right" vertical="center"/>
    </xf>
    <xf numFmtId="4" fontId="43" fillId="107" borderId="115" applyNumberFormat="0" applyProtection="0">
      <alignment horizontal="right" vertical="center"/>
    </xf>
    <xf numFmtId="4" fontId="43" fillId="107" borderId="115" applyNumberFormat="0" applyProtection="0">
      <alignment horizontal="right" vertical="center"/>
    </xf>
    <xf numFmtId="4" fontId="43" fillId="107" borderId="115" applyNumberFormat="0" applyProtection="0">
      <alignment horizontal="right" vertical="center"/>
    </xf>
    <xf numFmtId="4" fontId="43" fillId="107" borderId="115" applyNumberFormat="0" applyProtection="0">
      <alignment horizontal="right" vertical="center"/>
    </xf>
    <xf numFmtId="4" fontId="43" fillId="107" borderId="115" applyNumberFormat="0" applyProtection="0">
      <alignment horizontal="right" vertical="center"/>
    </xf>
    <xf numFmtId="4" fontId="43" fillId="107" borderId="115" applyNumberFormat="0" applyProtection="0">
      <alignment horizontal="right" vertical="center"/>
    </xf>
    <xf numFmtId="4" fontId="43" fillId="107" borderId="115" applyNumberFormat="0" applyProtection="0">
      <alignment horizontal="right" vertical="center"/>
    </xf>
    <xf numFmtId="4" fontId="43" fillId="107" borderId="115" applyNumberFormat="0" applyProtection="0">
      <alignment horizontal="right" vertical="center"/>
    </xf>
    <xf numFmtId="4" fontId="43" fillId="107" borderId="115" applyNumberFormat="0" applyProtection="0">
      <alignment horizontal="right" vertical="center"/>
    </xf>
    <xf numFmtId="4" fontId="43" fillId="107" borderId="115" applyNumberFormat="0" applyProtection="0">
      <alignment horizontal="right" vertical="center"/>
    </xf>
    <xf numFmtId="4" fontId="43" fillId="107" borderId="115" applyNumberFormat="0" applyProtection="0">
      <alignment horizontal="right" vertical="center"/>
    </xf>
    <xf numFmtId="4" fontId="43" fillId="107" borderId="115" applyNumberFormat="0" applyProtection="0">
      <alignment horizontal="right" vertical="center"/>
    </xf>
    <xf numFmtId="4" fontId="43" fillId="107" borderId="115" applyNumberFormat="0" applyProtection="0">
      <alignment horizontal="right" vertical="center"/>
    </xf>
    <xf numFmtId="4" fontId="43" fillId="107" borderId="115" applyNumberFormat="0" applyProtection="0">
      <alignment horizontal="right" vertical="center"/>
    </xf>
    <xf numFmtId="4" fontId="43" fillId="107" borderId="115" applyNumberFormat="0" applyProtection="0">
      <alignment horizontal="right" vertical="center"/>
    </xf>
    <xf numFmtId="4" fontId="43" fillId="107" borderId="115" applyNumberFormat="0" applyProtection="0">
      <alignment horizontal="right" vertical="center"/>
    </xf>
    <xf numFmtId="4" fontId="43" fillId="80" borderId="115" applyNumberFormat="0" applyProtection="0">
      <alignment horizontal="right" vertical="center"/>
    </xf>
    <xf numFmtId="4" fontId="43" fillId="80" borderId="115" applyNumberFormat="0" applyProtection="0">
      <alignment horizontal="right" vertical="center"/>
    </xf>
    <xf numFmtId="4" fontId="43" fillId="80" borderId="115" applyNumberFormat="0" applyProtection="0">
      <alignment horizontal="right" vertical="center"/>
    </xf>
    <xf numFmtId="4" fontId="43" fillId="80" borderId="115" applyNumberFormat="0" applyProtection="0">
      <alignment horizontal="right" vertical="center"/>
    </xf>
    <xf numFmtId="4" fontId="43" fillId="80" borderId="115" applyNumberFormat="0" applyProtection="0">
      <alignment horizontal="right" vertical="center"/>
    </xf>
    <xf numFmtId="4" fontId="43" fillId="80" borderId="115" applyNumberFormat="0" applyProtection="0">
      <alignment horizontal="right" vertical="center"/>
    </xf>
    <xf numFmtId="4" fontId="43" fillId="80" borderId="115" applyNumberFormat="0" applyProtection="0">
      <alignment horizontal="right" vertical="center"/>
    </xf>
    <xf numFmtId="4" fontId="43" fillId="80" borderId="115" applyNumberFormat="0" applyProtection="0">
      <alignment horizontal="right" vertical="center"/>
    </xf>
    <xf numFmtId="4" fontId="43" fillId="80" borderId="115" applyNumberFormat="0" applyProtection="0">
      <alignment horizontal="right" vertical="center"/>
    </xf>
    <xf numFmtId="4" fontId="43" fillId="80" borderId="115" applyNumberFormat="0" applyProtection="0">
      <alignment horizontal="right" vertical="center"/>
    </xf>
    <xf numFmtId="4" fontId="43" fillId="80" borderId="115" applyNumberFormat="0" applyProtection="0">
      <alignment horizontal="right" vertical="center"/>
    </xf>
    <xf numFmtId="4" fontId="43" fillId="80" borderId="115" applyNumberFormat="0" applyProtection="0">
      <alignment horizontal="right" vertical="center"/>
    </xf>
    <xf numFmtId="4" fontId="43" fillId="80" borderId="115" applyNumberFormat="0" applyProtection="0">
      <alignment horizontal="right" vertical="center"/>
    </xf>
    <xf numFmtId="4" fontId="43" fillId="80" borderId="115" applyNumberFormat="0" applyProtection="0">
      <alignment horizontal="right" vertical="center"/>
    </xf>
    <xf numFmtId="4" fontId="43" fillId="80" borderId="115" applyNumberFormat="0" applyProtection="0">
      <alignment horizontal="right" vertical="center"/>
    </xf>
    <xf numFmtId="4" fontId="43" fillId="80" borderId="115" applyNumberFormat="0" applyProtection="0">
      <alignment horizontal="right" vertical="center"/>
    </xf>
    <xf numFmtId="4" fontId="43" fillId="80" borderId="115" applyNumberFormat="0" applyProtection="0">
      <alignment horizontal="right" vertical="center"/>
    </xf>
    <xf numFmtId="4" fontId="43" fillId="80" borderId="115" applyNumberFormat="0" applyProtection="0">
      <alignment horizontal="right" vertical="center"/>
    </xf>
    <xf numFmtId="4" fontId="43" fillId="80" borderId="115" applyNumberFormat="0" applyProtection="0">
      <alignment horizontal="right" vertical="center"/>
    </xf>
    <xf numFmtId="4" fontId="43" fillId="80" borderId="115" applyNumberFormat="0" applyProtection="0">
      <alignment horizontal="right" vertical="center"/>
    </xf>
    <xf numFmtId="4" fontId="43" fillId="80" borderId="115" applyNumberFormat="0" applyProtection="0">
      <alignment horizontal="right" vertical="center"/>
    </xf>
    <xf numFmtId="4" fontId="43" fillId="80" borderId="115" applyNumberFormat="0" applyProtection="0">
      <alignment horizontal="right" vertical="center"/>
    </xf>
    <xf numFmtId="4" fontId="43" fillId="108" borderId="115" applyNumberFormat="0" applyProtection="0">
      <alignment horizontal="right" vertical="center"/>
    </xf>
    <xf numFmtId="4" fontId="43" fillId="108" borderId="115" applyNumberFormat="0" applyProtection="0">
      <alignment horizontal="right" vertical="center"/>
    </xf>
    <xf numFmtId="4" fontId="43" fillId="108" borderId="115" applyNumberFormat="0" applyProtection="0">
      <alignment horizontal="right" vertical="center"/>
    </xf>
    <xf numFmtId="4" fontId="43" fillId="108" borderId="115" applyNumberFormat="0" applyProtection="0">
      <alignment horizontal="right" vertical="center"/>
    </xf>
    <xf numFmtId="4" fontId="43" fillId="108" borderId="115" applyNumberFormat="0" applyProtection="0">
      <alignment horizontal="right" vertical="center"/>
    </xf>
    <xf numFmtId="4" fontId="43" fillId="108" borderId="115" applyNumberFormat="0" applyProtection="0">
      <alignment horizontal="right" vertical="center"/>
    </xf>
    <xf numFmtId="4" fontId="43" fillId="108" borderId="115" applyNumberFormat="0" applyProtection="0">
      <alignment horizontal="right" vertical="center"/>
    </xf>
    <xf numFmtId="4" fontId="43" fillId="108" borderId="115" applyNumberFormat="0" applyProtection="0">
      <alignment horizontal="right" vertical="center"/>
    </xf>
    <xf numFmtId="4" fontId="43" fillId="108" borderId="115" applyNumberFormat="0" applyProtection="0">
      <alignment horizontal="right" vertical="center"/>
    </xf>
    <xf numFmtId="4" fontId="43" fillId="108" borderId="115" applyNumberFormat="0" applyProtection="0">
      <alignment horizontal="right" vertical="center"/>
    </xf>
    <xf numFmtId="4" fontId="43" fillId="108" borderId="115" applyNumberFormat="0" applyProtection="0">
      <alignment horizontal="right" vertical="center"/>
    </xf>
    <xf numFmtId="4" fontId="43" fillId="108" borderId="115" applyNumberFormat="0" applyProtection="0">
      <alignment horizontal="right" vertical="center"/>
    </xf>
    <xf numFmtId="4" fontId="43" fillId="108" borderId="115" applyNumberFormat="0" applyProtection="0">
      <alignment horizontal="right" vertical="center"/>
    </xf>
    <xf numFmtId="4" fontId="43" fillId="108" borderId="115" applyNumberFormat="0" applyProtection="0">
      <alignment horizontal="right" vertical="center"/>
    </xf>
    <xf numFmtId="4" fontId="43" fillId="108" borderId="115" applyNumberFormat="0" applyProtection="0">
      <alignment horizontal="right" vertical="center"/>
    </xf>
    <xf numFmtId="4" fontId="43" fillId="108" borderId="115" applyNumberFormat="0" applyProtection="0">
      <alignment horizontal="right" vertical="center"/>
    </xf>
    <xf numFmtId="4" fontId="43" fillId="108" borderId="115" applyNumberFormat="0" applyProtection="0">
      <alignment horizontal="right" vertical="center"/>
    </xf>
    <xf numFmtId="4" fontId="43" fillId="108" borderId="115" applyNumberFormat="0" applyProtection="0">
      <alignment horizontal="right" vertical="center"/>
    </xf>
    <xf numFmtId="4" fontId="43" fillId="108" borderId="115" applyNumberFormat="0" applyProtection="0">
      <alignment horizontal="right" vertical="center"/>
    </xf>
    <xf numFmtId="4" fontId="43" fillId="108" borderId="115" applyNumberFormat="0" applyProtection="0">
      <alignment horizontal="right" vertical="center"/>
    </xf>
    <xf numFmtId="4" fontId="43" fillId="108" borderId="115" applyNumberFormat="0" applyProtection="0">
      <alignment horizontal="right" vertical="center"/>
    </xf>
    <xf numFmtId="4" fontId="43" fillId="108" borderId="115" applyNumberFormat="0" applyProtection="0">
      <alignment horizontal="right" vertical="center"/>
    </xf>
    <xf numFmtId="4" fontId="43" fillId="109" borderId="115" applyNumberFormat="0" applyProtection="0">
      <alignment horizontal="right" vertical="center"/>
    </xf>
    <xf numFmtId="4" fontId="43" fillId="109" borderId="115" applyNumberFormat="0" applyProtection="0">
      <alignment horizontal="right" vertical="center"/>
    </xf>
    <xf numFmtId="4" fontId="43" fillId="109" borderId="115" applyNumberFormat="0" applyProtection="0">
      <alignment horizontal="right" vertical="center"/>
    </xf>
    <xf numFmtId="4" fontId="43" fillId="109" borderId="115" applyNumberFormat="0" applyProtection="0">
      <alignment horizontal="right" vertical="center"/>
    </xf>
    <xf numFmtId="4" fontId="43" fillId="109" borderId="115" applyNumberFormat="0" applyProtection="0">
      <alignment horizontal="right" vertical="center"/>
    </xf>
    <xf numFmtId="4" fontId="43" fillId="109" borderId="115" applyNumberFormat="0" applyProtection="0">
      <alignment horizontal="right" vertical="center"/>
    </xf>
    <xf numFmtId="4" fontId="43" fillId="109" borderId="115" applyNumberFormat="0" applyProtection="0">
      <alignment horizontal="right" vertical="center"/>
    </xf>
    <xf numFmtId="4" fontId="43" fillId="109" borderId="115" applyNumberFormat="0" applyProtection="0">
      <alignment horizontal="right" vertical="center"/>
    </xf>
    <xf numFmtId="4" fontId="43" fillId="109" borderId="115" applyNumberFormat="0" applyProtection="0">
      <alignment horizontal="right" vertical="center"/>
    </xf>
    <xf numFmtId="4" fontId="43" fillId="109" borderId="115" applyNumberFormat="0" applyProtection="0">
      <alignment horizontal="right" vertical="center"/>
    </xf>
    <xf numFmtId="4" fontId="43" fillId="109" borderId="115" applyNumberFormat="0" applyProtection="0">
      <alignment horizontal="right" vertical="center"/>
    </xf>
    <xf numFmtId="4" fontId="43" fillId="109" borderId="115" applyNumberFormat="0" applyProtection="0">
      <alignment horizontal="right" vertical="center"/>
    </xf>
    <xf numFmtId="4" fontId="43" fillId="109" borderId="115" applyNumberFormat="0" applyProtection="0">
      <alignment horizontal="right" vertical="center"/>
    </xf>
    <xf numFmtId="4" fontId="43" fillId="109" borderId="115" applyNumberFormat="0" applyProtection="0">
      <alignment horizontal="right" vertical="center"/>
    </xf>
    <xf numFmtId="4" fontId="43" fillId="109" borderId="115" applyNumberFormat="0" applyProtection="0">
      <alignment horizontal="right" vertical="center"/>
    </xf>
    <xf numFmtId="4" fontId="43" fillId="109" borderId="115" applyNumberFormat="0" applyProtection="0">
      <alignment horizontal="right" vertical="center"/>
    </xf>
    <xf numFmtId="4" fontId="43" fillId="109" borderId="115" applyNumberFormat="0" applyProtection="0">
      <alignment horizontal="right" vertical="center"/>
    </xf>
    <xf numFmtId="4" fontId="43" fillId="109" borderId="115" applyNumberFormat="0" applyProtection="0">
      <alignment horizontal="right" vertical="center"/>
    </xf>
    <xf numFmtId="4" fontId="43" fillId="109" borderId="115" applyNumberFormat="0" applyProtection="0">
      <alignment horizontal="right" vertical="center"/>
    </xf>
    <xf numFmtId="4" fontId="43" fillId="109" borderId="115" applyNumberFormat="0" applyProtection="0">
      <alignment horizontal="right" vertical="center"/>
    </xf>
    <xf numFmtId="4" fontId="43" fillId="109" borderId="115" applyNumberFormat="0" applyProtection="0">
      <alignment horizontal="right" vertical="center"/>
    </xf>
    <xf numFmtId="4" fontId="43" fillId="109" borderId="115" applyNumberFormat="0" applyProtection="0">
      <alignment horizontal="right" vertical="center"/>
    </xf>
    <xf numFmtId="4" fontId="43" fillId="110" borderId="115" applyNumberFormat="0" applyProtection="0">
      <alignment horizontal="right" vertical="center"/>
    </xf>
    <xf numFmtId="4" fontId="43" fillId="110" borderId="115" applyNumberFormat="0" applyProtection="0">
      <alignment horizontal="right" vertical="center"/>
    </xf>
    <xf numFmtId="4" fontId="43" fillId="110" borderId="115" applyNumberFormat="0" applyProtection="0">
      <alignment horizontal="right" vertical="center"/>
    </xf>
    <xf numFmtId="4" fontId="43" fillId="110" borderId="115" applyNumberFormat="0" applyProtection="0">
      <alignment horizontal="right" vertical="center"/>
    </xf>
    <xf numFmtId="4" fontId="43" fillId="110" borderId="115" applyNumberFormat="0" applyProtection="0">
      <alignment horizontal="right" vertical="center"/>
    </xf>
    <xf numFmtId="4" fontId="43" fillId="110" borderId="115" applyNumberFormat="0" applyProtection="0">
      <alignment horizontal="right" vertical="center"/>
    </xf>
    <xf numFmtId="4" fontId="43" fillId="110" borderId="115" applyNumberFormat="0" applyProtection="0">
      <alignment horizontal="right" vertical="center"/>
    </xf>
    <xf numFmtId="4" fontId="43" fillId="110" borderId="115" applyNumberFormat="0" applyProtection="0">
      <alignment horizontal="right" vertical="center"/>
    </xf>
    <xf numFmtId="4" fontId="43" fillId="110" borderId="115" applyNumberFormat="0" applyProtection="0">
      <alignment horizontal="right" vertical="center"/>
    </xf>
    <xf numFmtId="4" fontId="43" fillId="110" borderId="115" applyNumberFormat="0" applyProtection="0">
      <alignment horizontal="right" vertical="center"/>
    </xf>
    <xf numFmtId="4" fontId="43" fillId="110" borderId="115" applyNumberFormat="0" applyProtection="0">
      <alignment horizontal="right" vertical="center"/>
    </xf>
    <xf numFmtId="4" fontId="43" fillId="110" borderId="115" applyNumberFormat="0" applyProtection="0">
      <alignment horizontal="right" vertical="center"/>
    </xf>
    <xf numFmtId="4" fontId="43" fillId="110" borderId="115" applyNumberFormat="0" applyProtection="0">
      <alignment horizontal="right" vertical="center"/>
    </xf>
    <xf numFmtId="4" fontId="43" fillId="110" borderId="115" applyNumberFormat="0" applyProtection="0">
      <alignment horizontal="right" vertical="center"/>
    </xf>
    <xf numFmtId="4" fontId="43" fillId="110" borderId="115" applyNumberFormat="0" applyProtection="0">
      <alignment horizontal="right" vertical="center"/>
    </xf>
    <xf numFmtId="4" fontId="43" fillId="110" borderId="115" applyNumberFormat="0" applyProtection="0">
      <alignment horizontal="right" vertical="center"/>
    </xf>
    <xf numFmtId="4" fontId="43" fillId="110" borderId="115" applyNumberFormat="0" applyProtection="0">
      <alignment horizontal="right" vertical="center"/>
    </xf>
    <xf numFmtId="4" fontId="43" fillId="110" borderId="115" applyNumberFormat="0" applyProtection="0">
      <alignment horizontal="right" vertical="center"/>
    </xf>
    <xf numFmtId="4" fontId="43" fillId="110" borderId="115" applyNumberFormat="0" applyProtection="0">
      <alignment horizontal="right" vertical="center"/>
    </xf>
    <xf numFmtId="4" fontId="43" fillId="110" borderId="115" applyNumberFormat="0" applyProtection="0">
      <alignment horizontal="right" vertical="center"/>
    </xf>
    <xf numFmtId="4" fontId="43" fillId="110" borderId="115" applyNumberFormat="0" applyProtection="0">
      <alignment horizontal="right" vertical="center"/>
    </xf>
    <xf numFmtId="4" fontId="43" fillId="110" borderId="115" applyNumberFormat="0" applyProtection="0">
      <alignment horizontal="right" vertical="center"/>
    </xf>
    <xf numFmtId="4" fontId="105" fillId="111" borderId="115" applyNumberFormat="0" applyProtection="0">
      <alignment horizontal="left" vertical="center" indent="1"/>
    </xf>
    <xf numFmtId="4" fontId="105" fillId="111" borderId="115" applyNumberFormat="0" applyProtection="0">
      <alignment horizontal="left" vertical="center" indent="1"/>
    </xf>
    <xf numFmtId="4" fontId="105" fillId="111" borderId="115" applyNumberFormat="0" applyProtection="0">
      <alignment horizontal="left" vertical="center" indent="1"/>
    </xf>
    <xf numFmtId="4" fontId="105" fillId="111" borderId="115" applyNumberFormat="0" applyProtection="0">
      <alignment horizontal="left" vertical="center" indent="1"/>
    </xf>
    <xf numFmtId="4" fontId="105" fillId="111" borderId="115" applyNumberFormat="0" applyProtection="0">
      <alignment horizontal="left" vertical="center" indent="1"/>
    </xf>
    <xf numFmtId="4" fontId="105" fillId="111" borderId="115" applyNumberFormat="0" applyProtection="0">
      <alignment horizontal="left" vertical="center" indent="1"/>
    </xf>
    <xf numFmtId="4" fontId="105" fillId="111" borderId="115" applyNumberFormat="0" applyProtection="0">
      <alignment horizontal="left" vertical="center" indent="1"/>
    </xf>
    <xf numFmtId="4" fontId="105" fillId="111" borderId="115" applyNumberFormat="0" applyProtection="0">
      <alignment horizontal="left" vertical="center" indent="1"/>
    </xf>
    <xf numFmtId="4" fontId="105" fillId="111" borderId="115" applyNumberFormat="0" applyProtection="0">
      <alignment horizontal="left" vertical="center" indent="1"/>
    </xf>
    <xf numFmtId="4" fontId="105" fillId="111" borderId="115" applyNumberFormat="0" applyProtection="0">
      <alignment horizontal="left" vertical="center" indent="1"/>
    </xf>
    <xf numFmtId="4" fontId="105" fillId="111" borderId="115" applyNumberFormat="0" applyProtection="0">
      <alignment horizontal="left" vertical="center" indent="1"/>
    </xf>
    <xf numFmtId="4" fontId="105" fillId="111" borderId="115" applyNumberFormat="0" applyProtection="0">
      <alignment horizontal="left" vertical="center" indent="1"/>
    </xf>
    <xf numFmtId="4" fontId="105" fillId="111" borderId="115" applyNumberFormat="0" applyProtection="0">
      <alignment horizontal="left" vertical="center" indent="1"/>
    </xf>
    <xf numFmtId="4" fontId="105" fillId="111" borderId="115" applyNumberFormat="0" applyProtection="0">
      <alignment horizontal="left" vertical="center" indent="1"/>
    </xf>
    <xf numFmtId="4" fontId="105" fillId="111" borderId="115" applyNumberFormat="0" applyProtection="0">
      <alignment horizontal="left" vertical="center" indent="1"/>
    </xf>
    <xf numFmtId="4" fontId="105" fillId="111" borderId="115" applyNumberFormat="0" applyProtection="0">
      <alignment horizontal="left" vertical="center" indent="1"/>
    </xf>
    <xf numFmtId="4" fontId="105" fillId="111" borderId="115" applyNumberFormat="0" applyProtection="0">
      <alignment horizontal="left" vertical="center" indent="1"/>
    </xf>
    <xf numFmtId="4" fontId="105" fillId="111" borderId="115" applyNumberFormat="0" applyProtection="0">
      <alignment horizontal="left" vertical="center" indent="1"/>
    </xf>
    <xf numFmtId="4" fontId="105" fillId="111" borderId="115" applyNumberFormat="0" applyProtection="0">
      <alignment horizontal="left" vertical="center" indent="1"/>
    </xf>
    <xf numFmtId="4" fontId="105" fillId="111" borderId="115" applyNumberFormat="0" applyProtection="0">
      <alignment horizontal="left" vertical="center" indent="1"/>
    </xf>
    <xf numFmtId="4" fontId="105" fillId="111" borderId="115" applyNumberFormat="0" applyProtection="0">
      <alignment horizontal="left" vertical="center" indent="1"/>
    </xf>
    <xf numFmtId="4" fontId="105" fillId="111" borderId="115" applyNumberFormat="0" applyProtection="0">
      <alignment horizontal="left" vertical="center" indent="1"/>
    </xf>
    <xf numFmtId="4" fontId="43" fillId="112" borderId="119" applyNumberFormat="0" applyProtection="0">
      <alignment horizontal="left" vertical="center" indent="1"/>
    </xf>
    <xf numFmtId="4" fontId="43" fillId="112" borderId="119" applyNumberFormat="0" applyProtection="0">
      <alignment horizontal="left" vertical="center" indent="1"/>
    </xf>
    <xf numFmtId="4" fontId="43" fillId="112" borderId="119" applyNumberFormat="0" applyProtection="0">
      <alignment horizontal="left" vertical="center" indent="1"/>
    </xf>
    <xf numFmtId="4" fontId="43" fillId="112" borderId="119" applyNumberFormat="0" applyProtection="0">
      <alignment horizontal="left" vertical="center" indent="1"/>
    </xf>
    <xf numFmtId="4" fontId="43" fillId="112" borderId="119" applyNumberFormat="0" applyProtection="0">
      <alignment horizontal="left" vertical="center" indent="1"/>
    </xf>
    <xf numFmtId="4" fontId="43" fillId="112" borderId="119" applyNumberFormat="0" applyProtection="0">
      <alignment horizontal="left" vertical="center" indent="1"/>
    </xf>
    <xf numFmtId="4" fontId="43" fillId="112" borderId="119" applyNumberFormat="0" applyProtection="0">
      <alignment horizontal="left" vertical="center" indent="1"/>
    </xf>
    <xf numFmtId="4" fontId="43" fillId="112" borderId="119" applyNumberFormat="0" applyProtection="0">
      <alignment horizontal="left" vertical="center" indent="1"/>
    </xf>
    <xf numFmtId="4" fontId="43" fillId="112" borderId="119" applyNumberFormat="0" applyProtection="0">
      <alignment horizontal="left" vertical="center" indent="1"/>
    </xf>
    <xf numFmtId="4" fontId="43" fillId="112" borderId="119" applyNumberFormat="0" applyProtection="0">
      <alignment horizontal="left" vertical="center" indent="1"/>
    </xf>
    <xf numFmtId="4" fontId="43" fillId="112" borderId="119" applyNumberFormat="0" applyProtection="0">
      <alignment horizontal="left" vertical="center" indent="1"/>
    </xf>
    <xf numFmtId="4" fontId="17" fillId="36" borderId="118" applyNumberFormat="0" applyProtection="0">
      <alignment horizontal="right" vertical="center"/>
    </xf>
    <xf numFmtId="4" fontId="17" fillId="36" borderId="118" applyNumberFormat="0" applyProtection="0">
      <alignment horizontal="right" vertical="center"/>
    </xf>
    <xf numFmtId="4" fontId="17" fillId="36" borderId="118" applyNumberFormat="0" applyProtection="0">
      <alignment horizontal="right" vertical="center"/>
    </xf>
    <xf numFmtId="4" fontId="17" fillId="36" borderId="118" applyNumberFormat="0" applyProtection="0">
      <alignment horizontal="right" vertical="center"/>
    </xf>
    <xf numFmtId="4" fontId="17" fillId="36" borderId="118" applyNumberFormat="0" applyProtection="0">
      <alignment horizontal="right" vertical="center"/>
    </xf>
    <xf numFmtId="4" fontId="17" fillId="36" borderId="118" applyNumberFormat="0" applyProtection="0">
      <alignment horizontal="right" vertical="center"/>
    </xf>
    <xf numFmtId="4" fontId="17" fillId="36" borderId="118" applyNumberFormat="0" applyProtection="0">
      <alignment horizontal="right" vertical="center"/>
    </xf>
    <xf numFmtId="4" fontId="17" fillId="36" borderId="118" applyNumberFormat="0" applyProtection="0">
      <alignment horizontal="right" vertical="center"/>
    </xf>
    <xf numFmtId="4" fontId="17" fillId="36" borderId="118" applyNumberFormat="0" applyProtection="0">
      <alignment horizontal="right" vertical="center"/>
    </xf>
    <xf numFmtId="4" fontId="17" fillId="36" borderId="118" applyNumberFormat="0" applyProtection="0">
      <alignment horizontal="right" vertical="center"/>
    </xf>
    <xf numFmtId="4" fontId="17" fillId="36" borderId="118" applyNumberFormat="0" applyProtection="0">
      <alignment horizontal="right" vertical="center"/>
    </xf>
    <xf numFmtId="4" fontId="17" fillId="36" borderId="118" applyNumberFormat="0" applyProtection="0">
      <alignment horizontal="right" vertical="center"/>
    </xf>
    <xf numFmtId="4" fontId="17" fillId="36" borderId="118" applyNumberFormat="0" applyProtection="0">
      <alignment horizontal="right" vertical="center"/>
    </xf>
    <xf numFmtId="4" fontId="17" fillId="36" borderId="118" applyNumberFormat="0" applyProtection="0">
      <alignment horizontal="right" vertical="center"/>
    </xf>
    <xf numFmtId="0" fontId="38" fillId="113" borderId="115" applyNumberFormat="0" applyProtection="0">
      <alignment horizontal="left" vertical="center" indent="1"/>
    </xf>
    <xf numFmtId="0" fontId="38" fillId="113" borderId="115" applyNumberFormat="0" applyProtection="0">
      <alignment horizontal="left" vertical="center" indent="1"/>
    </xf>
    <xf numFmtId="0" fontId="38" fillId="113" borderId="115" applyNumberFormat="0" applyProtection="0">
      <alignment horizontal="left" vertical="center" indent="1"/>
    </xf>
    <xf numFmtId="0" fontId="38" fillId="113" borderId="115" applyNumberFormat="0" applyProtection="0">
      <alignment horizontal="left" vertical="center" indent="1"/>
    </xf>
    <xf numFmtId="0" fontId="38" fillId="113" borderId="115" applyNumberFormat="0" applyProtection="0">
      <alignment horizontal="left" vertical="center" indent="1"/>
    </xf>
    <xf numFmtId="0" fontId="38" fillId="113" borderId="115" applyNumberFormat="0" applyProtection="0">
      <alignment horizontal="left" vertical="center" indent="1"/>
    </xf>
    <xf numFmtId="0" fontId="38" fillId="113" borderId="115" applyNumberFormat="0" applyProtection="0">
      <alignment horizontal="left" vertical="center" indent="1"/>
    </xf>
    <xf numFmtId="0" fontId="38" fillId="113" borderId="115" applyNumberFormat="0" applyProtection="0">
      <alignment horizontal="left" vertical="center" indent="1"/>
    </xf>
    <xf numFmtId="0" fontId="38" fillId="113" borderId="115" applyNumberFormat="0" applyProtection="0">
      <alignment horizontal="left" vertical="center" indent="1"/>
    </xf>
    <xf numFmtId="0" fontId="38" fillId="113" borderId="115" applyNumberFormat="0" applyProtection="0">
      <alignment horizontal="left" vertical="center" indent="1"/>
    </xf>
    <xf numFmtId="0" fontId="38" fillId="113" borderId="115" applyNumberFormat="0" applyProtection="0">
      <alignment horizontal="left" vertical="center" indent="1"/>
    </xf>
    <xf numFmtId="0" fontId="38" fillId="113" borderId="115" applyNumberFormat="0" applyProtection="0">
      <alignment horizontal="left" vertical="center" indent="1"/>
    </xf>
    <xf numFmtId="0" fontId="38" fillId="113" borderId="115" applyNumberFormat="0" applyProtection="0">
      <alignment horizontal="left" vertical="center" indent="1"/>
    </xf>
    <xf numFmtId="0" fontId="38" fillId="113" borderId="115" applyNumberFormat="0" applyProtection="0">
      <alignment horizontal="left" vertical="center" indent="1"/>
    </xf>
    <xf numFmtId="0" fontId="38" fillId="113" borderId="115" applyNumberFormat="0" applyProtection="0">
      <alignment horizontal="left" vertical="center" indent="1"/>
    </xf>
    <xf numFmtId="0" fontId="38" fillId="113" borderId="115" applyNumberFormat="0" applyProtection="0">
      <alignment horizontal="left" vertical="center" indent="1"/>
    </xf>
    <xf numFmtId="0" fontId="38" fillId="113" borderId="115" applyNumberFormat="0" applyProtection="0">
      <alignment horizontal="left" vertical="center" indent="1"/>
    </xf>
    <xf numFmtId="0" fontId="38" fillId="113" borderId="115" applyNumberFormat="0" applyProtection="0">
      <alignment horizontal="left" vertical="center" indent="1"/>
    </xf>
    <xf numFmtId="0" fontId="38" fillId="113" borderId="115" applyNumberFormat="0" applyProtection="0">
      <alignment horizontal="left" vertical="center" indent="1"/>
    </xf>
    <xf numFmtId="0" fontId="38" fillId="113" borderId="115" applyNumberFormat="0" applyProtection="0">
      <alignment horizontal="left" vertical="center" indent="1"/>
    </xf>
    <xf numFmtId="0" fontId="38" fillId="113" borderId="115" applyNumberFormat="0" applyProtection="0">
      <alignment horizontal="left" vertical="center" indent="1"/>
    </xf>
    <xf numFmtId="0" fontId="38" fillId="114" borderId="115" applyNumberFormat="0" applyProtection="0">
      <alignment horizontal="left" vertical="center" indent="1"/>
    </xf>
    <xf numFmtId="0" fontId="38" fillId="114" borderId="115" applyNumberFormat="0" applyProtection="0">
      <alignment horizontal="left" vertical="center" indent="1"/>
    </xf>
    <xf numFmtId="0" fontId="38" fillId="114" borderId="115" applyNumberFormat="0" applyProtection="0">
      <alignment horizontal="left" vertical="center" indent="1"/>
    </xf>
    <xf numFmtId="0" fontId="38" fillId="114" borderId="115" applyNumberFormat="0" applyProtection="0">
      <alignment horizontal="left" vertical="center" indent="1"/>
    </xf>
    <xf numFmtId="0" fontId="38" fillId="114" borderId="115" applyNumberFormat="0" applyProtection="0">
      <alignment horizontal="left" vertical="center" indent="1"/>
    </xf>
    <xf numFmtId="0" fontId="38" fillId="114" borderId="115" applyNumberFormat="0" applyProtection="0">
      <alignment horizontal="left" vertical="center" indent="1"/>
    </xf>
    <xf numFmtId="0" fontId="38" fillId="114" borderId="115" applyNumberFormat="0" applyProtection="0">
      <alignment horizontal="left" vertical="center" indent="1"/>
    </xf>
    <xf numFmtId="0" fontId="38" fillId="114" borderId="115" applyNumberFormat="0" applyProtection="0">
      <alignment horizontal="left" vertical="center" indent="1"/>
    </xf>
    <xf numFmtId="0" fontId="38" fillId="114" borderId="115" applyNumberFormat="0" applyProtection="0">
      <alignment horizontal="left" vertical="center" indent="1"/>
    </xf>
    <xf numFmtId="0" fontId="38" fillId="114" borderId="115" applyNumberFormat="0" applyProtection="0">
      <alignment horizontal="left" vertical="center" indent="1"/>
    </xf>
    <xf numFmtId="0" fontId="38" fillId="114" borderId="115" applyNumberFormat="0" applyProtection="0">
      <alignment horizontal="left" vertical="center" indent="1"/>
    </xf>
    <xf numFmtId="0" fontId="38" fillId="114" borderId="115" applyNumberFormat="0" applyProtection="0">
      <alignment horizontal="left" vertical="center" indent="1"/>
    </xf>
    <xf numFmtId="0" fontId="38" fillId="114" borderId="115" applyNumberFormat="0" applyProtection="0">
      <alignment horizontal="left" vertical="center" indent="1"/>
    </xf>
    <xf numFmtId="0" fontId="38" fillId="114" borderId="115" applyNumberFormat="0" applyProtection="0">
      <alignment horizontal="left" vertical="center" indent="1"/>
    </xf>
    <xf numFmtId="0" fontId="38" fillId="114" borderId="115" applyNumberFormat="0" applyProtection="0">
      <alignment horizontal="left" vertical="center" indent="1"/>
    </xf>
    <xf numFmtId="0" fontId="38" fillId="114" borderId="115" applyNumberFormat="0" applyProtection="0">
      <alignment horizontal="left" vertical="center" indent="1"/>
    </xf>
    <xf numFmtId="0" fontId="38" fillId="114" borderId="115" applyNumberFormat="0" applyProtection="0">
      <alignment horizontal="left" vertical="center" indent="1"/>
    </xf>
    <xf numFmtId="0" fontId="38" fillId="114" borderId="115" applyNumberFormat="0" applyProtection="0">
      <alignment horizontal="left" vertical="center" indent="1"/>
    </xf>
    <xf numFmtId="0" fontId="38" fillId="114" borderId="115" applyNumberFormat="0" applyProtection="0">
      <alignment horizontal="left" vertical="center" indent="1"/>
    </xf>
    <xf numFmtId="0" fontId="38" fillId="114" borderId="115" applyNumberFormat="0" applyProtection="0">
      <alignment horizontal="left" vertical="center" indent="1"/>
    </xf>
    <xf numFmtId="0" fontId="38" fillId="114" borderId="115" applyNumberFormat="0" applyProtection="0">
      <alignment horizontal="left" vertical="center" indent="1"/>
    </xf>
    <xf numFmtId="0" fontId="38" fillId="44" borderId="104" applyNumberFormat="0">
      <protection locked="0"/>
    </xf>
    <xf numFmtId="0" fontId="38" fillId="44" borderId="104" applyNumberFormat="0">
      <protection locked="0"/>
    </xf>
    <xf numFmtId="0" fontId="38" fillId="44" borderId="104" applyNumberFormat="0">
      <protection locked="0"/>
    </xf>
    <xf numFmtId="0" fontId="14" fillId="35" borderId="7" applyBorder="0"/>
    <xf numFmtId="0" fontId="14" fillId="35" borderId="7" applyBorder="0"/>
    <xf numFmtId="0" fontId="14" fillId="35" borderId="7" applyBorder="0"/>
    <xf numFmtId="0" fontId="14" fillId="35" borderId="7" applyBorder="0"/>
    <xf numFmtId="0" fontId="14" fillId="35" borderId="7" applyBorder="0"/>
    <xf numFmtId="0" fontId="14" fillId="35" borderId="7" applyBorder="0"/>
    <xf numFmtId="0" fontId="14" fillId="35" borderId="7" applyBorder="0"/>
    <xf numFmtId="0" fontId="14" fillId="35" borderId="7" applyBorder="0"/>
    <xf numFmtId="0" fontId="14" fillId="35" borderId="7" applyBorder="0"/>
    <xf numFmtId="0" fontId="14" fillId="35" borderId="7" applyBorder="0"/>
    <xf numFmtId="0" fontId="14" fillId="35" borderId="7" applyBorder="0"/>
    <xf numFmtId="0" fontId="14" fillId="35" borderId="7" applyBorder="0"/>
    <xf numFmtId="0" fontId="14" fillId="35" borderId="7" applyBorder="0"/>
    <xf numFmtId="0" fontId="14" fillId="35" borderId="7" applyBorder="0"/>
    <xf numFmtId="4" fontId="43" fillId="46" borderId="9" applyNumberFormat="0" applyProtection="0">
      <alignment vertical="center"/>
    </xf>
    <xf numFmtId="4" fontId="43" fillId="46" borderId="9" applyNumberFormat="0" applyProtection="0">
      <alignment vertical="center"/>
    </xf>
    <xf numFmtId="4" fontId="43" fillId="46" borderId="9" applyNumberFormat="0" applyProtection="0">
      <alignment vertical="center"/>
    </xf>
    <xf numFmtId="4" fontId="43" fillId="46" borderId="9" applyNumberFormat="0" applyProtection="0">
      <alignment vertical="center"/>
    </xf>
    <xf numFmtId="4" fontId="43" fillId="46" borderId="9" applyNumberFormat="0" applyProtection="0">
      <alignment vertical="center"/>
    </xf>
    <xf numFmtId="4" fontId="43" fillId="46" borderId="9" applyNumberFormat="0" applyProtection="0">
      <alignment vertical="center"/>
    </xf>
    <xf numFmtId="4" fontId="43" fillId="46" borderId="9" applyNumberFormat="0" applyProtection="0">
      <alignment vertical="center"/>
    </xf>
    <xf numFmtId="4" fontId="43" fillId="46" borderId="9" applyNumberFormat="0" applyProtection="0">
      <alignment vertical="center"/>
    </xf>
    <xf numFmtId="4" fontId="43" fillId="46" borderId="9" applyNumberFormat="0" applyProtection="0">
      <alignment vertical="center"/>
    </xf>
    <xf numFmtId="4" fontId="43" fillId="46" borderId="9" applyNumberFormat="0" applyProtection="0">
      <alignment vertical="center"/>
    </xf>
    <xf numFmtId="4" fontId="43" fillId="46" borderId="9" applyNumberFormat="0" applyProtection="0">
      <alignment vertical="center"/>
    </xf>
    <xf numFmtId="4" fontId="43" fillId="46" borderId="9" applyNumberFormat="0" applyProtection="0">
      <alignment vertical="center"/>
    </xf>
    <xf numFmtId="4" fontId="43" fillId="46" borderId="9" applyNumberFormat="0" applyProtection="0">
      <alignment vertical="center"/>
    </xf>
    <xf numFmtId="4" fontId="43" fillId="46" borderId="9" applyNumberFormat="0" applyProtection="0">
      <alignment vertical="center"/>
    </xf>
    <xf numFmtId="4" fontId="43" fillId="46" borderId="9" applyNumberFormat="0" applyProtection="0">
      <alignment vertical="center"/>
    </xf>
    <xf numFmtId="4" fontId="43" fillId="46" borderId="9" applyNumberFormat="0" applyProtection="0">
      <alignment vertical="center"/>
    </xf>
    <xf numFmtId="4" fontId="43" fillId="46" borderId="9" applyNumberFormat="0" applyProtection="0">
      <alignment vertical="center"/>
    </xf>
    <xf numFmtId="4" fontId="43" fillId="46" borderId="9" applyNumberFormat="0" applyProtection="0">
      <alignment vertical="center"/>
    </xf>
    <xf numFmtId="4" fontId="43" fillId="46" borderId="9" applyNumberFormat="0" applyProtection="0">
      <alignment vertical="center"/>
    </xf>
    <xf numFmtId="4" fontId="43" fillId="46" borderId="9" applyNumberFormat="0" applyProtection="0">
      <alignment vertical="center"/>
    </xf>
    <xf numFmtId="4" fontId="43" fillId="46" borderId="9" applyNumberFormat="0" applyProtection="0">
      <alignment vertical="center"/>
    </xf>
    <xf numFmtId="4" fontId="43" fillId="46" borderId="9" applyNumberFormat="0" applyProtection="0">
      <alignment vertical="center"/>
    </xf>
    <xf numFmtId="4" fontId="43" fillId="46" borderId="9" applyNumberFormat="0" applyProtection="0">
      <alignment vertical="center"/>
    </xf>
    <xf numFmtId="4" fontId="43" fillId="46" borderId="9" applyNumberFormat="0" applyProtection="0">
      <alignment vertical="center"/>
    </xf>
    <xf numFmtId="4" fontId="43" fillId="46" borderId="9" applyNumberFormat="0" applyProtection="0">
      <alignment vertical="center"/>
    </xf>
    <xf numFmtId="4" fontId="43" fillId="46" borderId="9" applyNumberFormat="0" applyProtection="0">
      <alignment vertical="center"/>
    </xf>
    <xf numFmtId="4" fontId="180" fillId="46" borderId="9" applyNumberFormat="0" applyProtection="0">
      <alignment vertical="center"/>
    </xf>
    <xf numFmtId="4" fontId="180" fillId="46" borderId="9" applyNumberFormat="0" applyProtection="0">
      <alignment vertical="center"/>
    </xf>
    <xf numFmtId="4" fontId="180" fillId="46" borderId="9" applyNumberFormat="0" applyProtection="0">
      <alignment vertical="center"/>
    </xf>
    <xf numFmtId="4" fontId="180" fillId="46" borderId="9" applyNumberFormat="0" applyProtection="0">
      <alignment vertical="center"/>
    </xf>
    <xf numFmtId="4" fontId="180" fillId="46" borderId="9" applyNumberFormat="0" applyProtection="0">
      <alignment vertical="center"/>
    </xf>
    <xf numFmtId="4" fontId="180" fillId="46" borderId="9" applyNumberFormat="0" applyProtection="0">
      <alignment vertical="center"/>
    </xf>
    <xf numFmtId="4" fontId="180" fillId="46" borderId="9" applyNumberFormat="0" applyProtection="0">
      <alignment vertical="center"/>
    </xf>
    <xf numFmtId="4" fontId="180" fillId="46" borderId="9" applyNumberFormat="0" applyProtection="0">
      <alignment vertical="center"/>
    </xf>
    <xf numFmtId="4" fontId="180" fillId="46" borderId="9" applyNumberFormat="0" applyProtection="0">
      <alignment vertical="center"/>
    </xf>
    <xf numFmtId="4" fontId="180" fillId="46" borderId="9" applyNumberFormat="0" applyProtection="0">
      <alignment vertical="center"/>
    </xf>
    <xf numFmtId="4" fontId="180" fillId="46" borderId="9" applyNumberFormat="0" applyProtection="0">
      <alignment vertical="center"/>
    </xf>
    <xf numFmtId="4" fontId="180" fillId="46" borderId="9" applyNumberFormat="0" applyProtection="0">
      <alignment vertical="center"/>
    </xf>
    <xf numFmtId="4" fontId="180" fillId="46" borderId="9" applyNumberFormat="0" applyProtection="0">
      <alignment vertical="center"/>
    </xf>
    <xf numFmtId="4" fontId="180" fillId="46" borderId="9" applyNumberFormat="0" applyProtection="0">
      <alignment vertical="center"/>
    </xf>
    <xf numFmtId="4" fontId="180" fillId="46" borderId="9" applyNumberFormat="0" applyProtection="0">
      <alignment vertical="center"/>
    </xf>
    <xf numFmtId="4" fontId="180" fillId="46" borderId="9" applyNumberFormat="0" applyProtection="0">
      <alignment vertical="center"/>
    </xf>
    <xf numFmtId="4" fontId="180" fillId="46" borderId="9" applyNumberFormat="0" applyProtection="0">
      <alignment vertical="center"/>
    </xf>
    <xf numFmtId="4" fontId="180" fillId="46" borderId="9" applyNumberFormat="0" applyProtection="0">
      <alignment vertical="center"/>
    </xf>
    <xf numFmtId="4" fontId="180" fillId="46" borderId="9" applyNumberFormat="0" applyProtection="0">
      <alignment vertical="center"/>
    </xf>
    <xf numFmtId="4" fontId="180" fillId="46" borderId="9" applyNumberFormat="0" applyProtection="0">
      <alignment vertical="center"/>
    </xf>
    <xf numFmtId="4" fontId="180" fillId="46" borderId="9" applyNumberFormat="0" applyProtection="0">
      <alignment vertical="center"/>
    </xf>
    <xf numFmtId="4" fontId="180" fillId="46" borderId="9" applyNumberFormat="0" applyProtection="0">
      <alignment vertical="center"/>
    </xf>
    <xf numFmtId="4" fontId="180" fillId="46" borderId="9" applyNumberFormat="0" applyProtection="0">
      <alignment vertical="center"/>
    </xf>
    <xf numFmtId="4" fontId="180" fillId="46" borderId="9" applyNumberFormat="0" applyProtection="0">
      <alignment vertical="center"/>
    </xf>
    <xf numFmtId="4" fontId="180" fillId="46" borderId="9" applyNumberFormat="0" applyProtection="0">
      <alignment vertical="center"/>
    </xf>
    <xf numFmtId="4" fontId="180" fillId="46" borderId="9" applyNumberFormat="0" applyProtection="0">
      <alignment vertical="center"/>
    </xf>
    <xf numFmtId="4" fontId="43" fillId="46" borderId="9" applyNumberFormat="0" applyProtection="0">
      <alignment horizontal="left" vertical="center" indent="1"/>
    </xf>
    <xf numFmtId="4" fontId="43" fillId="46" borderId="9" applyNumberFormat="0" applyProtection="0">
      <alignment horizontal="left" vertical="center" indent="1"/>
    </xf>
    <xf numFmtId="4" fontId="43" fillId="46" borderId="9" applyNumberFormat="0" applyProtection="0">
      <alignment horizontal="left" vertical="center" indent="1"/>
    </xf>
    <xf numFmtId="4" fontId="43" fillId="46" borderId="9" applyNumberFormat="0" applyProtection="0">
      <alignment horizontal="left" vertical="center" indent="1"/>
    </xf>
    <xf numFmtId="4" fontId="43" fillId="46" borderId="9" applyNumberFormat="0" applyProtection="0">
      <alignment horizontal="left" vertical="center" indent="1"/>
    </xf>
    <xf numFmtId="4" fontId="43" fillId="46" borderId="9" applyNumberFormat="0" applyProtection="0">
      <alignment horizontal="left" vertical="center" indent="1"/>
    </xf>
    <xf numFmtId="4" fontId="43" fillId="46" borderId="9" applyNumberFormat="0" applyProtection="0">
      <alignment horizontal="left" vertical="center" indent="1"/>
    </xf>
    <xf numFmtId="4" fontId="43" fillId="46" borderId="9" applyNumberFormat="0" applyProtection="0">
      <alignment horizontal="left" vertical="center" indent="1"/>
    </xf>
    <xf numFmtId="4" fontId="43" fillId="46" borderId="9" applyNumberFormat="0" applyProtection="0">
      <alignment horizontal="left" vertical="center" indent="1"/>
    </xf>
    <xf numFmtId="4" fontId="43" fillId="46" borderId="9" applyNumberFormat="0" applyProtection="0">
      <alignment horizontal="left" vertical="center" indent="1"/>
    </xf>
    <xf numFmtId="4" fontId="43" fillId="46" borderId="9" applyNumberFormat="0" applyProtection="0">
      <alignment horizontal="left" vertical="center" indent="1"/>
    </xf>
    <xf numFmtId="4" fontId="43" fillId="46" borderId="9" applyNumberFormat="0" applyProtection="0">
      <alignment horizontal="left" vertical="center" indent="1"/>
    </xf>
    <xf numFmtId="4" fontId="43" fillId="46" borderId="9" applyNumberFormat="0" applyProtection="0">
      <alignment horizontal="left" vertical="center" indent="1"/>
    </xf>
    <xf numFmtId="4" fontId="43" fillId="46" borderId="9" applyNumberFormat="0" applyProtection="0">
      <alignment horizontal="left" vertical="center" indent="1"/>
    </xf>
    <xf numFmtId="4" fontId="43" fillId="46" borderId="9" applyNumberFormat="0" applyProtection="0">
      <alignment horizontal="left" vertical="center" indent="1"/>
    </xf>
    <xf numFmtId="4" fontId="43" fillId="46" borderId="9" applyNumberFormat="0" applyProtection="0">
      <alignment horizontal="left" vertical="center" indent="1"/>
    </xf>
    <xf numFmtId="4" fontId="43" fillId="46" borderId="9" applyNumberFormat="0" applyProtection="0">
      <alignment horizontal="left" vertical="center" indent="1"/>
    </xf>
    <xf numFmtId="4" fontId="43" fillId="46" borderId="9" applyNumberFormat="0" applyProtection="0">
      <alignment horizontal="left" vertical="center" indent="1"/>
    </xf>
    <xf numFmtId="4" fontId="43" fillId="46" borderId="9" applyNumberFormat="0" applyProtection="0">
      <alignment horizontal="left" vertical="center" indent="1"/>
    </xf>
    <xf numFmtId="4" fontId="43" fillId="46" borderId="9" applyNumberFormat="0" applyProtection="0">
      <alignment horizontal="left" vertical="center" indent="1"/>
    </xf>
    <xf numFmtId="4" fontId="43" fillId="46" borderId="9" applyNumberFormat="0" applyProtection="0">
      <alignment horizontal="left" vertical="center" indent="1"/>
    </xf>
    <xf numFmtId="4" fontId="43" fillId="46" borderId="9" applyNumberFormat="0" applyProtection="0">
      <alignment horizontal="left" vertical="center" indent="1"/>
    </xf>
    <xf numFmtId="4" fontId="43" fillId="46" borderId="9" applyNumberFormat="0" applyProtection="0">
      <alignment horizontal="left" vertical="center" indent="1"/>
    </xf>
    <xf numFmtId="4" fontId="43" fillId="46" borderId="9" applyNumberFormat="0" applyProtection="0">
      <alignment horizontal="left" vertical="center" indent="1"/>
    </xf>
    <xf numFmtId="4" fontId="43" fillId="46" borderId="9" applyNumberFormat="0" applyProtection="0">
      <alignment horizontal="left" vertical="center" indent="1"/>
    </xf>
    <xf numFmtId="4" fontId="43" fillId="46" borderId="9" applyNumberFormat="0" applyProtection="0">
      <alignment horizontal="left" vertical="center" indent="1"/>
    </xf>
    <xf numFmtId="4" fontId="43" fillId="46" borderId="9" applyNumberFormat="0" applyProtection="0">
      <alignment horizontal="left" vertical="center" indent="1"/>
    </xf>
    <xf numFmtId="4" fontId="43" fillId="46" borderId="9" applyNumberFormat="0" applyProtection="0">
      <alignment horizontal="left" vertical="center" indent="1"/>
    </xf>
    <xf numFmtId="4" fontId="43" fillId="46" borderId="9" applyNumberFormat="0" applyProtection="0">
      <alignment horizontal="left" vertical="center" indent="1"/>
    </xf>
    <xf numFmtId="4" fontId="43" fillId="46" borderId="9" applyNumberFormat="0" applyProtection="0">
      <alignment horizontal="left" vertical="center" indent="1"/>
    </xf>
    <xf numFmtId="4" fontId="43" fillId="46" borderId="9" applyNumberFormat="0" applyProtection="0">
      <alignment horizontal="left" vertical="center" indent="1"/>
    </xf>
    <xf numFmtId="4" fontId="43" fillId="46" borderId="9" applyNumberFormat="0" applyProtection="0">
      <alignment horizontal="left" vertical="center" indent="1"/>
    </xf>
    <xf numFmtId="4" fontId="43" fillId="46" borderId="9" applyNumberFormat="0" applyProtection="0">
      <alignment horizontal="left" vertical="center" indent="1"/>
    </xf>
    <xf numFmtId="4" fontId="43" fillId="46" borderId="9" applyNumberFormat="0" applyProtection="0">
      <alignment horizontal="left" vertical="center" indent="1"/>
    </xf>
    <xf numFmtId="4" fontId="43" fillId="46" borderId="9" applyNumberFormat="0" applyProtection="0">
      <alignment horizontal="left" vertical="center" indent="1"/>
    </xf>
    <xf numFmtId="4" fontId="43" fillId="46" borderId="9" applyNumberFormat="0" applyProtection="0">
      <alignment horizontal="left" vertical="center" indent="1"/>
    </xf>
    <xf numFmtId="4" fontId="43" fillId="46" borderId="9" applyNumberFormat="0" applyProtection="0">
      <alignment horizontal="left" vertical="center" indent="1"/>
    </xf>
    <xf numFmtId="4" fontId="43" fillId="46" borderId="9" applyNumberFormat="0" applyProtection="0">
      <alignment horizontal="left" vertical="center" indent="1"/>
    </xf>
    <xf numFmtId="4" fontId="43" fillId="46" borderId="9" applyNumberFormat="0" applyProtection="0">
      <alignment horizontal="left" vertical="center" indent="1"/>
    </xf>
    <xf numFmtId="4" fontId="43" fillId="46" borderId="9" applyNumberFormat="0" applyProtection="0">
      <alignment horizontal="left" vertical="center" indent="1"/>
    </xf>
    <xf numFmtId="4" fontId="43" fillId="46" borderId="9" applyNumberFormat="0" applyProtection="0">
      <alignment horizontal="left" vertical="center" indent="1"/>
    </xf>
    <xf numFmtId="4" fontId="43" fillId="46" borderId="9" applyNumberFormat="0" applyProtection="0">
      <alignment horizontal="left" vertical="center" indent="1"/>
    </xf>
    <xf numFmtId="4" fontId="43" fillId="46" borderId="9" applyNumberFormat="0" applyProtection="0">
      <alignment horizontal="left" vertical="center" indent="1"/>
    </xf>
    <xf numFmtId="4" fontId="43" fillId="46" borderId="9" applyNumberFormat="0" applyProtection="0">
      <alignment horizontal="left" vertical="center" indent="1"/>
    </xf>
    <xf numFmtId="4" fontId="43" fillId="46" borderId="9" applyNumberFormat="0" applyProtection="0">
      <alignment horizontal="left" vertical="center" indent="1"/>
    </xf>
    <xf numFmtId="4" fontId="43" fillId="46" borderId="9" applyNumberFormat="0" applyProtection="0">
      <alignment horizontal="left" vertical="center" indent="1"/>
    </xf>
    <xf numFmtId="4" fontId="43" fillId="46" borderId="9" applyNumberFormat="0" applyProtection="0">
      <alignment horizontal="left" vertical="center" indent="1"/>
    </xf>
    <xf numFmtId="4" fontId="43" fillId="46" borderId="9" applyNumberFormat="0" applyProtection="0">
      <alignment horizontal="left" vertical="center" indent="1"/>
    </xf>
    <xf numFmtId="4" fontId="43" fillId="46" borderId="9" applyNumberFormat="0" applyProtection="0">
      <alignment horizontal="left" vertical="center" indent="1"/>
    </xf>
    <xf numFmtId="4" fontId="43" fillId="46" borderId="9" applyNumberFormat="0" applyProtection="0">
      <alignment horizontal="left" vertical="center" indent="1"/>
    </xf>
    <xf numFmtId="4" fontId="43" fillId="46" borderId="9" applyNumberFormat="0" applyProtection="0">
      <alignment horizontal="left" vertical="center" indent="1"/>
    </xf>
    <xf numFmtId="4" fontId="43" fillId="46" borderId="9" applyNumberFormat="0" applyProtection="0">
      <alignment horizontal="left" vertical="center" indent="1"/>
    </xf>
    <xf numFmtId="4" fontId="17" fillId="0" borderId="3" applyNumberFormat="0" applyProtection="0">
      <alignment horizontal="right" vertical="center"/>
    </xf>
    <xf numFmtId="4" fontId="17" fillId="0" borderId="3" applyNumberFormat="0" applyProtection="0">
      <alignment horizontal="right" vertical="center"/>
    </xf>
    <xf numFmtId="4" fontId="17" fillId="0" borderId="3" applyNumberFormat="0" applyProtection="0">
      <alignment horizontal="right" vertical="center"/>
    </xf>
    <xf numFmtId="4" fontId="17" fillId="0" borderId="3" applyNumberFormat="0" applyProtection="0">
      <alignment horizontal="right" vertical="center"/>
    </xf>
    <xf numFmtId="4" fontId="17" fillId="0" borderId="3" applyNumberFormat="0" applyProtection="0">
      <alignment horizontal="right" vertical="center"/>
    </xf>
    <xf numFmtId="4" fontId="17" fillId="0" borderId="3" applyNumberFormat="0" applyProtection="0">
      <alignment horizontal="right" vertical="center"/>
    </xf>
    <xf numFmtId="4" fontId="17" fillId="0" borderId="3" applyNumberFormat="0" applyProtection="0">
      <alignment horizontal="right" vertical="center"/>
    </xf>
    <xf numFmtId="4" fontId="17" fillId="0" borderId="3" applyNumberFormat="0" applyProtection="0">
      <alignment horizontal="right" vertical="center"/>
    </xf>
    <xf numFmtId="4" fontId="17" fillId="0" borderId="3" applyNumberFormat="0" applyProtection="0">
      <alignment horizontal="right" vertical="center"/>
    </xf>
    <xf numFmtId="4" fontId="17" fillId="0" borderId="3" applyNumberFormat="0" applyProtection="0">
      <alignment horizontal="right" vertical="center"/>
    </xf>
    <xf numFmtId="4" fontId="17" fillId="0" borderId="3" applyNumberFormat="0" applyProtection="0">
      <alignment horizontal="right" vertical="center"/>
    </xf>
    <xf numFmtId="4" fontId="17" fillId="0" borderId="3" applyNumberFormat="0" applyProtection="0">
      <alignment horizontal="right" vertical="center"/>
    </xf>
    <xf numFmtId="4" fontId="17" fillId="0" borderId="3" applyNumberFormat="0" applyProtection="0">
      <alignment horizontal="right" vertical="center"/>
    </xf>
    <xf numFmtId="4" fontId="17" fillId="0" borderId="3" applyNumberFormat="0" applyProtection="0">
      <alignment horizontal="right" vertical="center"/>
    </xf>
    <xf numFmtId="3" fontId="181" fillId="0" borderId="9" applyProtection="0">
      <alignment horizontal="center" vertical="center"/>
    </xf>
    <xf numFmtId="3" fontId="181" fillId="0" borderId="9" applyProtection="0">
      <alignment horizontal="center" vertical="center"/>
    </xf>
    <xf numFmtId="4" fontId="43" fillId="112" borderId="9" applyNumberFormat="0" applyProtection="0">
      <alignment horizontal="right" vertical="center"/>
    </xf>
    <xf numFmtId="4" fontId="43" fillId="112" borderId="9" applyNumberFormat="0" applyProtection="0">
      <alignment horizontal="right" vertical="center"/>
    </xf>
    <xf numFmtId="4" fontId="43" fillId="112" borderId="9" applyNumberFormat="0" applyProtection="0">
      <alignment horizontal="right" vertical="center"/>
    </xf>
    <xf numFmtId="4" fontId="43" fillId="112" borderId="9" applyNumberFormat="0" applyProtection="0">
      <alignment horizontal="right" vertical="center"/>
    </xf>
    <xf numFmtId="4" fontId="43" fillId="112" borderId="9" applyNumberFormat="0" applyProtection="0">
      <alignment horizontal="right" vertical="center"/>
    </xf>
    <xf numFmtId="4" fontId="43" fillId="112" borderId="9" applyNumberFormat="0" applyProtection="0">
      <alignment horizontal="right" vertical="center"/>
    </xf>
    <xf numFmtId="4" fontId="43" fillId="112" borderId="9" applyNumberFormat="0" applyProtection="0">
      <alignment horizontal="right" vertical="center"/>
    </xf>
    <xf numFmtId="4" fontId="43" fillId="112" borderId="9" applyNumberFormat="0" applyProtection="0">
      <alignment horizontal="right" vertical="center"/>
    </xf>
    <xf numFmtId="4" fontId="43" fillId="112" borderId="9" applyNumberFormat="0" applyProtection="0">
      <alignment horizontal="right" vertical="center"/>
    </xf>
    <xf numFmtId="4" fontId="43" fillId="112" borderId="9" applyNumberFormat="0" applyProtection="0">
      <alignment horizontal="right" vertical="center"/>
    </xf>
    <xf numFmtId="4" fontId="43" fillId="112" borderId="9" applyNumberFormat="0" applyProtection="0">
      <alignment horizontal="right" vertical="center"/>
    </xf>
    <xf numFmtId="4" fontId="43" fillId="112" borderId="9" applyNumberFormat="0" applyProtection="0">
      <alignment horizontal="right" vertical="center"/>
    </xf>
    <xf numFmtId="4" fontId="43" fillId="112" borderId="9" applyNumberFormat="0" applyProtection="0">
      <alignment horizontal="right" vertical="center"/>
    </xf>
    <xf numFmtId="4" fontId="43" fillId="112" borderId="9" applyNumberFormat="0" applyProtection="0">
      <alignment horizontal="right" vertical="center"/>
    </xf>
    <xf numFmtId="4" fontId="180" fillId="112" borderId="9" applyNumberFormat="0" applyProtection="0">
      <alignment horizontal="right" vertical="center"/>
    </xf>
    <xf numFmtId="4" fontId="180" fillId="112" borderId="9" applyNumberFormat="0" applyProtection="0">
      <alignment horizontal="right" vertical="center"/>
    </xf>
    <xf numFmtId="4" fontId="180" fillId="112" borderId="9" applyNumberFormat="0" applyProtection="0">
      <alignment horizontal="right" vertical="center"/>
    </xf>
    <xf numFmtId="4" fontId="180" fillId="112" borderId="9" applyNumberFormat="0" applyProtection="0">
      <alignment horizontal="right" vertical="center"/>
    </xf>
    <xf numFmtId="4" fontId="180" fillId="112" borderId="9" applyNumberFormat="0" applyProtection="0">
      <alignment horizontal="right" vertical="center"/>
    </xf>
    <xf numFmtId="4" fontId="180" fillId="112" borderId="9" applyNumberFormat="0" applyProtection="0">
      <alignment horizontal="right" vertical="center"/>
    </xf>
    <xf numFmtId="4" fontId="180" fillId="112" borderId="9" applyNumberFormat="0" applyProtection="0">
      <alignment horizontal="right" vertical="center"/>
    </xf>
    <xf numFmtId="4" fontId="180" fillId="112" borderId="9" applyNumberFormat="0" applyProtection="0">
      <alignment horizontal="right" vertical="center"/>
    </xf>
    <xf numFmtId="4" fontId="180" fillId="112" borderId="9" applyNumberFormat="0" applyProtection="0">
      <alignment horizontal="right" vertical="center"/>
    </xf>
    <xf numFmtId="4" fontId="180" fillId="112" borderId="9" applyNumberFormat="0" applyProtection="0">
      <alignment horizontal="right" vertical="center"/>
    </xf>
    <xf numFmtId="4" fontId="180" fillId="112" borderId="9" applyNumberFormat="0" applyProtection="0">
      <alignment horizontal="right" vertical="center"/>
    </xf>
    <xf numFmtId="4" fontId="180" fillId="112" borderId="9" applyNumberFormat="0" applyProtection="0">
      <alignment horizontal="right" vertical="center"/>
    </xf>
    <xf numFmtId="4" fontId="180" fillId="112" borderId="9" applyNumberFormat="0" applyProtection="0">
      <alignment horizontal="right" vertical="center"/>
    </xf>
    <xf numFmtId="4" fontId="180" fillId="112" borderId="9" applyNumberFormat="0" applyProtection="0">
      <alignment horizontal="right" vertical="center"/>
    </xf>
    <xf numFmtId="4" fontId="180" fillId="112" borderId="9" applyNumberFormat="0" applyProtection="0">
      <alignment horizontal="right" vertical="center"/>
    </xf>
    <xf numFmtId="4" fontId="180" fillId="112" borderId="9" applyNumberFormat="0" applyProtection="0">
      <alignment horizontal="right" vertical="center"/>
    </xf>
    <xf numFmtId="4" fontId="180" fillId="112" borderId="9" applyNumberFormat="0" applyProtection="0">
      <alignment horizontal="right" vertical="center"/>
    </xf>
    <xf numFmtId="4" fontId="180" fillId="112" borderId="9" applyNumberFormat="0" applyProtection="0">
      <alignment horizontal="right" vertical="center"/>
    </xf>
    <xf numFmtId="4" fontId="180" fillId="112" borderId="9" applyNumberFormat="0" applyProtection="0">
      <alignment horizontal="right" vertical="center"/>
    </xf>
    <xf numFmtId="4" fontId="180" fillId="112" borderId="9" applyNumberFormat="0" applyProtection="0">
      <alignment horizontal="right" vertical="center"/>
    </xf>
    <xf numFmtId="4" fontId="180" fillId="112" borderId="9" applyNumberFormat="0" applyProtection="0">
      <alignment horizontal="right" vertical="center"/>
    </xf>
    <xf numFmtId="4" fontId="180" fillId="112" borderId="9" applyNumberFormat="0" applyProtection="0">
      <alignment horizontal="right" vertical="center"/>
    </xf>
    <xf numFmtId="4" fontId="180" fillId="112" borderId="9" applyNumberFormat="0" applyProtection="0">
      <alignment horizontal="right" vertical="center"/>
    </xf>
    <xf numFmtId="4" fontId="180" fillId="112" borderId="9" applyNumberFormat="0" applyProtection="0">
      <alignment horizontal="right" vertical="center"/>
    </xf>
    <xf numFmtId="4" fontId="180" fillId="112" borderId="9" applyNumberFormat="0" applyProtection="0">
      <alignment horizontal="right" vertical="center"/>
    </xf>
    <xf numFmtId="4" fontId="180" fillId="112" borderId="9" applyNumberFormat="0" applyProtection="0">
      <alignment horizontal="right" vertical="center"/>
    </xf>
    <xf numFmtId="4" fontId="17" fillId="24" borderId="3" applyNumberFormat="0" applyProtection="0">
      <alignment horizontal="left" vertical="center" indent="1"/>
    </xf>
    <xf numFmtId="4" fontId="17" fillId="24" borderId="3" applyNumberFormat="0" applyProtection="0">
      <alignment horizontal="left" vertical="center" indent="1"/>
    </xf>
    <xf numFmtId="4" fontId="17" fillId="24" borderId="3" applyNumberFormat="0" applyProtection="0">
      <alignment horizontal="left" vertical="center" indent="1"/>
    </xf>
    <xf numFmtId="4" fontId="17" fillId="24" borderId="3" applyNumberFormat="0" applyProtection="0">
      <alignment horizontal="left" vertical="center" indent="1"/>
    </xf>
    <xf numFmtId="4" fontId="17" fillId="24" borderId="3" applyNumberFormat="0" applyProtection="0">
      <alignment horizontal="left" vertical="center" indent="1"/>
    </xf>
    <xf numFmtId="4" fontId="17" fillId="24" borderId="3" applyNumberFormat="0" applyProtection="0">
      <alignment horizontal="left" vertical="center" indent="1"/>
    </xf>
    <xf numFmtId="4" fontId="17" fillId="24" borderId="3" applyNumberFormat="0" applyProtection="0">
      <alignment horizontal="left" vertical="center" indent="1"/>
    </xf>
    <xf numFmtId="4" fontId="17" fillId="24" borderId="3" applyNumberFormat="0" applyProtection="0">
      <alignment horizontal="left" vertical="center" indent="1"/>
    </xf>
    <xf numFmtId="4" fontId="17" fillId="24" borderId="3" applyNumberFormat="0" applyProtection="0">
      <alignment horizontal="left" vertical="center" indent="1"/>
    </xf>
    <xf numFmtId="4" fontId="17" fillId="24" borderId="3" applyNumberFormat="0" applyProtection="0">
      <alignment horizontal="left" vertical="center" indent="1"/>
    </xf>
    <xf numFmtId="4" fontId="17" fillId="24" borderId="3" applyNumberFormat="0" applyProtection="0">
      <alignment horizontal="left" vertical="center" indent="1"/>
    </xf>
    <xf numFmtId="4" fontId="17" fillId="24" borderId="3" applyNumberFormat="0" applyProtection="0">
      <alignment horizontal="left" vertical="center" indent="1"/>
    </xf>
    <xf numFmtId="4" fontId="17" fillId="24" borderId="3" applyNumberFormat="0" applyProtection="0">
      <alignment horizontal="left" vertical="center" indent="1"/>
    </xf>
    <xf numFmtId="4" fontId="17" fillId="24" borderId="3" applyNumberFormat="0" applyProtection="0">
      <alignment horizontal="left" vertical="center" indent="1"/>
    </xf>
    <xf numFmtId="0" fontId="182" fillId="0" borderId="1"/>
    <xf numFmtId="4" fontId="175" fillId="112" borderId="9" applyNumberFormat="0" applyProtection="0">
      <alignment horizontal="right" vertical="center"/>
    </xf>
    <xf numFmtId="4" fontId="175" fillId="112" borderId="9" applyNumberFormat="0" applyProtection="0">
      <alignment horizontal="right" vertical="center"/>
    </xf>
    <xf numFmtId="4" fontId="175" fillId="112" borderId="9" applyNumberFormat="0" applyProtection="0">
      <alignment horizontal="right" vertical="center"/>
    </xf>
    <xf numFmtId="4" fontId="175" fillId="112" borderId="9" applyNumberFormat="0" applyProtection="0">
      <alignment horizontal="right" vertical="center"/>
    </xf>
    <xf numFmtId="4" fontId="175" fillId="112" borderId="9" applyNumberFormat="0" applyProtection="0">
      <alignment horizontal="right" vertical="center"/>
    </xf>
    <xf numFmtId="4" fontId="175" fillId="112" borderId="9" applyNumberFormat="0" applyProtection="0">
      <alignment horizontal="right" vertical="center"/>
    </xf>
    <xf numFmtId="4" fontId="175" fillId="112" borderId="9" applyNumberFormat="0" applyProtection="0">
      <alignment horizontal="right" vertical="center"/>
    </xf>
    <xf numFmtId="4" fontId="175" fillId="112" borderId="9" applyNumberFormat="0" applyProtection="0">
      <alignment horizontal="right" vertical="center"/>
    </xf>
    <xf numFmtId="4" fontId="175" fillId="112" borderId="9" applyNumberFormat="0" applyProtection="0">
      <alignment horizontal="right" vertical="center"/>
    </xf>
    <xf numFmtId="4" fontId="175" fillId="112" borderId="9" applyNumberFormat="0" applyProtection="0">
      <alignment horizontal="right" vertical="center"/>
    </xf>
    <xf numFmtId="4" fontId="175" fillId="112" borderId="9" applyNumberFormat="0" applyProtection="0">
      <alignment horizontal="right" vertical="center"/>
    </xf>
    <xf numFmtId="4" fontId="175" fillId="112" borderId="9" applyNumberFormat="0" applyProtection="0">
      <alignment horizontal="right" vertical="center"/>
    </xf>
    <xf numFmtId="4" fontId="175" fillId="112" borderId="9" applyNumberFormat="0" applyProtection="0">
      <alignment horizontal="right" vertical="center"/>
    </xf>
    <xf numFmtId="4" fontId="175" fillId="112" borderId="9" applyNumberFormat="0" applyProtection="0">
      <alignment horizontal="right" vertical="center"/>
    </xf>
    <xf numFmtId="4" fontId="175" fillId="112" borderId="9" applyNumberFormat="0" applyProtection="0">
      <alignment horizontal="right" vertical="center"/>
    </xf>
    <xf numFmtId="4" fontId="175" fillId="112" borderId="9" applyNumberFormat="0" applyProtection="0">
      <alignment horizontal="right" vertical="center"/>
    </xf>
    <xf numFmtId="4" fontId="175" fillId="112" borderId="9" applyNumberFormat="0" applyProtection="0">
      <alignment horizontal="right" vertical="center"/>
    </xf>
    <xf numFmtId="4" fontId="175" fillId="112" borderId="9" applyNumberFormat="0" applyProtection="0">
      <alignment horizontal="right" vertical="center"/>
    </xf>
    <xf numFmtId="4" fontId="175" fillId="112" borderId="9" applyNumberFormat="0" applyProtection="0">
      <alignment horizontal="right" vertical="center"/>
    </xf>
    <xf numFmtId="4" fontId="175" fillId="112" borderId="9" applyNumberFormat="0" applyProtection="0">
      <alignment horizontal="right" vertical="center"/>
    </xf>
    <xf numFmtId="4" fontId="175" fillId="112" borderId="9" applyNumberFormat="0" applyProtection="0">
      <alignment horizontal="right" vertical="center"/>
    </xf>
    <xf numFmtId="4" fontId="175" fillId="112" borderId="9" applyNumberFormat="0" applyProtection="0">
      <alignment horizontal="right" vertical="center"/>
    </xf>
    <xf numFmtId="4" fontId="175" fillId="112" borderId="9" applyNumberFormat="0" applyProtection="0">
      <alignment horizontal="right" vertical="center"/>
    </xf>
    <xf numFmtId="4" fontId="175" fillId="112" borderId="9" applyNumberFormat="0" applyProtection="0">
      <alignment horizontal="right" vertical="center"/>
    </xf>
    <xf numFmtId="4" fontId="175" fillId="112" borderId="9" applyNumberFormat="0" applyProtection="0">
      <alignment horizontal="right" vertical="center"/>
    </xf>
    <xf numFmtId="4" fontId="175" fillId="112" borderId="9" applyNumberFormat="0" applyProtection="0">
      <alignment horizontal="right" vertical="center"/>
    </xf>
    <xf numFmtId="175" fontId="183" fillId="0" borderId="120"/>
    <xf numFmtId="175" fontId="183" fillId="0" borderId="120"/>
    <xf numFmtId="175" fontId="184" fillId="0" borderId="120"/>
    <xf numFmtId="175" fontId="183" fillId="0" borderId="120"/>
    <xf numFmtId="175" fontId="184" fillId="0" borderId="120"/>
    <xf numFmtId="175" fontId="183" fillId="0" borderId="120"/>
    <xf numFmtId="175" fontId="184" fillId="0" borderId="120"/>
    <xf numFmtId="175" fontId="184" fillId="0" borderId="120"/>
    <xf numFmtId="175" fontId="111" fillId="0" borderId="0" applyFill="0" applyBorder="0" applyAlignment="0" applyProtection="0"/>
    <xf numFmtId="175" fontId="111" fillId="0" borderId="0" applyFill="0" applyBorder="0" applyAlignment="0" applyProtection="0"/>
    <xf numFmtId="175" fontId="111" fillId="0" borderId="0" applyFill="0" applyBorder="0" applyAlignment="0" applyProtection="0"/>
    <xf numFmtId="175" fontId="111" fillId="0" borderId="0" applyFill="0" applyBorder="0" applyAlignment="0" applyProtection="0"/>
    <xf numFmtId="175" fontId="94" fillId="0" borderId="0" applyNumberFormat="0" applyFill="0" applyBorder="0" applyAlignment="0" applyProtection="0">
      <alignment horizontal="center"/>
    </xf>
    <xf numFmtId="175" fontId="94" fillId="0" borderId="0" applyNumberFormat="0" applyFill="0" applyBorder="0" applyAlignment="0" applyProtection="0">
      <alignment horizontal="center"/>
    </xf>
    <xf numFmtId="175" fontId="95" fillId="0" borderId="0" applyNumberFormat="0" applyFill="0" applyBorder="0" applyAlignment="0" applyProtection="0">
      <alignment horizontal="center"/>
    </xf>
    <xf numFmtId="175" fontId="94" fillId="0" borderId="0" applyNumberFormat="0" applyFill="0" applyBorder="0" applyAlignment="0" applyProtection="0">
      <alignment horizontal="center"/>
    </xf>
    <xf numFmtId="175" fontId="95" fillId="0" borderId="0" applyNumberFormat="0" applyFill="0" applyBorder="0" applyAlignment="0" applyProtection="0">
      <alignment horizontal="center"/>
    </xf>
    <xf numFmtId="175" fontId="94" fillId="0" borderId="0" applyNumberFormat="0" applyFill="0" applyBorder="0" applyAlignment="0" applyProtection="0">
      <alignment horizontal="center"/>
    </xf>
    <xf numFmtId="175" fontId="95" fillId="0" borderId="0" applyNumberFormat="0" applyFill="0" applyBorder="0" applyAlignment="0" applyProtection="0">
      <alignment horizontal="center"/>
    </xf>
    <xf numFmtId="175" fontId="95" fillId="0" borderId="0" applyNumberFormat="0" applyFill="0" applyBorder="0" applyAlignment="0" applyProtection="0">
      <alignment horizontal="center"/>
    </xf>
    <xf numFmtId="175" fontId="185" fillId="0" borderId="0"/>
    <xf numFmtId="175" fontId="186" fillId="0" borderId="0"/>
    <xf numFmtId="175" fontId="186" fillId="0" borderId="0"/>
    <xf numFmtId="175" fontId="186" fillId="0" borderId="0"/>
    <xf numFmtId="175" fontId="186" fillId="0" borderId="0"/>
    <xf numFmtId="0" fontId="39" fillId="115" borderId="0" applyNumberFormat="0" applyFont="0" applyBorder="0" applyAlignment="0" applyProtection="0"/>
    <xf numFmtId="175" fontId="187" fillId="0" borderId="0" applyBorder="0" applyProtection="0">
      <alignment vertical="center"/>
    </xf>
    <xf numFmtId="175" fontId="187" fillId="0" borderId="0" applyBorder="0" applyProtection="0">
      <alignment vertical="center"/>
    </xf>
    <xf numFmtId="175" fontId="187" fillId="0" borderId="0" applyBorder="0" applyProtection="0">
      <alignment vertical="center"/>
    </xf>
    <xf numFmtId="175" fontId="187" fillId="0" borderId="0" applyBorder="0" applyProtection="0">
      <alignment vertical="center"/>
    </xf>
    <xf numFmtId="175" fontId="187" fillId="0" borderId="103" applyBorder="0" applyProtection="0">
      <alignment horizontal="right" vertical="center"/>
    </xf>
    <xf numFmtId="175" fontId="187" fillId="0" borderId="103" applyBorder="0" applyProtection="0">
      <alignment horizontal="right" vertical="center"/>
    </xf>
    <xf numFmtId="175" fontId="187" fillId="0" borderId="103" applyBorder="0" applyProtection="0">
      <alignment horizontal="right" vertical="center"/>
    </xf>
    <xf numFmtId="175" fontId="187" fillId="0" borderId="103" applyBorder="0" applyProtection="0">
      <alignment horizontal="right" vertical="center"/>
    </xf>
    <xf numFmtId="175" fontId="188" fillId="116" borderId="0" applyBorder="0" applyProtection="0">
      <alignment horizontal="centerContinuous" vertical="center"/>
    </xf>
    <xf numFmtId="175" fontId="188" fillId="116" borderId="0" applyBorder="0" applyProtection="0">
      <alignment horizontal="centerContinuous" vertical="center"/>
    </xf>
    <xf numFmtId="175" fontId="188" fillId="116" borderId="0" applyBorder="0" applyProtection="0">
      <alignment horizontal="centerContinuous" vertical="center"/>
    </xf>
    <xf numFmtId="175" fontId="188" fillId="116" borderId="0" applyBorder="0" applyProtection="0">
      <alignment horizontal="centerContinuous" vertical="center"/>
    </xf>
    <xf numFmtId="175" fontId="188" fillId="117" borderId="103" applyBorder="0" applyProtection="0">
      <alignment horizontal="centerContinuous" vertical="center"/>
    </xf>
    <xf numFmtId="175" fontId="188" fillId="117" borderId="103" applyBorder="0" applyProtection="0">
      <alignment horizontal="centerContinuous" vertical="center"/>
    </xf>
    <xf numFmtId="175" fontId="188" fillId="117" borderId="103" applyBorder="0" applyProtection="0">
      <alignment horizontal="centerContinuous" vertical="center"/>
    </xf>
    <xf numFmtId="175" fontId="188" fillId="117" borderId="103" applyBorder="0" applyProtection="0">
      <alignment horizontal="centerContinuous" vertical="center"/>
    </xf>
    <xf numFmtId="175" fontId="189" fillId="0" borderId="0"/>
    <xf numFmtId="175" fontId="167" fillId="0" borderId="0"/>
    <xf numFmtId="175" fontId="167" fillId="0" borderId="0"/>
    <xf numFmtId="175" fontId="167" fillId="0" borderId="0"/>
    <xf numFmtId="175" fontId="167" fillId="0" borderId="0"/>
    <xf numFmtId="175" fontId="190" fillId="0" borderId="0" applyFill="0" applyBorder="0" applyProtection="0">
      <alignment horizontal="left"/>
    </xf>
    <xf numFmtId="175" fontId="190" fillId="0" borderId="0" applyFill="0" applyBorder="0" applyProtection="0">
      <alignment horizontal="left"/>
    </xf>
    <xf numFmtId="175" fontId="190" fillId="0" borderId="0" applyFill="0" applyBorder="0" applyProtection="0">
      <alignment horizontal="left"/>
    </xf>
    <xf numFmtId="175" fontId="190" fillId="0" borderId="0" applyFill="0" applyBorder="0" applyProtection="0">
      <alignment horizontal="left"/>
    </xf>
    <xf numFmtId="175" fontId="138" fillId="0" borderId="121" applyFill="0" applyBorder="0" applyProtection="0">
      <alignment horizontal="left" vertical="top"/>
    </xf>
    <xf numFmtId="175" fontId="138" fillId="0" borderId="121" applyFill="0" applyBorder="0" applyProtection="0">
      <alignment horizontal="left" vertical="top"/>
    </xf>
    <xf numFmtId="175" fontId="138" fillId="0" borderId="121" applyFill="0" applyBorder="0" applyProtection="0">
      <alignment horizontal="left" vertical="top"/>
    </xf>
    <xf numFmtId="175" fontId="138" fillId="0" borderId="121" applyFill="0" applyBorder="0" applyProtection="0">
      <alignment horizontal="left" vertical="top"/>
    </xf>
    <xf numFmtId="175" fontId="191" fillId="0" borderId="0">
      <alignment horizontal="centerContinuous"/>
    </xf>
    <xf numFmtId="175" fontId="192" fillId="0" borderId="0"/>
    <xf numFmtId="175" fontId="192" fillId="0" borderId="0"/>
    <xf numFmtId="175" fontId="192" fillId="0" borderId="0"/>
    <xf numFmtId="175" fontId="192" fillId="0" borderId="0"/>
    <xf numFmtId="175" fontId="193" fillId="0" borderId="0"/>
    <xf numFmtId="175" fontId="193" fillId="0" borderId="0"/>
    <xf numFmtId="175" fontId="193" fillId="0" borderId="0"/>
    <xf numFmtId="175" fontId="193" fillId="0" borderId="0"/>
    <xf numFmtId="49" fontId="43" fillId="0" borderId="0" applyFill="0" applyBorder="0" applyAlignment="0"/>
    <xf numFmtId="0" fontId="43" fillId="0" borderId="0" applyFill="0" applyBorder="0" applyAlignment="0"/>
    <xf numFmtId="0" fontId="43" fillId="0" borderId="0" applyFill="0" applyBorder="0" applyAlignment="0"/>
    <xf numFmtId="0" fontId="43" fillId="0" borderId="0" applyFill="0" applyBorder="0" applyAlignment="0"/>
    <xf numFmtId="0" fontId="43" fillId="0" borderId="0" applyFill="0" applyBorder="0" applyAlignment="0"/>
    <xf numFmtId="175" fontId="194" fillId="0" borderId="0" applyNumberFormat="0" applyFill="0" applyBorder="0" applyAlignment="0" applyProtection="0"/>
    <xf numFmtId="175" fontId="194" fillId="0" borderId="0" applyNumberFormat="0" applyFill="0" applyBorder="0" applyAlignment="0" applyProtection="0"/>
    <xf numFmtId="175" fontId="194" fillId="0" borderId="0" applyNumberFormat="0" applyFill="0" applyBorder="0" applyAlignment="0" applyProtection="0"/>
    <xf numFmtId="175" fontId="194" fillId="0" borderId="0" applyNumberFormat="0" applyFill="0" applyBorder="0" applyAlignment="0" applyProtection="0"/>
    <xf numFmtId="175" fontId="157" fillId="0" borderId="0" applyNumberFormat="0" applyFill="0" applyBorder="0" applyAlignment="0" applyProtection="0"/>
    <xf numFmtId="175" fontId="157" fillId="0" borderId="0" applyNumberFormat="0" applyFill="0" applyBorder="0" applyAlignment="0" applyProtection="0"/>
    <xf numFmtId="175" fontId="157" fillId="0" borderId="0" applyNumberFormat="0" applyFill="0" applyBorder="0" applyAlignment="0" applyProtection="0"/>
    <xf numFmtId="175" fontId="157" fillId="0" borderId="0" applyNumberFormat="0" applyFill="0" applyBorder="0" applyAlignment="0" applyProtection="0"/>
    <xf numFmtId="49" fontId="195" fillId="0" borderId="1">
      <alignment horizontal="left" vertical="top" wrapText="1"/>
      <protection locked="0"/>
    </xf>
    <xf numFmtId="49" fontId="196" fillId="0" borderId="1">
      <alignment horizontal="left" vertical="top" wrapText="1"/>
      <protection locked="0"/>
    </xf>
    <xf numFmtId="49" fontId="197" fillId="0" borderId="1">
      <alignment horizontal="left" vertical="top" wrapText="1"/>
      <protection locked="0"/>
    </xf>
    <xf numFmtId="0" fontId="198" fillId="0" borderId="122">
      <alignment horizontal="left" vertical="top" wrapText="1"/>
    </xf>
    <xf numFmtId="0" fontId="198" fillId="0" borderId="122">
      <alignment horizontal="left" vertical="top" wrapText="1"/>
    </xf>
    <xf numFmtId="0" fontId="198" fillId="0" borderId="122">
      <alignment horizontal="left" vertical="top" wrapText="1"/>
    </xf>
    <xf numFmtId="0" fontId="198" fillId="0" borderId="122">
      <alignment horizontal="left" vertical="top" wrapText="1"/>
    </xf>
    <xf numFmtId="0" fontId="198" fillId="0" borderId="122">
      <alignment horizontal="left" vertical="top" wrapText="1"/>
    </xf>
    <xf numFmtId="0" fontId="198" fillId="0" borderId="122">
      <alignment horizontal="left" vertical="top" wrapText="1"/>
    </xf>
    <xf numFmtId="0" fontId="198" fillId="0" borderId="122">
      <alignment horizontal="left" vertical="top" wrapText="1"/>
    </xf>
    <xf numFmtId="0" fontId="198" fillId="0" borderId="122">
      <alignment horizontal="left" vertical="top" wrapText="1"/>
    </xf>
    <xf numFmtId="0" fontId="198" fillId="0" borderId="122">
      <alignment horizontal="left" vertical="top" wrapText="1"/>
    </xf>
    <xf numFmtId="0" fontId="198" fillId="0" borderId="122">
      <alignment horizontal="left" vertical="top" wrapText="1"/>
    </xf>
    <xf numFmtId="0" fontId="198" fillId="0" borderId="122">
      <alignment horizontal="left" vertical="top" wrapText="1"/>
    </xf>
    <xf numFmtId="0" fontId="198" fillId="0" borderId="122">
      <alignment horizontal="left" vertical="top" wrapText="1"/>
    </xf>
    <xf numFmtId="0" fontId="198" fillId="0" borderId="122">
      <alignment horizontal="left" vertical="top" wrapText="1"/>
    </xf>
    <xf numFmtId="0" fontId="198" fillId="0" borderId="122">
      <alignment horizontal="left" vertical="top" wrapText="1"/>
    </xf>
    <xf numFmtId="0" fontId="198" fillId="0" borderId="122">
      <alignment horizontal="left" vertical="top" wrapText="1"/>
    </xf>
    <xf numFmtId="0" fontId="198" fillId="0" borderId="122">
      <alignment horizontal="left" vertical="top" wrapText="1"/>
    </xf>
    <xf numFmtId="0" fontId="198" fillId="0" borderId="122">
      <alignment horizontal="left" vertical="top" wrapText="1"/>
    </xf>
    <xf numFmtId="0" fontId="198" fillId="0" borderId="122">
      <alignment horizontal="left" vertical="top" wrapText="1"/>
    </xf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200" fillId="0" borderId="123">
      <alignment horizontal="center" vertical="center"/>
    </xf>
    <xf numFmtId="175" fontId="175" fillId="0" borderId="0" applyNumberFormat="0" applyFill="0" applyBorder="0" applyAlignment="0" applyProtection="0"/>
    <xf numFmtId="175" fontId="175" fillId="0" borderId="0" applyNumberFormat="0" applyFill="0" applyBorder="0" applyAlignment="0" applyProtection="0"/>
    <xf numFmtId="175" fontId="175" fillId="0" borderId="0" applyNumberFormat="0" applyFill="0" applyBorder="0" applyAlignment="0" applyProtection="0"/>
    <xf numFmtId="175" fontId="175" fillId="0" borderId="0" applyNumberFormat="0" applyFill="0" applyBorder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175" fontId="202" fillId="0" borderId="0">
      <alignment horizontal="fill"/>
    </xf>
    <xf numFmtId="175" fontId="203" fillId="0" borderId="0"/>
    <xf numFmtId="175" fontId="203" fillId="0" borderId="0"/>
    <xf numFmtId="175" fontId="203" fillId="0" borderId="0"/>
    <xf numFmtId="175" fontId="203" fillId="0" borderId="0"/>
    <xf numFmtId="219" fontId="38" fillId="0" borderId="0" applyFont="0" applyFill="0" applyBorder="0" applyAlignment="0" applyProtection="0"/>
    <xf numFmtId="220" fontId="38" fillId="0" borderId="0" applyFont="0" applyFill="0" applyBorder="0" applyAlignment="0" applyProtection="0"/>
    <xf numFmtId="175" fontId="203" fillId="0" borderId="0"/>
    <xf numFmtId="175" fontId="203" fillId="0" borderId="0"/>
    <xf numFmtId="175" fontId="203" fillId="0" borderId="0"/>
    <xf numFmtId="175" fontId="203" fillId="0" borderId="0"/>
    <xf numFmtId="0" fontId="204" fillId="0" borderId="0" applyNumberFormat="0" applyFill="0" applyBorder="0" applyAlignment="0" applyProtection="0"/>
    <xf numFmtId="175" fontId="18" fillId="33" borderId="0" applyNumberFormat="0" applyBorder="0" applyAlignment="0" applyProtection="0"/>
    <xf numFmtId="175" fontId="18" fillId="33" borderId="0" applyNumberFormat="0" applyBorder="0" applyAlignment="0" applyProtection="0"/>
    <xf numFmtId="175" fontId="18" fillId="33" borderId="0" applyNumberFormat="0" applyBorder="0" applyAlignment="0" applyProtection="0"/>
    <xf numFmtId="175" fontId="18" fillId="33" borderId="0" applyNumberFormat="0" applyBorder="0" applyAlignment="0" applyProtection="0"/>
    <xf numFmtId="9" fontId="205" fillId="0" borderId="0" applyFont="0" applyFill="0" applyBorder="0" applyAlignment="0" applyProtection="0"/>
    <xf numFmtId="175" fontId="206" fillId="0" borderId="103" applyBorder="0" applyProtection="0">
      <alignment horizontal="right"/>
    </xf>
    <xf numFmtId="175" fontId="206" fillId="0" borderId="103" applyBorder="0" applyProtection="0">
      <alignment horizontal="right"/>
    </xf>
    <xf numFmtId="175" fontId="207" fillId="0" borderId="103" applyBorder="0" applyProtection="0">
      <alignment horizontal="right"/>
    </xf>
    <xf numFmtId="175" fontId="206" fillId="0" borderId="103" applyBorder="0" applyProtection="0">
      <alignment horizontal="right"/>
    </xf>
    <xf numFmtId="175" fontId="207" fillId="0" borderId="103" applyBorder="0" applyProtection="0">
      <alignment horizontal="right"/>
    </xf>
    <xf numFmtId="175" fontId="206" fillId="0" borderId="103" applyBorder="0" applyProtection="0">
      <alignment horizontal="right"/>
    </xf>
    <xf numFmtId="175" fontId="207" fillId="0" borderId="103" applyBorder="0" applyProtection="0">
      <alignment horizontal="right"/>
    </xf>
    <xf numFmtId="175" fontId="207" fillId="0" borderId="103" applyBorder="0" applyProtection="0">
      <alignment horizontal="right"/>
    </xf>
    <xf numFmtId="221" fontId="111" fillId="0" borderId="0" applyFont="0" applyFill="0" applyBorder="0" applyAlignment="0" applyProtection="0"/>
    <xf numFmtId="0" fontId="208" fillId="49" borderId="125">
      <alignment horizontal="left" vertical="center" wrapText="1"/>
    </xf>
    <xf numFmtId="222" fontId="18" fillId="0" borderId="0" applyFont="0" applyFill="0" applyBorder="0" applyAlignment="0" applyProtection="0"/>
    <xf numFmtId="3" fontId="209" fillId="0" borderId="40">
      <alignment horizontal="center" vertical="center" wrapText="1"/>
    </xf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90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27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31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89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24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0" fontId="93" fillId="30" borderId="0" applyNumberFormat="0" applyBorder="0" applyAlignment="0" applyProtection="0"/>
    <xf numFmtId="197" fontId="210" fillId="118" borderId="126" applyNumberFormat="0" applyFont="0" applyAlignment="0">
      <protection locked="0"/>
    </xf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0" fontId="151" fillId="86" borderId="127" applyNumberFormat="0" applyAlignment="0" applyProtection="0"/>
    <xf numFmtId="3" fontId="211" fillId="0" borderId="0">
      <alignment horizontal="center" vertical="center" textRotation="90" wrapText="1"/>
    </xf>
    <xf numFmtId="197" fontId="210" fillId="119" borderId="126" applyNumberFormat="0" applyFont="0" applyAlignment="0">
      <protection locked="0"/>
    </xf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68" fillId="39" borderId="115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0" fontId="113" fillId="39" borderId="127" applyNumberFormat="0" applyAlignment="0" applyProtection="0"/>
    <xf numFmtId="175" fontId="212" fillId="0" borderId="0" applyNumberFormat="0" applyFill="0" applyBorder="0" applyAlignment="0" applyProtection="0">
      <alignment vertical="top"/>
      <protection locked="0"/>
    </xf>
    <xf numFmtId="175" fontId="212" fillId="0" borderId="0" applyNumberFormat="0" applyFill="0" applyBorder="0" applyAlignment="0" applyProtection="0">
      <alignment vertical="top"/>
      <protection locked="0"/>
    </xf>
    <xf numFmtId="0" fontId="213" fillId="0" borderId="0" applyNumberFormat="0" applyFill="0" applyBorder="0" applyAlignment="0" applyProtection="0"/>
    <xf numFmtId="175" fontId="34" fillId="0" borderId="17" applyNumberFormat="0" applyFill="0" applyBorder="0" applyProtection="0">
      <alignment horizontal="right" vertical="center"/>
    </xf>
    <xf numFmtId="175" fontId="34" fillId="0" borderId="17" applyNumberFormat="0" applyFill="0" applyBorder="0" applyProtection="0">
      <alignment horizontal="right" vertical="center"/>
    </xf>
    <xf numFmtId="175" fontId="34" fillId="0" borderId="17" applyNumberFormat="0" applyFill="0" applyBorder="0" applyProtection="0">
      <alignment horizontal="right" vertical="center"/>
    </xf>
    <xf numFmtId="175" fontId="34" fillId="0" borderId="17" applyNumberFormat="0" applyFill="0" applyBorder="0" applyProtection="0">
      <alignment horizontal="right" vertical="center"/>
    </xf>
    <xf numFmtId="14" fontId="214" fillId="0" borderId="0"/>
    <xf numFmtId="223" fontId="39" fillId="0" borderId="0" applyFont="0" applyFill="0" applyBorder="0" applyAlignment="0" applyProtection="0"/>
    <xf numFmtId="223" fontId="39" fillId="0" borderId="0" applyFont="0" applyFill="0" applyBorder="0" applyAlignment="0" applyProtection="0"/>
    <xf numFmtId="223" fontId="39" fillId="0" borderId="0" applyFont="0" applyFill="0" applyBorder="0" applyAlignment="0" applyProtection="0"/>
    <xf numFmtId="223" fontId="39" fillId="0" borderId="0" applyFont="0" applyFill="0" applyBorder="0" applyAlignment="0" applyProtection="0"/>
    <xf numFmtId="223" fontId="39" fillId="0" borderId="0" applyFont="0" applyFill="0" applyBorder="0" applyAlignment="0" applyProtection="0"/>
    <xf numFmtId="223" fontId="39" fillId="0" borderId="0" applyFont="0" applyFill="0" applyBorder="0" applyAlignment="0" applyProtection="0"/>
    <xf numFmtId="223" fontId="39" fillId="0" borderId="0" applyFont="0" applyFill="0" applyBorder="0" applyAlignment="0" applyProtection="0"/>
    <xf numFmtId="223" fontId="39" fillId="0" borderId="0" applyFont="0" applyFill="0" applyBorder="0" applyAlignment="0" applyProtection="0"/>
    <xf numFmtId="223" fontId="39" fillId="0" borderId="0" applyFont="0" applyFill="0" applyBorder="0" applyAlignment="0" applyProtection="0"/>
    <xf numFmtId="223" fontId="39" fillId="0" borderId="0" applyFont="0" applyFill="0" applyBorder="0" applyAlignment="0" applyProtection="0"/>
    <xf numFmtId="223" fontId="39" fillId="0" borderId="0" applyFont="0" applyFill="0" applyBorder="0" applyAlignment="0" applyProtection="0"/>
    <xf numFmtId="223" fontId="39" fillId="0" borderId="0" applyFont="0" applyFill="0" applyBorder="0" applyAlignment="0" applyProtection="0"/>
    <xf numFmtId="223" fontId="39" fillId="0" borderId="0" applyFont="0" applyFill="0" applyBorder="0" applyAlignment="0" applyProtection="0"/>
    <xf numFmtId="223" fontId="39" fillId="0" borderId="0" applyFont="0" applyFill="0" applyBorder="0" applyAlignment="0" applyProtection="0"/>
    <xf numFmtId="223" fontId="39" fillId="0" borderId="0" applyFont="0" applyFill="0" applyBorder="0" applyAlignment="0" applyProtection="0"/>
    <xf numFmtId="223" fontId="39" fillId="0" borderId="0" applyFont="0" applyFill="0" applyBorder="0" applyAlignment="0" applyProtection="0"/>
    <xf numFmtId="223" fontId="39" fillId="0" borderId="0" applyFont="0" applyFill="0" applyBorder="0" applyAlignment="0" applyProtection="0"/>
    <xf numFmtId="223" fontId="39" fillId="0" borderId="0" applyFont="0" applyFill="0" applyBorder="0" applyAlignment="0" applyProtection="0"/>
    <xf numFmtId="223" fontId="39" fillId="0" borderId="0" applyFont="0" applyFill="0" applyBorder="0" applyAlignment="0" applyProtection="0"/>
    <xf numFmtId="223" fontId="39" fillId="0" borderId="0" applyFont="0" applyFill="0" applyBorder="0" applyAlignment="0" applyProtection="0"/>
    <xf numFmtId="223" fontId="39" fillId="0" borderId="0" applyFont="0" applyFill="0" applyBorder="0" applyAlignment="0" applyProtection="0"/>
    <xf numFmtId="223" fontId="39" fillId="0" borderId="0" applyFont="0" applyFill="0" applyBorder="0" applyAlignment="0" applyProtection="0"/>
    <xf numFmtId="223" fontId="39" fillId="0" borderId="0" applyFont="0" applyFill="0" applyBorder="0" applyAlignment="0" applyProtection="0"/>
    <xf numFmtId="223" fontId="39" fillId="0" borderId="0" applyFont="0" applyFill="0" applyBorder="0" applyAlignment="0" applyProtection="0"/>
    <xf numFmtId="223" fontId="39" fillId="0" borderId="0" applyFont="0" applyFill="0" applyBorder="0" applyAlignment="0" applyProtection="0"/>
    <xf numFmtId="223" fontId="39" fillId="0" borderId="0" applyFont="0" applyFill="0" applyBorder="0" applyAlignment="0" applyProtection="0"/>
    <xf numFmtId="223" fontId="39" fillId="0" borderId="0" applyFont="0" applyFill="0" applyBorder="0" applyAlignment="0" applyProtection="0"/>
    <xf numFmtId="223" fontId="39" fillId="0" borderId="0" applyFont="0" applyFill="0" applyBorder="0" applyAlignment="0" applyProtection="0"/>
    <xf numFmtId="223" fontId="39" fillId="0" borderId="0" applyFont="0" applyFill="0" applyBorder="0" applyAlignment="0" applyProtection="0"/>
    <xf numFmtId="223" fontId="39" fillId="0" borderId="0" applyFont="0" applyFill="0" applyBorder="0" applyAlignment="0" applyProtection="0"/>
    <xf numFmtId="223" fontId="39" fillId="0" borderId="0" applyFont="0" applyFill="0" applyBorder="0" applyAlignment="0" applyProtection="0"/>
    <xf numFmtId="223" fontId="39" fillId="0" borderId="0" applyFont="0" applyFill="0" applyBorder="0" applyAlignment="0" applyProtection="0"/>
    <xf numFmtId="223" fontId="39" fillId="0" borderId="0" applyFont="0" applyFill="0" applyBorder="0" applyAlignment="0" applyProtection="0"/>
    <xf numFmtId="223" fontId="39" fillId="0" borderId="0" applyFont="0" applyFill="0" applyBorder="0" applyAlignment="0" applyProtection="0"/>
    <xf numFmtId="223" fontId="39" fillId="0" borderId="0" applyFont="0" applyFill="0" applyBorder="0" applyAlignment="0" applyProtection="0"/>
    <xf numFmtId="223" fontId="39" fillId="0" borderId="0" applyFont="0" applyFill="0" applyBorder="0" applyAlignment="0" applyProtection="0"/>
    <xf numFmtId="223" fontId="39" fillId="0" borderId="0" applyFont="0" applyFill="0" applyBorder="0" applyAlignment="0" applyProtection="0"/>
    <xf numFmtId="223" fontId="39" fillId="0" borderId="0" applyFont="0" applyFill="0" applyBorder="0" applyAlignment="0" applyProtection="0"/>
    <xf numFmtId="223" fontId="39" fillId="0" borderId="0" applyFont="0" applyFill="0" applyBorder="0" applyAlignment="0" applyProtection="0"/>
    <xf numFmtId="223" fontId="39" fillId="0" borderId="0" applyFont="0" applyFill="0" applyBorder="0" applyAlignment="0" applyProtection="0"/>
    <xf numFmtId="223" fontId="39" fillId="0" borderId="0" applyFont="0" applyFill="0" applyBorder="0" applyAlignment="0" applyProtection="0"/>
    <xf numFmtId="223" fontId="39" fillId="0" borderId="0" applyFont="0" applyFill="0" applyBorder="0" applyAlignment="0" applyProtection="0"/>
    <xf numFmtId="223" fontId="39" fillId="0" borderId="0" applyFont="0" applyFill="0" applyBorder="0" applyAlignment="0" applyProtection="0"/>
    <xf numFmtId="223" fontId="39" fillId="0" borderId="0" applyFont="0" applyFill="0" applyBorder="0" applyAlignment="0" applyProtection="0"/>
    <xf numFmtId="223" fontId="39" fillId="0" borderId="0" applyFont="0" applyFill="0" applyBorder="0" applyAlignment="0" applyProtection="0"/>
    <xf numFmtId="223" fontId="39" fillId="0" borderId="0" applyFont="0" applyFill="0" applyBorder="0" applyAlignment="0" applyProtection="0"/>
    <xf numFmtId="223" fontId="39" fillId="0" borderId="0" applyFont="0" applyFill="0" applyBorder="0" applyAlignment="0" applyProtection="0"/>
    <xf numFmtId="223" fontId="39" fillId="0" borderId="0" applyFont="0" applyFill="0" applyBorder="0" applyAlignment="0" applyProtection="0"/>
    <xf numFmtId="223" fontId="39" fillId="0" borderId="0" applyFont="0" applyFill="0" applyBorder="0" applyAlignment="0" applyProtection="0"/>
    <xf numFmtId="223" fontId="39" fillId="0" borderId="0" applyFont="0" applyFill="0" applyBorder="0" applyAlignment="0" applyProtection="0"/>
    <xf numFmtId="223" fontId="39" fillId="0" borderId="0" applyFont="0" applyFill="0" applyBorder="0" applyAlignment="0" applyProtection="0"/>
    <xf numFmtId="223" fontId="39" fillId="0" borderId="0" applyFont="0" applyFill="0" applyBorder="0" applyAlignment="0" applyProtection="0"/>
    <xf numFmtId="223" fontId="39" fillId="0" borderId="0" applyFont="0" applyFill="0" applyBorder="0" applyAlignment="0" applyProtection="0"/>
    <xf numFmtId="223" fontId="39" fillId="0" borderId="0" applyFont="0" applyFill="0" applyBorder="0" applyAlignment="0" applyProtection="0"/>
    <xf numFmtId="223" fontId="39" fillId="0" borderId="0" applyFont="0" applyFill="0" applyBorder="0" applyAlignment="0" applyProtection="0"/>
    <xf numFmtId="223" fontId="39" fillId="0" borderId="0" applyFont="0" applyFill="0" applyBorder="0" applyAlignment="0" applyProtection="0"/>
    <xf numFmtId="223" fontId="39" fillId="0" borderId="0" applyFont="0" applyFill="0" applyBorder="0" applyAlignment="0" applyProtection="0"/>
    <xf numFmtId="223" fontId="39" fillId="0" borderId="0" applyFont="0" applyFill="0" applyBorder="0" applyAlignment="0" applyProtection="0"/>
    <xf numFmtId="223" fontId="39" fillId="0" borderId="0" applyFont="0" applyFill="0" applyBorder="0" applyAlignment="0" applyProtection="0"/>
    <xf numFmtId="223" fontId="39" fillId="0" borderId="0" applyFont="0" applyFill="0" applyBorder="0" applyAlignment="0" applyProtection="0"/>
    <xf numFmtId="223" fontId="39" fillId="0" borderId="0" applyFont="0" applyFill="0" applyBorder="0" applyAlignment="0" applyProtection="0"/>
    <xf numFmtId="223" fontId="39" fillId="0" borderId="0" applyFont="0" applyFill="0" applyBorder="0" applyAlignment="0" applyProtection="0"/>
    <xf numFmtId="223" fontId="39" fillId="0" borderId="0" applyFont="0" applyFill="0" applyBorder="0" applyAlignment="0" applyProtection="0"/>
    <xf numFmtId="223" fontId="39" fillId="0" borderId="0" applyFont="0" applyFill="0" applyBorder="0" applyAlignment="0" applyProtection="0"/>
    <xf numFmtId="223" fontId="39" fillId="0" borderId="0" applyFont="0" applyFill="0" applyBorder="0" applyAlignment="0" applyProtection="0"/>
    <xf numFmtId="223" fontId="39" fillId="0" borderId="0" applyFont="0" applyFill="0" applyBorder="0" applyAlignment="0" applyProtection="0"/>
    <xf numFmtId="223" fontId="39" fillId="0" borderId="0" applyFont="0" applyFill="0" applyBorder="0" applyAlignment="0" applyProtection="0"/>
    <xf numFmtId="223" fontId="39" fillId="0" borderId="0" applyFont="0" applyFill="0" applyBorder="0" applyAlignment="0" applyProtection="0"/>
    <xf numFmtId="223" fontId="39" fillId="0" borderId="0" applyFont="0" applyFill="0" applyBorder="0" applyAlignment="0" applyProtection="0"/>
    <xf numFmtId="223" fontId="39" fillId="0" borderId="0" applyFont="0" applyFill="0" applyBorder="0" applyAlignment="0" applyProtection="0"/>
    <xf numFmtId="223" fontId="39" fillId="0" borderId="0" applyFont="0" applyFill="0" applyBorder="0" applyAlignment="0" applyProtection="0"/>
    <xf numFmtId="223" fontId="39" fillId="0" borderId="0" applyFont="0" applyFill="0" applyBorder="0" applyAlignment="0" applyProtection="0"/>
    <xf numFmtId="223" fontId="39" fillId="0" borderId="0" applyFont="0" applyFill="0" applyBorder="0" applyAlignment="0" applyProtection="0"/>
    <xf numFmtId="223" fontId="39" fillId="0" borderId="0" applyFont="0" applyFill="0" applyBorder="0" applyAlignment="0" applyProtection="0"/>
    <xf numFmtId="223" fontId="39" fillId="0" borderId="0" applyFont="0" applyFill="0" applyBorder="0" applyAlignment="0" applyProtection="0"/>
    <xf numFmtId="223" fontId="39" fillId="0" borderId="0" applyFont="0" applyFill="0" applyBorder="0" applyAlignment="0" applyProtection="0"/>
    <xf numFmtId="223" fontId="39" fillId="0" borderId="0" applyFont="0" applyFill="0" applyBorder="0" applyAlignment="0" applyProtection="0"/>
    <xf numFmtId="223" fontId="39" fillId="0" borderId="0" applyFont="0" applyFill="0" applyBorder="0" applyAlignment="0" applyProtection="0"/>
    <xf numFmtId="223" fontId="39" fillId="0" borderId="0" applyFont="0" applyFill="0" applyBorder="0" applyAlignment="0" applyProtection="0"/>
    <xf numFmtId="223" fontId="39" fillId="0" borderId="0" applyFont="0" applyFill="0" applyBorder="0" applyAlignment="0" applyProtection="0"/>
    <xf numFmtId="223" fontId="39" fillId="0" borderId="0" applyFont="0" applyFill="0" applyBorder="0" applyAlignment="0" applyProtection="0"/>
    <xf numFmtId="224" fontId="205" fillId="0" borderId="0" applyFont="0" applyFill="0" applyBorder="0" applyAlignment="0" applyProtection="0"/>
    <xf numFmtId="0" fontId="63" fillId="0" borderId="128" applyNumberFormat="0" applyFill="0">
      <alignment horizontal="center" vertical="center"/>
    </xf>
    <xf numFmtId="0" fontId="215" fillId="120" borderId="129">
      <alignment horizontal="center" vertical="center" wrapText="1"/>
    </xf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4" fillId="0" borderId="108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5" fillId="0" borderId="109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110" applyNumberFormat="0" applyFill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201" fillId="0" borderId="124" applyNumberFormat="0" applyFill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0" fontId="115" fillId="93" borderId="14" applyNumberFormat="0" applyAlignment="0" applyProtection="0"/>
    <xf numFmtId="198" fontId="210" fillId="118" borderId="126" applyFont="0" applyFill="0" applyBorder="0" applyAlignment="0" applyProtection="0">
      <protection locked="0"/>
    </xf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38" fillId="0" borderId="130">
      <alignment horizontal="left" vertical="top" wrapText="1"/>
    </xf>
    <xf numFmtId="225" fontId="216" fillId="0" borderId="0"/>
    <xf numFmtId="175" fontId="217" fillId="47" borderId="0" applyFill="0"/>
    <xf numFmtId="175" fontId="217" fillId="47" borderId="0" applyFill="0"/>
    <xf numFmtId="175" fontId="217" fillId="47" borderId="0" applyFill="0"/>
    <xf numFmtId="175" fontId="217" fillId="47" borderId="0" applyFill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0" fontId="158" fillId="23" borderId="0" applyNumberFormat="0" applyBorder="0" applyAlignment="0" applyProtection="0"/>
    <xf numFmtId="197" fontId="210" fillId="121" borderId="126" applyNumberFormat="0" applyFont="0" applyAlignment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8" fillId="0" borderId="0"/>
    <xf numFmtId="0" fontId="3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8" fillId="0" borderId="0"/>
    <xf numFmtId="0" fontId="3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9" fillId="0" borderId="0" applyNumberFormat="0" applyFont="0" applyFill="0" applyBorder="0" applyAlignment="0" applyProtection="0"/>
    <xf numFmtId="0" fontId="3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9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9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9" fillId="0" borderId="0" applyNumberFormat="0" applyFont="0" applyFill="0" applyBorder="0" applyAlignment="0" applyProtection="0"/>
    <xf numFmtId="0" fontId="3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9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9" fillId="0" borderId="0" applyNumberFormat="0" applyFont="0" applyFill="0" applyBorder="0" applyAlignment="0" applyProtection="0"/>
    <xf numFmtId="0" fontId="3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9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9" fillId="0" borderId="0" applyNumberFormat="0" applyFont="0" applyFill="0" applyBorder="0" applyAlignment="0" applyProtection="0"/>
    <xf numFmtId="0" fontId="3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9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9" fillId="0" borderId="0" applyNumberFormat="0" applyFont="0" applyFill="0" applyBorder="0" applyAlignment="0" applyProtection="0"/>
    <xf numFmtId="0" fontId="3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9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8" fillId="0" borderId="0"/>
    <xf numFmtId="0" fontId="3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8" fillId="0" borderId="0" applyNumberFormat="0" applyFont="0" applyFill="0" applyBorder="0" applyAlignment="0" applyProtection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8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8" fillId="0" borderId="0"/>
    <xf numFmtId="0" fontId="39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1" fillId="0" borderId="0"/>
    <xf numFmtId="0" fontId="1" fillId="0" borderId="0"/>
    <xf numFmtId="0" fontId="39" fillId="0" borderId="0"/>
    <xf numFmtId="0" fontId="1" fillId="0" borderId="0"/>
    <xf numFmtId="0" fontId="1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218" fillId="0" borderId="0" applyNumberFormat="0" applyFill="0" applyBorder="0" applyAlignment="0" applyProtection="0"/>
    <xf numFmtId="0" fontId="39" fillId="0" borderId="0" applyNumberFormat="0" applyFont="0" applyFill="0" applyBorder="0" applyAlignment="0" applyProtection="0"/>
    <xf numFmtId="0" fontId="39" fillId="0" borderId="0" applyNumberFormat="0" applyFont="0" applyFill="0" applyBorder="0" applyAlignment="0" applyProtection="0"/>
    <xf numFmtId="0" fontId="1" fillId="0" borderId="0"/>
    <xf numFmtId="0" fontId="39" fillId="0" borderId="0" applyNumberFormat="0" applyFont="0" applyFill="0" applyBorder="0" applyAlignment="0" applyProtection="0"/>
    <xf numFmtId="0" fontId="39" fillId="0" borderId="0" applyNumberFormat="0" applyFont="0" applyFill="0" applyBorder="0" applyAlignment="0" applyProtection="0"/>
    <xf numFmtId="0" fontId="39" fillId="0" borderId="0" applyNumberFormat="0" applyFont="0" applyFill="0" applyBorder="0" applyAlignment="0" applyProtection="0"/>
    <xf numFmtId="0" fontId="39" fillId="0" borderId="0" applyNumberFormat="0" applyFont="0" applyFill="0" applyBorder="0" applyAlignment="0" applyProtection="0"/>
    <xf numFmtId="0" fontId="39" fillId="0" borderId="0" applyNumberFormat="0" applyFont="0" applyFill="0" applyBorder="0" applyAlignment="0" applyProtection="0"/>
    <xf numFmtId="0" fontId="39" fillId="0" borderId="0" applyNumberFormat="0" applyFont="0" applyFill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9" fillId="0" borderId="0"/>
    <xf numFmtId="0" fontId="39" fillId="0" borderId="0"/>
    <xf numFmtId="0" fontId="38" fillId="0" borderId="0"/>
    <xf numFmtId="0" fontId="38" fillId="0" borderId="0"/>
    <xf numFmtId="0" fontId="38" fillId="0" borderId="0"/>
    <xf numFmtId="0" fontId="4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9" fillId="0" borderId="0"/>
    <xf numFmtId="0" fontId="1" fillId="0" borderId="0"/>
    <xf numFmtId="0" fontId="220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95" fontId="1" fillId="0" borderId="0"/>
    <xf numFmtId="195" fontId="1" fillId="0" borderId="0"/>
    <xf numFmtId="195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9" fillId="0" borderId="0"/>
    <xf numFmtId="0" fontId="1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9" fillId="0" borderId="0"/>
    <xf numFmtId="0" fontId="38" fillId="0" borderId="0"/>
    <xf numFmtId="0" fontId="38" fillId="0" borderId="0"/>
    <xf numFmtId="0" fontId="38" fillId="0" borderId="0"/>
    <xf numFmtId="0" fontId="10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39" fillId="0" borderId="0" applyNumberFormat="0" applyFont="0" applyFill="0" applyBorder="0" applyAlignment="0" applyProtection="0"/>
    <xf numFmtId="0" fontId="1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0" fillId="0" borderId="0">
      <alignment vertical="center"/>
    </xf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38" fillId="0" borderId="0"/>
    <xf numFmtId="0" fontId="39" fillId="0" borderId="0" applyNumberFormat="0" applyFont="0" applyFill="0" applyBorder="0" applyAlignment="0" applyProtection="0"/>
    <xf numFmtId="0" fontId="39" fillId="0" borderId="0" applyNumberFormat="0" applyFont="0" applyFill="0" applyBorder="0" applyAlignment="0" applyProtection="0"/>
    <xf numFmtId="0" fontId="39" fillId="0" borderId="0" applyNumberFormat="0" applyFont="0" applyFill="0" applyBorder="0" applyAlignment="0" applyProtection="0"/>
    <xf numFmtId="0" fontId="1" fillId="0" borderId="0"/>
    <xf numFmtId="0" fontId="39" fillId="0" borderId="0" applyNumberFormat="0" applyFont="0" applyFill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0" borderId="0"/>
    <xf numFmtId="0" fontId="39" fillId="0" borderId="0"/>
    <xf numFmtId="0" fontId="1" fillId="0" borderId="0"/>
    <xf numFmtId="0" fontId="1" fillId="0" borderId="0"/>
    <xf numFmtId="0" fontId="1" fillId="0" borderId="0"/>
    <xf numFmtId="0" fontId="1" fillId="0" borderId="0"/>
    <xf numFmtId="195" fontId="38" fillId="0" borderId="0"/>
    <xf numFmtId="0" fontId="1" fillId="0" borderId="0"/>
    <xf numFmtId="0" fontId="38" fillId="0" borderId="0"/>
    <xf numFmtId="0" fontId="38" fillId="0" borderId="0"/>
    <xf numFmtId="0" fontId="1" fillId="0" borderId="0"/>
    <xf numFmtId="0" fontId="38" fillId="0" borderId="0"/>
    <xf numFmtId="0" fontId="1" fillId="0" borderId="0"/>
    <xf numFmtId="0" fontId="38" fillId="0" borderId="0"/>
    <xf numFmtId="0" fontId="1" fillId="0" borderId="0"/>
    <xf numFmtId="0" fontId="4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9" fillId="0" borderId="0"/>
    <xf numFmtId="0" fontId="39" fillId="0" borderId="0" applyNumberFormat="0" applyFont="0" applyFill="0" applyBorder="0" applyAlignment="0" applyProtection="0"/>
    <xf numFmtId="0" fontId="218" fillId="0" borderId="0" applyNumberFormat="0" applyFill="0" applyBorder="0" applyAlignment="0" applyProtection="0"/>
    <xf numFmtId="0" fontId="39" fillId="0" borderId="0" applyNumberFormat="0" applyFont="0" applyFill="0" applyBorder="0" applyAlignment="0" applyProtection="0"/>
    <xf numFmtId="0" fontId="39" fillId="0" borderId="0" applyNumberFormat="0" applyFont="0" applyFill="0" applyBorder="0" applyAlignment="0" applyProtection="0"/>
    <xf numFmtId="0" fontId="39" fillId="0" borderId="0" applyNumberFormat="0" applyFont="0" applyFill="0" applyBorder="0" applyAlignment="0" applyProtection="0"/>
    <xf numFmtId="0" fontId="39" fillId="0" borderId="0" applyNumberFormat="0" applyFont="0" applyFill="0" applyBorder="0" applyAlignment="0" applyProtection="0"/>
    <xf numFmtId="0" fontId="39" fillId="0" borderId="0"/>
    <xf numFmtId="0" fontId="1" fillId="0" borderId="0"/>
    <xf numFmtId="175" fontId="1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9" fillId="0" borderId="0"/>
    <xf numFmtId="0" fontId="39" fillId="0" borderId="0"/>
    <xf numFmtId="0" fontId="10" fillId="0" borderId="0"/>
    <xf numFmtId="0" fontId="4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9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9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39" fillId="0" borderId="0" applyNumberFormat="0" applyFont="0" applyFill="0" applyBorder="0" applyAlignment="0" applyProtection="0"/>
    <xf numFmtId="0" fontId="1" fillId="0" borderId="0"/>
    <xf numFmtId="0" fontId="1" fillId="0" borderId="0"/>
    <xf numFmtId="0" fontId="39" fillId="0" borderId="0" applyNumberFormat="0" applyFont="0" applyFill="0" applyBorder="0" applyAlignment="0" applyProtection="0"/>
    <xf numFmtId="0" fontId="1" fillId="0" borderId="0"/>
    <xf numFmtId="0" fontId="39" fillId="0" borderId="0" applyNumberFormat="0" applyFont="0" applyFill="0" applyBorder="0" applyAlignment="0" applyProtection="0"/>
    <xf numFmtId="0" fontId="39" fillId="0" borderId="0"/>
    <xf numFmtId="0" fontId="1" fillId="0" borderId="0"/>
    <xf numFmtId="0" fontId="39" fillId="0" borderId="0" applyNumberFormat="0" applyFont="0" applyFill="0" applyBorder="0" applyAlignment="0" applyProtection="0"/>
    <xf numFmtId="0" fontId="1" fillId="0" borderId="0"/>
    <xf numFmtId="0" fontId="3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8" fillId="0" borderId="0" applyNumberFormat="0" applyFill="0" applyBorder="0" applyAlignment="0" applyProtection="0"/>
    <xf numFmtId="0" fontId="39" fillId="0" borderId="0" applyNumberFormat="0" applyFont="0" applyFill="0" applyBorder="0" applyAlignment="0" applyProtection="0"/>
    <xf numFmtId="0" fontId="1" fillId="0" borderId="0"/>
    <xf numFmtId="0" fontId="1" fillId="0" borderId="0"/>
    <xf numFmtId="0" fontId="39" fillId="0" borderId="0" applyNumberFormat="0" applyFont="0" applyFill="0" applyBorder="0" applyAlignment="0" applyProtection="0"/>
    <xf numFmtId="0" fontId="1" fillId="0" borderId="0"/>
    <xf numFmtId="0" fontId="39" fillId="0" borderId="0" applyNumberFormat="0" applyFont="0" applyFill="0" applyBorder="0" applyAlignment="0" applyProtection="0"/>
    <xf numFmtId="0" fontId="1" fillId="0" borderId="0"/>
    <xf numFmtId="0" fontId="1" fillId="0" borderId="0"/>
    <xf numFmtId="0" fontId="39" fillId="0" borderId="0" applyNumberFormat="0" applyFont="0" applyFill="0" applyBorder="0" applyAlignment="0" applyProtection="0"/>
    <xf numFmtId="0" fontId="1" fillId="0" borderId="0"/>
    <xf numFmtId="0" fontId="3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9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39" fillId="0" borderId="0"/>
    <xf numFmtId="0" fontId="1" fillId="0" borderId="0"/>
    <xf numFmtId="0" fontId="1" fillId="0" borderId="0"/>
    <xf numFmtId="0" fontId="39" fillId="0" borderId="0"/>
    <xf numFmtId="0" fontId="1" fillId="0" borderId="0"/>
    <xf numFmtId="0" fontId="39" fillId="0" borderId="0"/>
    <xf numFmtId="0" fontId="1" fillId="0" borderId="0"/>
    <xf numFmtId="0" fontId="1" fillId="0" borderId="0"/>
    <xf numFmtId="0" fontId="39" fillId="0" borderId="0"/>
    <xf numFmtId="0" fontId="1" fillId="0" borderId="0"/>
    <xf numFmtId="0" fontId="1" fillId="0" borderId="0"/>
    <xf numFmtId="0" fontId="39" fillId="0" borderId="0"/>
    <xf numFmtId="0" fontId="1" fillId="0" borderId="0"/>
    <xf numFmtId="0" fontId="1" fillId="0" borderId="0"/>
    <xf numFmtId="0" fontId="39" fillId="0" borderId="0"/>
    <xf numFmtId="0" fontId="1" fillId="0" borderId="0"/>
    <xf numFmtId="0" fontId="1" fillId="0" borderId="0"/>
    <xf numFmtId="0" fontId="39" fillId="0" borderId="0"/>
    <xf numFmtId="0" fontId="1" fillId="0" borderId="0"/>
    <xf numFmtId="0" fontId="1" fillId="0" borderId="0"/>
    <xf numFmtId="0" fontId="39" fillId="0" borderId="0"/>
    <xf numFmtId="0" fontId="1" fillId="0" borderId="0"/>
    <xf numFmtId="0" fontId="1" fillId="0" borderId="0"/>
    <xf numFmtId="0" fontId="39" fillId="0" borderId="0"/>
    <xf numFmtId="0" fontId="1" fillId="0" borderId="0"/>
    <xf numFmtId="0" fontId="1" fillId="0" borderId="0"/>
    <xf numFmtId="0" fontId="39" fillId="0" borderId="0"/>
    <xf numFmtId="0" fontId="1" fillId="0" borderId="0"/>
    <xf numFmtId="0" fontId="1" fillId="0" borderId="0"/>
    <xf numFmtId="0" fontId="39" fillId="0" borderId="0" applyNumberFormat="0" applyFont="0" applyFill="0" applyBorder="0" applyAlignment="0" applyProtection="0"/>
    <xf numFmtId="0" fontId="1" fillId="0" borderId="0"/>
    <xf numFmtId="0" fontId="1" fillId="0" borderId="0"/>
    <xf numFmtId="0" fontId="39" fillId="0" borderId="0" applyNumberFormat="0" applyFont="0" applyFill="0" applyBorder="0" applyAlignment="0" applyProtection="0"/>
    <xf numFmtId="0" fontId="1" fillId="0" borderId="0"/>
    <xf numFmtId="0" fontId="39" fillId="0" borderId="0" applyNumberFormat="0" applyFont="0" applyFill="0" applyBorder="0" applyAlignment="0" applyProtection="0"/>
    <xf numFmtId="0" fontId="39" fillId="0" borderId="0"/>
    <xf numFmtId="0" fontId="1" fillId="0" borderId="0"/>
    <xf numFmtId="0" fontId="39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3" fillId="0" borderId="0"/>
    <xf numFmtId="0" fontId="1" fillId="0" borderId="0"/>
    <xf numFmtId="0" fontId="1" fillId="0" borderId="0"/>
    <xf numFmtId="0" fontId="6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39" fillId="0" borderId="0"/>
    <xf numFmtId="0" fontId="1" fillId="0" borderId="0"/>
    <xf numFmtId="0" fontId="1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/>
    <xf numFmtId="0" fontId="1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39" fillId="0" borderId="0" applyNumberFormat="0" applyFont="0" applyFill="0" applyBorder="0" applyAlignment="0" applyProtection="0"/>
    <xf numFmtId="0" fontId="1" fillId="0" borderId="0"/>
    <xf numFmtId="0" fontId="1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205" fillId="0" borderId="0" applyFont="0" applyFill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04" fillId="25" borderId="0" applyNumberFormat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40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40" fillId="45" borderId="114" applyNumberFormat="0" applyFont="0" applyAlignment="0" applyProtection="0"/>
    <xf numFmtId="0" fontId="39" fillId="45" borderId="114" applyNumberFormat="0" applyFont="0" applyAlignment="0" applyProtection="0"/>
    <xf numFmtId="0" fontId="40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40" fillId="45" borderId="114" applyNumberFormat="0" applyFont="0" applyAlignment="0" applyProtection="0"/>
    <xf numFmtId="0" fontId="39" fillId="45" borderId="114" applyNumberFormat="0" applyFont="0" applyAlignment="0" applyProtection="0"/>
    <xf numFmtId="0" fontId="40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40" fillId="45" borderId="114" applyNumberFormat="0" applyFont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39" fillId="0" borderId="0" applyNumberFormat="0" applyFont="0" applyFill="0" applyBorder="0" applyAlignment="0" applyProtection="0"/>
    <xf numFmtId="0" fontId="39" fillId="0" borderId="0" applyNumberFormat="0" applyFont="0" applyFill="0" applyBorder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39" fillId="0" borderId="0" applyNumberFormat="0" applyFont="0" applyFill="0" applyBorder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45" borderId="114" applyNumberFormat="0" applyFont="0" applyAlignment="0" applyProtection="0"/>
    <xf numFmtId="0" fontId="40" fillId="45" borderId="114" applyNumberFormat="0" applyFont="0" applyAlignment="0" applyProtection="0"/>
    <xf numFmtId="0" fontId="40" fillId="45" borderId="114" applyNumberFormat="0" applyFont="0" applyAlignment="0" applyProtection="0"/>
    <xf numFmtId="0" fontId="40" fillId="74" borderId="23" applyNumberFormat="0" applyFont="0" applyAlignment="0" applyProtection="0"/>
    <xf numFmtId="0" fontId="40" fillId="45" borderId="114" applyNumberFormat="0" applyFont="0" applyAlignment="0" applyProtection="0"/>
    <xf numFmtId="0" fontId="40" fillId="74" borderId="23" applyNumberFormat="0" applyFont="0" applyAlignment="0" applyProtection="0"/>
    <xf numFmtId="0" fontId="40" fillId="45" borderId="114" applyNumberFormat="0" applyFont="0" applyAlignment="0" applyProtection="0"/>
    <xf numFmtId="0" fontId="40" fillId="45" borderId="114" applyNumberFormat="0" applyFont="0" applyAlignment="0" applyProtection="0"/>
    <xf numFmtId="0" fontId="40" fillId="45" borderId="114" applyNumberFormat="0" applyFont="0" applyAlignment="0" applyProtection="0"/>
    <xf numFmtId="0" fontId="40" fillId="45" borderId="114" applyNumberFormat="0" applyFont="0" applyAlignment="0" applyProtection="0"/>
    <xf numFmtId="0" fontId="40" fillId="45" borderId="114" applyNumberFormat="0" applyFont="0" applyAlignment="0" applyProtection="0"/>
    <xf numFmtId="0" fontId="40" fillId="45" borderId="114" applyNumberFormat="0" applyFont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45" borderId="114" applyNumberFormat="0" applyFont="0" applyAlignment="0" applyProtection="0"/>
    <xf numFmtId="0" fontId="40" fillId="45" borderId="114" applyNumberFormat="0" applyFont="0" applyAlignment="0" applyProtection="0"/>
    <xf numFmtId="0" fontId="40" fillId="45" borderId="114" applyNumberFormat="0" applyFont="0" applyAlignment="0" applyProtection="0"/>
    <xf numFmtId="0" fontId="40" fillId="45" borderId="114" applyNumberFormat="0" applyFont="0" applyAlignment="0" applyProtection="0"/>
    <xf numFmtId="0" fontId="40" fillId="45" borderId="114" applyNumberFormat="0" applyFont="0" applyAlignment="0" applyProtection="0"/>
    <xf numFmtId="0" fontId="40" fillId="45" borderId="114" applyNumberFormat="0" applyFont="0" applyAlignment="0" applyProtection="0"/>
    <xf numFmtId="0" fontId="40" fillId="45" borderId="114" applyNumberFormat="0" applyFont="0" applyAlignment="0" applyProtection="0"/>
    <xf numFmtId="0" fontId="40" fillId="45" borderId="114" applyNumberFormat="0" applyFont="0" applyAlignment="0" applyProtection="0"/>
    <xf numFmtId="0" fontId="40" fillId="45" borderId="114" applyNumberFormat="0" applyFont="0" applyAlignment="0" applyProtection="0"/>
    <xf numFmtId="0" fontId="40" fillId="45" borderId="114" applyNumberFormat="0" applyFont="0" applyAlignment="0" applyProtection="0"/>
    <xf numFmtId="0" fontId="40" fillId="45" borderId="114" applyNumberFormat="0" applyFont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40" fillId="45" borderId="114" applyNumberFormat="0" applyFont="0" applyAlignment="0" applyProtection="0"/>
    <xf numFmtId="0" fontId="40" fillId="45" borderId="114" applyNumberFormat="0" applyFont="0" applyAlignment="0" applyProtection="0"/>
    <xf numFmtId="0" fontId="40" fillId="45" borderId="114" applyNumberFormat="0" applyFont="0" applyAlignment="0" applyProtection="0"/>
    <xf numFmtId="0" fontId="40" fillId="45" borderId="114" applyNumberFormat="0" applyFont="0" applyAlignment="0" applyProtection="0"/>
    <xf numFmtId="0" fontId="40" fillId="45" borderId="114" applyNumberFormat="0" applyFont="0" applyAlignment="0" applyProtection="0"/>
    <xf numFmtId="0" fontId="40" fillId="45" borderId="114" applyNumberFormat="0" applyFont="0" applyAlignment="0" applyProtection="0"/>
    <xf numFmtId="0" fontId="40" fillId="45" borderId="114" applyNumberFormat="0" applyFont="0" applyAlignment="0" applyProtection="0"/>
    <xf numFmtId="0" fontId="40" fillId="45" borderId="114" applyNumberFormat="0" applyFont="0" applyAlignment="0" applyProtection="0"/>
    <xf numFmtId="0" fontId="40" fillId="45" borderId="114" applyNumberFormat="0" applyFont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40" fillId="45" borderId="114" applyNumberFormat="0" applyFont="0" applyAlignment="0" applyProtection="0"/>
    <xf numFmtId="0" fontId="40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39" fillId="45" borderId="114" applyNumberFormat="0" applyFont="0" applyAlignment="0" applyProtection="0"/>
    <xf numFmtId="0" fontId="1" fillId="74" borderId="23" applyNumberFormat="0" applyFont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40" fillId="45" borderId="114" applyNumberFormat="0" applyFont="0" applyAlignment="0" applyProtection="0"/>
    <xf numFmtId="0" fontId="40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39" fillId="0" borderId="0" applyNumberFormat="0" applyFont="0" applyFill="0" applyBorder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39" fillId="0" borderId="0" applyNumberFormat="0" applyFont="0" applyFill="0" applyBorder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39" fillId="45" borderId="114" applyNumberFormat="0" applyFont="0" applyAlignment="0" applyProtection="0"/>
    <xf numFmtId="0" fontId="1" fillId="74" borderId="23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45" borderId="114" applyNumberFormat="0" applyFont="0" applyAlignment="0" applyProtection="0"/>
    <xf numFmtId="0" fontId="1" fillId="74" borderId="23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45" borderId="114" applyNumberFormat="0" applyFont="0" applyAlignment="0" applyProtection="0"/>
    <xf numFmtId="0" fontId="1" fillId="74" borderId="23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39" fillId="45" borderId="114" applyNumberFormat="0" applyFont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0" fontId="40" fillId="45" borderId="114" applyNumberFormat="0" applyFont="0" applyAlignment="0" applyProtection="0"/>
    <xf numFmtId="0" fontId="39" fillId="0" borderId="0" applyNumberFormat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9" fontId="39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39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39" fillId="0" borderId="0" applyFont="0" applyFill="0" applyBorder="0" applyAlignment="0" applyProtection="0"/>
    <xf numFmtId="9" fontId="39" fillId="0" borderId="0" applyFont="0" applyFill="0" applyBorder="0" applyAlignment="0" applyProtection="0"/>
    <xf numFmtId="9" fontId="39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38" fillId="0" borderId="0" applyFont="0" applyFill="0" applyBorder="0" applyAlignment="0" applyProtection="0"/>
    <xf numFmtId="9" fontId="38" fillId="0" borderId="0" applyFont="0" applyFill="0" applyBorder="0" applyAlignment="0" applyProtection="0"/>
    <xf numFmtId="9" fontId="38" fillId="0" borderId="0" applyFont="0" applyFill="0" applyBorder="0" applyAlignment="0" applyProtection="0"/>
    <xf numFmtId="9" fontId="38" fillId="0" borderId="0" applyFont="0" applyFill="0" applyBorder="0" applyAlignment="0" applyProtection="0"/>
    <xf numFmtId="9" fontId="38" fillId="0" borderId="0" applyFont="0" applyFill="0" applyBorder="0" applyAlignment="0" applyProtection="0"/>
    <xf numFmtId="9" fontId="38" fillId="0" borderId="0" applyFont="0" applyFill="0" applyBorder="0" applyAlignment="0" applyProtection="0"/>
    <xf numFmtId="9" fontId="38" fillId="0" borderId="0" applyFont="0" applyFill="0" applyBorder="0" applyAlignment="0" applyProtection="0"/>
    <xf numFmtId="9" fontId="38" fillId="0" borderId="0" applyFont="0" applyFill="0" applyBorder="0" applyAlignment="0" applyProtection="0"/>
    <xf numFmtId="9" fontId="38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38" fillId="0" borderId="0" applyFont="0" applyFill="0" applyBorder="0" applyAlignment="0" applyProtection="0"/>
    <xf numFmtId="9" fontId="38" fillId="0" borderId="0" applyFont="0" applyFill="0" applyBorder="0" applyAlignment="0" applyProtection="0"/>
    <xf numFmtId="9" fontId="38" fillId="0" borderId="0" applyFont="0" applyFill="0" applyBorder="0" applyAlignment="0" applyProtection="0"/>
    <xf numFmtId="9" fontId="38" fillId="0" borderId="0" applyFont="0" applyFill="0" applyBorder="0" applyAlignment="0" applyProtection="0"/>
    <xf numFmtId="9" fontId="38" fillId="0" borderId="0" applyFont="0" applyFill="0" applyBorder="0" applyAlignment="0" applyProtection="0"/>
    <xf numFmtId="9" fontId="3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39" fillId="0" borderId="0" applyFont="0" applyFill="0" applyBorder="0" applyAlignment="0" applyProtection="0"/>
    <xf numFmtId="9" fontId="39" fillId="0" borderId="0" applyFont="0" applyFill="0" applyBorder="0" applyAlignment="0" applyProtection="0"/>
    <xf numFmtId="9" fontId="39" fillId="0" borderId="0" applyFont="0" applyFill="0" applyBorder="0" applyAlignment="0" applyProtection="0"/>
    <xf numFmtId="9" fontId="39" fillId="0" borderId="0" applyFont="0" applyFill="0" applyBorder="0" applyAlignment="0" applyProtection="0"/>
    <xf numFmtId="9" fontId="39" fillId="0" borderId="0" applyFont="0" applyFill="0" applyBorder="0" applyAlignment="0" applyProtection="0"/>
    <xf numFmtId="9" fontId="39" fillId="0" borderId="0" applyFont="0" applyFill="0" applyBorder="0" applyAlignment="0" applyProtection="0"/>
    <xf numFmtId="9" fontId="39" fillId="0" borderId="0" applyFont="0" applyFill="0" applyBorder="0" applyAlignment="0" applyProtection="0"/>
    <xf numFmtId="9" fontId="39" fillId="0" borderId="0" applyFont="0" applyFill="0" applyBorder="0" applyAlignment="0" applyProtection="0"/>
    <xf numFmtId="9" fontId="39" fillId="0" borderId="0" applyFont="0" applyFill="0" applyBorder="0" applyAlignment="0" applyProtection="0"/>
    <xf numFmtId="9" fontId="61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42" fillId="0" borderId="16">
      <alignment horizontal="center"/>
    </xf>
    <xf numFmtId="0" fontId="42" fillId="0" borderId="16">
      <alignment horizontal="center"/>
    </xf>
    <xf numFmtId="197" fontId="210" fillId="122" borderId="126" applyNumberFormat="0" applyFont="0" applyAlignment="0"/>
    <xf numFmtId="0" fontId="221" fillId="0" borderId="22"/>
    <xf numFmtId="0" fontId="222" fillId="0" borderId="22"/>
    <xf numFmtId="0" fontId="221" fillId="0" borderId="22"/>
    <xf numFmtId="0" fontId="221" fillId="0" borderId="22"/>
    <xf numFmtId="0" fontId="221" fillId="0" borderId="22"/>
    <xf numFmtId="0" fontId="221" fillId="0" borderId="22"/>
    <xf numFmtId="0" fontId="221" fillId="0" borderId="22"/>
    <xf numFmtId="0" fontId="221" fillId="0" borderId="22"/>
    <xf numFmtId="0" fontId="221" fillId="0" borderId="22"/>
    <xf numFmtId="0" fontId="221" fillId="0" borderId="22"/>
    <xf numFmtId="0" fontId="221" fillId="0" borderId="22"/>
    <xf numFmtId="0" fontId="221" fillId="0" borderId="22"/>
    <xf numFmtId="0" fontId="221" fillId="0" borderId="22"/>
    <xf numFmtId="0" fontId="221" fillId="0" borderId="22"/>
    <xf numFmtId="0" fontId="221" fillId="0" borderId="22"/>
    <xf numFmtId="0" fontId="221" fillId="0" borderId="22"/>
    <xf numFmtId="0" fontId="221" fillId="0" borderId="22"/>
    <xf numFmtId="0" fontId="221" fillId="0" borderId="22"/>
    <xf numFmtId="0" fontId="221" fillId="0" borderId="22"/>
    <xf numFmtId="0" fontId="221" fillId="0" borderId="22"/>
    <xf numFmtId="0" fontId="221" fillId="0" borderId="22"/>
    <xf numFmtId="0" fontId="221" fillId="0" borderId="22"/>
    <xf numFmtId="0" fontId="221" fillId="0" borderId="22"/>
    <xf numFmtId="0" fontId="221" fillId="0" borderId="22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0" fontId="155" fillId="0" borderId="112" applyNumberFormat="0" applyFill="0" applyAlignment="0" applyProtection="0"/>
    <xf numFmtId="197" fontId="223" fillId="0" borderId="126" applyNumberFormat="0" applyAlignment="0"/>
    <xf numFmtId="0" fontId="45" fillId="0" borderId="0"/>
    <xf numFmtId="0" fontId="77" fillId="0" borderId="0"/>
    <xf numFmtId="0" fontId="77" fillId="0" borderId="0"/>
    <xf numFmtId="0" fontId="79" fillId="0" borderId="0"/>
    <xf numFmtId="0" fontId="77" fillId="0" borderId="0"/>
    <xf numFmtId="0" fontId="79" fillId="0" borderId="0"/>
    <xf numFmtId="0" fontId="77" fillId="0" borderId="0"/>
    <xf numFmtId="0" fontId="79" fillId="0" borderId="0"/>
    <xf numFmtId="0" fontId="79" fillId="0" borderId="0"/>
    <xf numFmtId="0" fontId="77" fillId="0" borderId="0"/>
    <xf numFmtId="0" fontId="79" fillId="0" borderId="0"/>
    <xf numFmtId="0" fontId="77" fillId="0" borderId="0"/>
    <xf numFmtId="0" fontId="77" fillId="0" borderId="0"/>
    <xf numFmtId="0" fontId="79" fillId="0" borderId="0"/>
    <xf numFmtId="0" fontId="77" fillId="0" borderId="0"/>
    <xf numFmtId="0" fontId="77" fillId="0" borderId="0"/>
    <xf numFmtId="0" fontId="79" fillId="0" borderId="0"/>
    <xf numFmtId="0" fontId="77" fillId="0" borderId="0"/>
    <xf numFmtId="0" fontId="77" fillId="0" borderId="0"/>
    <xf numFmtId="0" fontId="79" fillId="0" borderId="0"/>
    <xf numFmtId="0" fontId="77" fillId="0" borderId="0"/>
    <xf numFmtId="0" fontId="77" fillId="0" borderId="0"/>
    <xf numFmtId="0" fontId="79" fillId="0" borderId="0"/>
    <xf numFmtId="0" fontId="77" fillId="0" borderId="0"/>
    <xf numFmtId="0" fontId="77" fillId="0" borderId="0"/>
    <xf numFmtId="0" fontId="45" fillId="0" borderId="0"/>
    <xf numFmtId="0" fontId="77" fillId="0" borderId="0"/>
    <xf numFmtId="0" fontId="45" fillId="0" borderId="0"/>
    <xf numFmtId="175" fontId="37" fillId="0" borderId="0" applyNumberFormat="0" applyFont="0" applyFill="0" applyBorder="0" applyAlignment="0" applyProtection="0">
      <alignment vertical="top"/>
    </xf>
    <xf numFmtId="175" fontId="37" fillId="0" borderId="0" applyNumberFormat="0" applyFont="0" applyFill="0" applyBorder="0" applyAlignment="0" applyProtection="0">
      <alignment vertical="top"/>
    </xf>
    <xf numFmtId="175" fontId="37" fillId="0" borderId="0" applyNumberFormat="0" applyFont="0" applyFill="0" applyBorder="0" applyAlignment="0" applyProtection="0">
      <alignment vertical="top"/>
    </xf>
    <xf numFmtId="175" fontId="37" fillId="0" borderId="0" applyNumberFormat="0" applyFont="0" applyFill="0" applyBorder="0" applyAlignment="0" applyProtection="0">
      <alignment vertical="top"/>
    </xf>
    <xf numFmtId="175" fontId="37" fillId="0" borderId="0" applyNumberFormat="0" applyFont="0" applyFill="0" applyBorder="0" applyAlignment="0" applyProtection="0">
      <alignment vertical="top"/>
    </xf>
    <xf numFmtId="175" fontId="37" fillId="0" borderId="0" applyNumberFormat="0" applyFont="0" applyFill="0" applyBorder="0" applyAlignment="0" applyProtection="0">
      <alignment vertical="top"/>
    </xf>
    <xf numFmtId="175" fontId="37" fillId="0" borderId="0" applyNumberFormat="0" applyFont="0" applyFill="0" applyBorder="0" applyAlignment="0" applyProtection="0">
      <alignment vertical="top"/>
    </xf>
    <xf numFmtId="175" fontId="37" fillId="0" borderId="0" applyNumberFormat="0" applyFont="0" applyFill="0" applyBorder="0" applyAlignment="0" applyProtection="0">
      <alignment vertical="top"/>
    </xf>
    <xf numFmtId="175" fontId="39" fillId="0" borderId="0"/>
    <xf numFmtId="175" fontId="39" fillId="0" borderId="0"/>
    <xf numFmtId="175" fontId="39" fillId="0" borderId="0"/>
    <xf numFmtId="175" fontId="39" fillId="0" borderId="0"/>
    <xf numFmtId="175" fontId="39" fillId="0" borderId="0"/>
    <xf numFmtId="175" fontId="39" fillId="0" borderId="0"/>
    <xf numFmtId="175" fontId="39" fillId="0" borderId="0"/>
    <xf numFmtId="175" fontId="39" fillId="0" borderId="0"/>
    <xf numFmtId="226" fontId="224" fillId="48" borderId="0">
      <alignment horizontal="center"/>
    </xf>
    <xf numFmtId="49" fontId="225" fillId="0" borderId="0"/>
    <xf numFmtId="49" fontId="226" fillId="0" borderId="0">
      <alignment vertical="top"/>
    </xf>
    <xf numFmtId="0" fontId="78" fillId="0" borderId="17" applyBorder="0" applyAlignment="0">
      <alignment horizontal="left" wrapText="1"/>
    </xf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0" fontId="204" fillId="0" borderId="0" applyNumberFormat="0" applyFill="0" applyBorder="0" applyAlignment="0" applyProtection="0"/>
    <xf numFmtId="227" fontId="227" fillId="0" borderId="0"/>
    <xf numFmtId="228" fontId="205" fillId="0" borderId="0" applyFont="0" applyFill="0" applyBorder="0" applyAlignment="0" applyProtection="0"/>
    <xf numFmtId="229" fontId="205" fillId="0" borderId="0" applyFont="0" applyFill="0" applyBorder="0" applyAlignment="0" applyProtection="0"/>
    <xf numFmtId="0" fontId="119" fillId="0" borderId="0" applyNumberFormat="0" applyFill="0" applyBorder="0">
      <alignment horizontal="left" wrapText="1" indent="1"/>
    </xf>
    <xf numFmtId="0" fontId="119" fillId="0" borderId="0" applyFill="0" applyBorder="0">
      <alignment horizontal="left" wrapText="1" indent="2"/>
    </xf>
    <xf numFmtId="0" fontId="119" fillId="0" borderId="0" applyFill="0" applyBorder="0">
      <alignment horizontal="left" wrapText="1" indent="3"/>
    </xf>
    <xf numFmtId="0" fontId="119" fillId="0" borderId="0" applyFill="0" applyBorder="0">
      <alignment horizontal="left" wrapText="1" indent="4"/>
    </xf>
    <xf numFmtId="0" fontId="228" fillId="0" borderId="0" applyFill="0" applyBorder="0">
      <alignment horizontal="left" wrapText="1" indent="5"/>
    </xf>
    <xf numFmtId="0" fontId="228" fillId="0" borderId="0" applyFill="0" applyBorder="0">
      <alignment horizontal="left" wrapText="1" indent="6"/>
    </xf>
    <xf numFmtId="230" fontId="38" fillId="0" borderId="0" applyFont="0" applyFill="0" applyBorder="0" applyAlignment="0" applyProtection="0"/>
    <xf numFmtId="165" fontId="40" fillId="0" borderId="0" applyFont="0" applyFill="0" applyBorder="0" applyAlignment="0" applyProtection="0"/>
    <xf numFmtId="165" fontId="39" fillId="0" borderId="0" applyFont="0" applyFill="0" applyBorder="0" applyAlignment="0" applyProtection="0"/>
    <xf numFmtId="231" fontId="1" fillId="0" borderId="0" applyFont="0" applyFill="0" applyBorder="0" applyAlignment="0" applyProtection="0"/>
    <xf numFmtId="165" fontId="40" fillId="0" borderId="0" applyFont="0" applyFill="0" applyBorder="0" applyAlignment="0" applyProtection="0"/>
    <xf numFmtId="165" fontId="40" fillId="0" borderId="0" applyFont="0" applyFill="0" applyBorder="0" applyAlignment="0" applyProtection="0"/>
    <xf numFmtId="165" fontId="40" fillId="0" borderId="0" applyFont="0" applyFill="0" applyBorder="0" applyAlignment="0" applyProtection="0"/>
    <xf numFmtId="165" fontId="40" fillId="0" borderId="0" applyFont="0" applyFill="0" applyBorder="0" applyAlignment="0" applyProtection="0"/>
    <xf numFmtId="165" fontId="40" fillId="0" borderId="0" applyFont="0" applyFill="0" applyBorder="0" applyAlignment="0" applyProtection="0"/>
    <xf numFmtId="165" fontId="40" fillId="0" borderId="0" applyFont="0" applyFill="0" applyBorder="0" applyAlignment="0" applyProtection="0"/>
    <xf numFmtId="165" fontId="40" fillId="0" borderId="0" applyFont="0" applyFill="0" applyBorder="0" applyAlignment="0" applyProtection="0"/>
    <xf numFmtId="165" fontId="40" fillId="0" borderId="0" applyFont="0" applyFill="0" applyBorder="0" applyAlignment="0" applyProtection="0"/>
    <xf numFmtId="43" fontId="119" fillId="0" borderId="0" applyFont="0" applyFill="0" applyBorder="0" applyAlignment="0" applyProtection="0"/>
    <xf numFmtId="165" fontId="38" fillId="0" borderId="0" applyFont="0" applyFill="0" applyBorder="0" applyAlignment="0" applyProtection="0"/>
    <xf numFmtId="165" fontId="39" fillId="0" borderId="0" applyFont="0" applyFill="0" applyBorder="0" applyAlignment="0" applyProtection="0"/>
    <xf numFmtId="172" fontId="38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232" fontId="1" fillId="0" borderId="0" applyFont="0" applyFill="0" applyBorder="0" applyAlignment="0" applyProtection="0"/>
    <xf numFmtId="232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8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38" fillId="0" borderId="0" applyFont="0" applyFill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0" fontId="139" fillId="83" borderId="0" applyNumberFormat="0" applyBorder="0" applyAlignment="0" applyProtection="0"/>
    <xf numFmtId="197" fontId="210" fillId="118" borderId="126" applyFont="0" applyFill="0" applyBorder="0" applyAlignment="0" applyProtection="0">
      <protection locked="0"/>
    </xf>
    <xf numFmtId="202" fontId="210" fillId="118" borderId="126" applyFont="0" applyFill="0" applyBorder="0" applyAlignment="0" applyProtection="0">
      <protection locked="0"/>
    </xf>
    <xf numFmtId="199" fontId="210" fillId="118" borderId="126" applyFont="0" applyFill="0" applyBorder="0" applyAlignment="0" applyProtection="0">
      <protection locked="0"/>
    </xf>
    <xf numFmtId="201" fontId="210" fillId="118" borderId="126" applyFont="0" applyFill="0" applyBorder="0" applyAlignment="0" applyProtection="0">
      <protection locked="0"/>
    </xf>
    <xf numFmtId="175" fontId="81" fillId="0" borderId="0">
      <protection locked="0"/>
    </xf>
    <xf numFmtId="175" fontId="81" fillId="0" borderId="0">
      <protection locked="0"/>
    </xf>
    <xf numFmtId="175" fontId="81" fillId="0" borderId="0">
      <protection locked="0"/>
    </xf>
    <xf numFmtId="175" fontId="81" fillId="0" borderId="0">
      <protection locked="0"/>
    </xf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49" fontId="229" fillId="0" borderId="1" applyNumberFormat="0" applyFill="0" applyAlignment="0" applyProtection="0"/>
    <xf numFmtId="197" fontId="210" fillId="0" borderId="1" applyNumberFormat="0" applyAlignment="0"/>
  </cellStyleXfs>
  <cellXfs count="459">
    <xf numFmtId="0" fontId="0" fillId="0" borderId="0" xfId="0"/>
    <xf numFmtId="0" fontId="0" fillId="0" borderId="1" xfId="0" applyFont="1" applyFill="1" applyBorder="1" applyAlignment="1">
      <alignment horizontal="left" vertical="center" wrapText="1"/>
    </xf>
    <xf numFmtId="0" fontId="2" fillId="0" borderId="0" xfId="0" applyFont="1"/>
    <xf numFmtId="0" fontId="0" fillId="0" borderId="0" xfId="0" applyNumberFormat="1"/>
    <xf numFmtId="0" fontId="0" fillId="0" borderId="1" xfId="0" applyFill="1" applyBorder="1" applyAlignment="1">
      <alignment horizontal="center" vertical="center" wrapText="1"/>
    </xf>
    <xf numFmtId="0" fontId="0" fillId="0" borderId="1" xfId="0" applyFill="1" applyBorder="1" applyAlignment="1">
      <alignment horizontal="left" vertical="center" wrapText="1"/>
    </xf>
    <xf numFmtId="0" fontId="0" fillId="0" borderId="0" xfId="0" applyAlignment="1">
      <alignment horizontal="center" vertical="center"/>
    </xf>
    <xf numFmtId="0" fontId="0" fillId="0" borderId="1" xfId="0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53" fillId="0" borderId="0" xfId="476"/>
    <xf numFmtId="0" fontId="56" fillId="0" borderId="0" xfId="476" applyFont="1"/>
    <xf numFmtId="170" fontId="56" fillId="0" borderId="1" xfId="478" applyNumberFormat="1" applyFont="1" applyBorder="1" applyAlignment="1">
      <alignment horizontal="center" vertical="center"/>
    </xf>
    <xf numFmtId="9" fontId="56" fillId="0" borderId="1" xfId="478" applyFont="1" applyBorder="1" applyAlignment="1">
      <alignment horizontal="center" vertical="center"/>
    </xf>
    <xf numFmtId="169" fontId="56" fillId="0" borderId="0" xfId="476" applyNumberFormat="1" applyFont="1"/>
    <xf numFmtId="168" fontId="56" fillId="0" borderId="0" xfId="476" applyNumberFormat="1" applyFont="1"/>
    <xf numFmtId="168" fontId="53" fillId="0" borderId="0" xfId="476" applyNumberFormat="1"/>
    <xf numFmtId="9" fontId="0" fillId="0" borderId="0" xfId="0" applyNumberFormat="1"/>
    <xf numFmtId="170" fontId="51" fillId="0" borderId="1" xfId="0" applyNumberFormat="1" applyFont="1" applyBorder="1" applyAlignment="1">
      <alignment horizontal="center" vertical="center"/>
    </xf>
    <xf numFmtId="3" fontId="0" fillId="0" borderId="0" xfId="0" applyNumberFormat="1"/>
    <xf numFmtId="14" fontId="0" fillId="0" borderId="0" xfId="0" applyNumberFormat="1"/>
    <xf numFmtId="171" fontId="0" fillId="0" borderId="0" xfId="0" applyNumberFormat="1"/>
    <xf numFmtId="170" fontId="51" fillId="65" borderId="1" xfId="0" applyNumberFormat="1" applyFont="1" applyFill="1" applyBorder="1" applyAlignment="1">
      <alignment horizontal="center" vertical="center"/>
    </xf>
    <xf numFmtId="170" fontId="56" fillId="0" borderId="17" xfId="478" applyNumberFormat="1" applyFont="1" applyFill="1" applyBorder="1" applyAlignment="1">
      <alignment horizontal="center" vertical="center"/>
    </xf>
    <xf numFmtId="168" fontId="56" fillId="0" borderId="0" xfId="476" applyNumberFormat="1" applyFont="1" applyFill="1"/>
    <xf numFmtId="168" fontId="0" fillId="0" borderId="0" xfId="0" applyNumberFormat="1"/>
    <xf numFmtId="170" fontId="0" fillId="0" borderId="0" xfId="0" applyNumberFormat="1"/>
    <xf numFmtId="170" fontId="0" fillId="0" borderId="0" xfId="474" applyNumberFormat="1" applyFont="1"/>
    <xf numFmtId="0" fontId="0" fillId="60" borderId="0" xfId="0" applyFont="1" applyFill="1" applyBorder="1" applyAlignment="1">
      <alignment horizontal="left" vertical="center"/>
    </xf>
    <xf numFmtId="0" fontId="0" fillId="60" borderId="0" xfId="0" applyFill="1"/>
    <xf numFmtId="14" fontId="0" fillId="0" borderId="0" xfId="0" applyNumberFormat="1" applyAlignment="1">
      <alignment horizontal="center"/>
    </xf>
    <xf numFmtId="0" fontId="49" fillId="0" borderId="1" xfId="0" applyFont="1" applyBorder="1" applyAlignment="1">
      <alignment vertical="center" wrapText="1"/>
    </xf>
    <xf numFmtId="0" fontId="49" fillId="0" borderId="1" xfId="0" applyFont="1" applyBorder="1" applyAlignment="1">
      <alignment horizontal="center" vertical="center" wrapText="1"/>
    </xf>
    <xf numFmtId="43" fontId="48" fillId="0" borderId="1" xfId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1" xfId="0" applyFont="1" applyFill="1" applyBorder="1" applyAlignment="1">
      <alignment horizontal="left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49" fillId="61" borderId="1" xfId="0" applyFont="1" applyFill="1" applyBorder="1" applyAlignment="1">
      <alignment horizontal="center" vertical="center" wrapText="1"/>
    </xf>
    <xf numFmtId="43" fontId="48" fillId="61" borderId="1" xfId="1" applyFont="1" applyFill="1" applyBorder="1" applyAlignment="1">
      <alignment horizontal="center" vertical="center" wrapText="1"/>
    </xf>
    <xf numFmtId="43" fontId="48" fillId="68" borderId="1" xfId="1" applyFont="1" applyFill="1" applyBorder="1" applyAlignment="1">
      <alignment horizontal="center" vertical="center" wrapText="1"/>
    </xf>
    <xf numFmtId="43" fontId="48" fillId="67" borderId="1" xfId="1" applyFont="1" applyFill="1" applyBorder="1" applyAlignment="1">
      <alignment horizontal="center" vertical="center" wrapText="1"/>
    </xf>
    <xf numFmtId="43" fontId="48" fillId="60" borderId="1" xfId="1" applyFont="1" applyFill="1" applyBorder="1" applyAlignment="1">
      <alignment horizontal="center" vertical="center" wrapText="1"/>
    </xf>
    <xf numFmtId="43" fontId="48" fillId="69" borderId="1" xfId="1" applyFont="1" applyFill="1" applyBorder="1" applyAlignment="1">
      <alignment horizontal="center" vertical="center" wrapText="1"/>
    </xf>
    <xf numFmtId="43" fontId="48" fillId="66" borderId="1" xfId="1" applyFont="1" applyFill="1" applyBorder="1" applyAlignment="1">
      <alignment horizontal="center" vertical="center" wrapText="1"/>
    </xf>
    <xf numFmtId="0" fontId="48" fillId="70" borderId="1" xfId="0" applyFont="1" applyFill="1" applyBorder="1" applyAlignment="1">
      <alignment horizontal="center" vertical="center" wrapText="1"/>
    </xf>
    <xf numFmtId="3" fontId="0" fillId="0" borderId="1" xfId="0" applyNumberFormat="1" applyFont="1" applyFill="1" applyBorder="1" applyAlignment="1">
      <alignment horizontal="center" vertical="center"/>
    </xf>
    <xf numFmtId="3" fontId="0" fillId="0" borderId="18" xfId="0" applyNumberFormat="1" applyFill="1" applyBorder="1" applyAlignment="1">
      <alignment horizontal="center" vertical="center"/>
    </xf>
    <xf numFmtId="3" fontId="0" fillId="0" borderId="1" xfId="0" applyNumberFormat="1" applyFill="1" applyBorder="1" applyAlignment="1">
      <alignment horizontal="center" vertical="center"/>
    </xf>
    <xf numFmtId="0" fontId="49" fillId="0" borderId="18" xfId="0" applyFont="1" applyBorder="1" applyAlignment="1">
      <alignment horizontal="center" vertical="center" wrapText="1"/>
    </xf>
    <xf numFmtId="3" fontId="0" fillId="0" borderId="19" xfId="0" applyNumberFormat="1" applyFont="1" applyFill="1" applyBorder="1" applyAlignment="1">
      <alignment horizontal="center" vertical="center"/>
    </xf>
    <xf numFmtId="3" fontId="0" fillId="0" borderId="0" xfId="0" applyNumberFormat="1" applyFill="1" applyBorder="1" applyAlignment="1">
      <alignment horizontal="center" vertical="center"/>
    </xf>
    <xf numFmtId="3" fontId="0" fillId="0" borderId="18" xfId="0" applyNumberFormat="1" applyFont="1" applyFill="1" applyBorder="1" applyAlignment="1">
      <alignment horizontal="center" vertical="center"/>
    </xf>
    <xf numFmtId="0" fontId="49" fillId="0" borderId="20" xfId="0" applyFont="1" applyBorder="1" applyAlignment="1">
      <alignment horizontal="center" vertical="center" wrapText="1"/>
    </xf>
    <xf numFmtId="0" fontId="49" fillId="0" borderId="21" xfId="0" applyFont="1" applyBorder="1" applyAlignment="1">
      <alignment horizontal="center" vertical="center" wrapText="1"/>
    </xf>
    <xf numFmtId="0" fontId="49" fillId="0" borderId="22" xfId="0" applyFont="1" applyBorder="1" applyAlignment="1">
      <alignment horizontal="center" vertical="center" wrapText="1"/>
    </xf>
    <xf numFmtId="0" fontId="58" fillId="0" borderId="0" xfId="487" applyAlignment="1" applyProtection="1"/>
    <xf numFmtId="14" fontId="0" fillId="60" borderId="0" xfId="0" applyNumberFormat="1" applyFill="1"/>
    <xf numFmtId="0" fontId="0" fillId="61" borderId="0" xfId="0" applyFill="1" applyAlignment="1">
      <alignment horizontal="center"/>
    </xf>
    <xf numFmtId="171" fontId="0" fillId="61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68" borderId="0" xfId="0" applyFill="1"/>
    <xf numFmtId="14" fontId="0" fillId="60" borderId="0" xfId="0" applyNumberFormat="1" applyFill="1" applyAlignment="1">
      <alignment horizontal="center"/>
    </xf>
    <xf numFmtId="14" fontId="0" fillId="71" borderId="0" xfId="0" applyNumberFormat="1" applyFill="1" applyAlignment="1">
      <alignment horizontal="center"/>
    </xf>
    <xf numFmtId="0" fontId="0" fillId="60" borderId="0" xfId="0" applyFill="1" applyAlignment="1">
      <alignment horizontal="left"/>
    </xf>
    <xf numFmtId="0" fontId="0" fillId="71" borderId="0" xfId="0" applyFill="1" applyAlignment="1">
      <alignment horizontal="left"/>
    </xf>
    <xf numFmtId="172" fontId="0" fillId="0" borderId="0" xfId="0" applyNumberFormat="1" applyAlignment="1">
      <alignment horizontal="left"/>
    </xf>
    <xf numFmtId="172" fontId="0" fillId="60" borderId="0" xfId="0" applyNumberFormat="1" applyFill="1" applyAlignment="1">
      <alignment horizontal="left"/>
    </xf>
    <xf numFmtId="172" fontId="0" fillId="71" borderId="0" xfId="0" applyNumberFormat="1" applyFill="1" applyAlignment="1">
      <alignment horizontal="left"/>
    </xf>
    <xf numFmtId="169" fontId="0" fillId="0" borderId="0" xfId="0" applyNumberFormat="1" applyAlignment="1">
      <alignment horizontal="left"/>
    </xf>
    <xf numFmtId="167" fontId="0" fillId="68" borderId="0" xfId="0" applyNumberFormat="1" applyFill="1" applyAlignment="1">
      <alignment horizontal="center"/>
    </xf>
    <xf numFmtId="0" fontId="0" fillId="0" borderId="0" xfId="0" applyFill="1"/>
    <xf numFmtId="167" fontId="0" fillId="0" borderId="0" xfId="0" applyNumberFormat="1" applyFill="1" applyAlignment="1">
      <alignment horizontal="center"/>
    </xf>
    <xf numFmtId="0" fontId="58" fillId="0" borderId="0" xfId="487" applyFill="1" applyAlignment="1" applyProtection="1"/>
    <xf numFmtId="14" fontId="0" fillId="0" borderId="0" xfId="0" applyNumberFormat="1" applyFill="1" applyAlignment="1">
      <alignment horizontal="center"/>
    </xf>
    <xf numFmtId="0" fontId="0" fillId="70" borderId="0" xfId="0" applyFill="1"/>
    <xf numFmtId="0" fontId="0" fillId="70" borderId="0" xfId="0" applyFill="1" applyAlignment="1">
      <alignment horizontal="left"/>
    </xf>
    <xf numFmtId="0" fontId="0" fillId="70" borderId="0" xfId="0" applyFill="1" applyAlignment="1">
      <alignment horizontal="center"/>
    </xf>
    <xf numFmtId="0" fontId="0" fillId="71" borderId="0" xfId="0" applyFont="1" applyFill="1"/>
    <xf numFmtId="0" fontId="0" fillId="0" borderId="0" xfId="0" applyFill="1" applyAlignment="1">
      <alignment horizontal="left"/>
    </xf>
    <xf numFmtId="0" fontId="59" fillId="0" borderId="0" xfId="0" applyFont="1" applyFill="1"/>
    <xf numFmtId="0" fontId="59" fillId="0" borderId="0" xfId="0" applyFont="1" applyFill="1" applyAlignment="1">
      <alignment horizontal="left"/>
    </xf>
    <xf numFmtId="14" fontId="59" fillId="0" borderId="0" xfId="0" applyNumberFormat="1" applyFont="1" applyFill="1" applyAlignment="1">
      <alignment horizontal="center"/>
    </xf>
    <xf numFmtId="0" fontId="59" fillId="0" borderId="0" xfId="0" applyFont="1" applyAlignment="1">
      <alignment horizontal="left"/>
    </xf>
    <xf numFmtId="0" fontId="0" fillId="0" borderId="0" xfId="0" applyFont="1" applyFill="1" applyBorder="1" applyAlignment="1">
      <alignment horizontal="left" vertical="center" wrapText="1"/>
    </xf>
    <xf numFmtId="0" fontId="0" fillId="0" borderId="0" xfId="0" applyFont="1" applyFill="1" applyAlignment="1">
      <alignment horizontal="left"/>
    </xf>
    <xf numFmtId="14" fontId="0" fillId="0" borderId="0" xfId="0" applyNumberFormat="1" applyFont="1" applyFill="1" applyAlignment="1">
      <alignment horizontal="center"/>
    </xf>
    <xf numFmtId="0" fontId="0" fillId="69" borderId="0" xfId="0" applyFill="1"/>
    <xf numFmtId="0" fontId="51" fillId="70" borderId="0" xfId="0" applyFont="1" applyFill="1"/>
    <xf numFmtId="3" fontId="0" fillId="68" borderId="1" xfId="0" applyNumberFormat="1" applyFill="1" applyBorder="1" applyAlignment="1">
      <alignment horizontal="center" vertical="center"/>
    </xf>
    <xf numFmtId="3" fontId="0" fillId="67" borderId="1" xfId="0" applyNumberFormat="1" applyFill="1" applyBorder="1" applyAlignment="1">
      <alignment horizontal="center" vertical="center"/>
    </xf>
    <xf numFmtId="3" fontId="0" fillId="60" borderId="1" xfId="0" applyNumberFormat="1" applyFill="1" applyBorder="1" applyAlignment="1">
      <alignment horizontal="center" vertical="center"/>
    </xf>
    <xf numFmtId="3" fontId="0" fillId="66" borderId="1" xfId="0" applyNumberFormat="1" applyFill="1" applyBorder="1" applyAlignment="1">
      <alignment horizontal="center" vertical="center"/>
    </xf>
    <xf numFmtId="3" fontId="0" fillId="69" borderId="1" xfId="0" applyNumberFormat="1" applyFill="1" applyBorder="1" applyAlignment="1">
      <alignment horizontal="center" vertical="center"/>
    </xf>
    <xf numFmtId="170" fontId="0" fillId="70" borderId="1" xfId="474" applyNumberFormat="1" applyFont="1" applyFill="1" applyBorder="1" applyAlignment="1">
      <alignment horizontal="center" vertical="center"/>
    </xf>
    <xf numFmtId="170" fontId="0" fillId="0" borderId="1" xfId="474" applyNumberFormat="1" applyFont="1" applyFill="1" applyBorder="1" applyAlignment="1">
      <alignment horizontal="center" vertical="center"/>
    </xf>
    <xf numFmtId="0" fontId="0" fillId="0" borderId="1" xfId="0" applyFill="1" applyBorder="1" applyAlignment="1">
      <alignment vertical="center" wrapText="1"/>
    </xf>
    <xf numFmtId="9" fontId="0" fillId="0" borderId="1" xfId="474" applyFont="1" applyFill="1" applyBorder="1" applyAlignment="1">
      <alignment horizontal="center" vertical="center"/>
    </xf>
    <xf numFmtId="9" fontId="0" fillId="0" borderId="1" xfId="0" applyNumberFormat="1" applyFill="1" applyBorder="1" applyAlignment="1">
      <alignment horizontal="center" vertical="center"/>
    </xf>
    <xf numFmtId="170" fontId="0" fillId="0" borderId="1" xfId="0" applyNumberFormat="1" applyFill="1" applyBorder="1" applyAlignment="1">
      <alignment horizontal="center" vertical="center"/>
    </xf>
    <xf numFmtId="3" fontId="3" fillId="68" borderId="1" xfId="0" applyNumberFormat="1" applyFont="1" applyFill="1" applyBorder="1" applyAlignment="1">
      <alignment horizontal="center" vertical="center"/>
    </xf>
    <xf numFmtId="3" fontId="3" fillId="66" borderId="1" xfId="0" applyNumberFormat="1" applyFont="1" applyFill="1" applyBorder="1" applyAlignment="1">
      <alignment horizontal="center" vertical="center"/>
    </xf>
    <xf numFmtId="0" fontId="3" fillId="0" borderId="1" xfId="0" applyFont="1" applyFill="1" applyBorder="1" applyAlignment="1">
      <alignment vertical="center" wrapText="1"/>
    </xf>
    <xf numFmtId="167" fontId="0" fillId="0" borderId="0" xfId="0" applyNumberFormat="1" applyAlignment="1">
      <alignment vertical="center"/>
    </xf>
    <xf numFmtId="167" fontId="0" fillId="65" borderId="0" xfId="0" applyNumberFormat="1" applyFill="1" applyAlignment="1">
      <alignment vertical="center"/>
    </xf>
    <xf numFmtId="0" fontId="0" fillId="61" borderId="1" xfId="0" applyFont="1" applyFill="1" applyBorder="1" applyAlignment="1">
      <alignment horizontal="center" vertical="center" wrapText="1"/>
    </xf>
    <xf numFmtId="0" fontId="0" fillId="61" borderId="1" xfId="0" applyFont="1" applyFill="1" applyBorder="1" applyAlignment="1">
      <alignment horizontal="center" vertical="center"/>
    </xf>
    <xf numFmtId="0" fontId="0" fillId="61" borderId="19" xfId="0" applyFont="1" applyFill="1" applyBorder="1" applyAlignment="1">
      <alignment horizontal="center" vertical="center" wrapText="1"/>
    </xf>
    <xf numFmtId="0" fontId="0" fillId="61" borderId="1" xfId="0" applyFill="1" applyBorder="1" applyAlignment="1">
      <alignment horizontal="center" vertical="center"/>
    </xf>
    <xf numFmtId="0" fontId="3" fillId="61" borderId="1" xfId="0" applyFont="1" applyFill="1" applyBorder="1" applyAlignment="1">
      <alignment horizontal="center" vertical="center"/>
    </xf>
    <xf numFmtId="10" fontId="0" fillId="0" borderId="0" xfId="0" applyNumberFormat="1"/>
    <xf numFmtId="167" fontId="0" fillId="0" borderId="0" xfId="0" applyNumberFormat="1"/>
    <xf numFmtId="0" fontId="0" fillId="60" borderId="1" xfId="0" applyFont="1" applyFill="1" applyBorder="1" applyAlignment="1">
      <alignment horizontal="center" vertical="center"/>
    </xf>
    <xf numFmtId="0" fontId="0" fillId="60" borderId="1" xfId="0" applyFont="1" applyFill="1" applyBorder="1" applyAlignment="1">
      <alignment horizontal="left" vertical="center"/>
    </xf>
    <xf numFmtId="0" fontId="0" fillId="60" borderId="1" xfId="0" applyFont="1" applyFill="1" applyBorder="1" applyAlignment="1">
      <alignment horizontal="left" vertical="center" wrapText="1"/>
    </xf>
    <xf numFmtId="0" fontId="0" fillId="60" borderId="1" xfId="0" applyFill="1" applyBorder="1" applyAlignment="1">
      <alignment horizontal="center" vertical="center" wrapText="1"/>
    </xf>
    <xf numFmtId="3" fontId="0" fillId="60" borderId="1" xfId="0" applyNumberFormat="1" applyFont="1" applyFill="1" applyBorder="1" applyAlignment="1">
      <alignment horizontal="center" vertical="center"/>
    </xf>
    <xf numFmtId="0" fontId="0" fillId="60" borderId="1" xfId="0" applyFill="1" applyBorder="1" applyAlignment="1">
      <alignment horizontal="center" vertical="center"/>
    </xf>
    <xf numFmtId="3" fontId="0" fillId="60" borderId="19" xfId="0" applyNumberFormat="1" applyFont="1" applyFill="1" applyBorder="1" applyAlignment="1">
      <alignment horizontal="center" vertical="center"/>
    </xf>
    <xf numFmtId="3" fontId="0" fillId="60" borderId="18" xfId="0" applyNumberFormat="1" applyFont="1" applyFill="1" applyBorder="1" applyAlignment="1">
      <alignment horizontal="center" vertical="center"/>
    </xf>
    <xf numFmtId="0" fontId="0" fillId="72" borderId="1" xfId="0" applyFont="1" applyFill="1" applyBorder="1" applyAlignment="1">
      <alignment horizontal="center" vertical="center"/>
    </xf>
    <xf numFmtId="0" fontId="0" fillId="72" borderId="1" xfId="0" applyFont="1" applyFill="1" applyBorder="1" applyAlignment="1">
      <alignment horizontal="left" vertical="center"/>
    </xf>
    <xf numFmtId="0" fontId="0" fillId="72" borderId="1" xfId="0" applyFont="1" applyFill="1" applyBorder="1" applyAlignment="1">
      <alignment horizontal="left" vertical="center" wrapText="1"/>
    </xf>
    <xf numFmtId="0" fontId="0" fillId="72" borderId="1" xfId="0" applyFill="1" applyBorder="1" applyAlignment="1">
      <alignment horizontal="center" vertical="center" wrapText="1"/>
    </xf>
    <xf numFmtId="3" fontId="0" fillId="72" borderId="1" xfId="0" applyNumberFormat="1" applyFont="1" applyFill="1" applyBorder="1" applyAlignment="1">
      <alignment horizontal="center" vertical="center"/>
    </xf>
    <xf numFmtId="0" fontId="0" fillId="72" borderId="1" xfId="0" applyFill="1" applyBorder="1" applyAlignment="1">
      <alignment horizontal="center" vertical="center"/>
    </xf>
    <xf numFmtId="3" fontId="0" fillId="72" borderId="19" xfId="0" applyNumberFormat="1" applyFont="1" applyFill="1" applyBorder="1" applyAlignment="1">
      <alignment horizontal="center" vertical="center"/>
    </xf>
    <xf numFmtId="3" fontId="0" fillId="72" borderId="18" xfId="0" applyNumberFormat="1" applyFont="1" applyFill="1" applyBorder="1" applyAlignment="1">
      <alignment horizontal="center" vertical="center"/>
    </xf>
    <xf numFmtId="0" fontId="0" fillId="61" borderId="1" xfId="0" applyFont="1" applyFill="1" applyBorder="1" applyAlignment="1">
      <alignment horizontal="left" vertical="center"/>
    </xf>
    <xf numFmtId="0" fontId="0" fillId="61" borderId="1" xfId="0" applyFont="1" applyFill="1" applyBorder="1" applyAlignment="1">
      <alignment horizontal="left" vertical="center" wrapText="1"/>
    </xf>
    <xf numFmtId="0" fontId="0" fillId="61" borderId="1" xfId="0" applyFill="1" applyBorder="1" applyAlignment="1">
      <alignment horizontal="center" vertical="center" wrapText="1"/>
    </xf>
    <xf numFmtId="3" fontId="0" fillId="61" borderId="1" xfId="0" applyNumberFormat="1" applyFont="1" applyFill="1" applyBorder="1" applyAlignment="1">
      <alignment horizontal="center" vertical="center"/>
    </xf>
    <xf numFmtId="3" fontId="0" fillId="61" borderId="19" xfId="0" applyNumberFormat="1" applyFont="1" applyFill="1" applyBorder="1" applyAlignment="1">
      <alignment horizontal="center" vertical="center"/>
    </xf>
    <xf numFmtId="3" fontId="0" fillId="61" borderId="18" xfId="0" applyNumberFormat="1" applyFont="1" applyFill="1" applyBorder="1" applyAlignment="1">
      <alignment horizontal="center" vertical="center"/>
    </xf>
    <xf numFmtId="0" fontId="0" fillId="73" borderId="1" xfId="0" applyFont="1" applyFill="1" applyBorder="1" applyAlignment="1">
      <alignment horizontal="center" vertical="center"/>
    </xf>
    <xf numFmtId="0" fontId="0" fillId="73" borderId="1" xfId="0" applyFont="1" applyFill="1" applyBorder="1" applyAlignment="1">
      <alignment horizontal="left" vertical="center"/>
    </xf>
    <xf numFmtId="0" fontId="0" fillId="73" borderId="1" xfId="0" applyFont="1" applyFill="1" applyBorder="1" applyAlignment="1">
      <alignment horizontal="left" vertical="center" wrapText="1"/>
    </xf>
    <xf numFmtId="0" fontId="0" fillId="73" borderId="1" xfId="0" applyFill="1" applyBorder="1" applyAlignment="1">
      <alignment horizontal="center" vertical="center" wrapText="1"/>
    </xf>
    <xf numFmtId="3" fontId="0" fillId="73" borderId="1" xfId="0" applyNumberFormat="1" applyFont="1" applyFill="1" applyBorder="1" applyAlignment="1">
      <alignment horizontal="center" vertical="center"/>
    </xf>
    <xf numFmtId="0" fontId="0" fillId="73" borderId="1" xfId="0" applyFill="1" applyBorder="1" applyAlignment="1">
      <alignment horizontal="center" vertical="center"/>
    </xf>
    <xf numFmtId="3" fontId="0" fillId="73" borderId="19" xfId="0" applyNumberFormat="1" applyFont="1" applyFill="1" applyBorder="1" applyAlignment="1">
      <alignment horizontal="center" vertical="center"/>
    </xf>
    <xf numFmtId="3" fontId="0" fillId="73" borderId="18" xfId="0" applyNumberFormat="1" applyFont="1" applyFill="1" applyBorder="1" applyAlignment="1">
      <alignment horizontal="center" vertical="center"/>
    </xf>
    <xf numFmtId="0" fontId="0" fillId="68" borderId="1" xfId="0" applyFont="1" applyFill="1" applyBorder="1" applyAlignment="1">
      <alignment horizontal="center" vertical="center"/>
    </xf>
    <xf numFmtId="0" fontId="0" fillId="68" borderId="1" xfId="0" applyFont="1" applyFill="1" applyBorder="1" applyAlignment="1">
      <alignment horizontal="left" vertical="center"/>
    </xf>
    <xf numFmtId="0" fontId="0" fillId="68" borderId="1" xfId="0" applyFont="1" applyFill="1" applyBorder="1" applyAlignment="1">
      <alignment horizontal="left" vertical="center" wrapText="1"/>
    </xf>
    <xf numFmtId="0" fontId="0" fillId="68" borderId="1" xfId="0" applyFill="1" applyBorder="1" applyAlignment="1">
      <alignment horizontal="center" vertical="center" wrapText="1"/>
    </xf>
    <xf numFmtId="3" fontId="0" fillId="68" borderId="1" xfId="0" applyNumberFormat="1" applyFont="1" applyFill="1" applyBorder="1" applyAlignment="1">
      <alignment horizontal="center" vertical="center"/>
    </xf>
    <xf numFmtId="0" fontId="0" fillId="68" borderId="1" xfId="0" applyFill="1" applyBorder="1" applyAlignment="1">
      <alignment horizontal="center" vertical="center"/>
    </xf>
    <xf numFmtId="3" fontId="0" fillId="68" borderId="19" xfId="0" applyNumberFormat="1" applyFont="1" applyFill="1" applyBorder="1" applyAlignment="1">
      <alignment horizontal="center" vertical="center"/>
    </xf>
    <xf numFmtId="3" fontId="0" fillId="68" borderId="18" xfId="0" applyNumberFormat="1" applyFont="1" applyFill="1" applyBorder="1" applyAlignment="1">
      <alignment horizontal="center" vertical="center"/>
    </xf>
    <xf numFmtId="0" fontId="0" fillId="71" borderId="1" xfId="0" applyFont="1" applyFill="1" applyBorder="1" applyAlignment="1">
      <alignment horizontal="center" vertical="center"/>
    </xf>
    <xf numFmtId="0" fontId="0" fillId="71" borderId="1" xfId="0" applyFont="1" applyFill="1" applyBorder="1" applyAlignment="1">
      <alignment horizontal="left" vertical="center"/>
    </xf>
    <xf numFmtId="0" fontId="0" fillId="71" borderId="1" xfId="0" applyFont="1" applyFill="1" applyBorder="1" applyAlignment="1">
      <alignment horizontal="left" vertical="center" wrapText="1"/>
    </xf>
    <xf numFmtId="0" fontId="0" fillId="71" borderId="1" xfId="0" applyFill="1" applyBorder="1" applyAlignment="1">
      <alignment horizontal="center" vertical="center" wrapText="1"/>
    </xf>
    <xf numFmtId="3" fontId="0" fillId="71" borderId="19" xfId="0" applyNumberFormat="1" applyFont="1" applyFill="1" applyBorder="1" applyAlignment="1">
      <alignment horizontal="center" vertical="center"/>
    </xf>
    <xf numFmtId="3" fontId="0" fillId="71" borderId="1" xfId="0" applyNumberFormat="1" applyFont="1" applyFill="1" applyBorder="1" applyAlignment="1">
      <alignment horizontal="center" vertical="center"/>
    </xf>
    <xf numFmtId="3" fontId="0" fillId="71" borderId="18" xfId="0" applyNumberFormat="1" applyFont="1" applyFill="1" applyBorder="1" applyAlignment="1">
      <alignment horizontal="center" vertical="center"/>
    </xf>
    <xf numFmtId="0" fontId="0" fillId="71" borderId="1" xfId="0" applyFill="1" applyBorder="1" applyAlignment="1">
      <alignment horizontal="center" vertical="center"/>
    </xf>
    <xf numFmtId="0" fontId="0" fillId="67" borderId="1" xfId="0" applyFont="1" applyFill="1" applyBorder="1" applyAlignment="1">
      <alignment horizontal="center" vertical="center"/>
    </xf>
    <xf numFmtId="0" fontId="0" fillId="67" borderId="1" xfId="0" applyFont="1" applyFill="1" applyBorder="1" applyAlignment="1">
      <alignment horizontal="left" vertical="center"/>
    </xf>
    <xf numFmtId="0" fontId="0" fillId="67" borderId="1" xfId="0" applyFont="1" applyFill="1" applyBorder="1" applyAlignment="1">
      <alignment horizontal="left" vertical="center" wrapText="1"/>
    </xf>
    <xf numFmtId="0" fontId="0" fillId="67" borderId="1" xfId="0" applyFill="1" applyBorder="1" applyAlignment="1">
      <alignment horizontal="center" vertical="center" wrapText="1"/>
    </xf>
    <xf numFmtId="3" fontId="0" fillId="67" borderId="19" xfId="0" applyNumberFormat="1" applyFont="1" applyFill="1" applyBorder="1" applyAlignment="1">
      <alignment horizontal="center" vertical="center"/>
    </xf>
    <xf numFmtId="3" fontId="0" fillId="67" borderId="1" xfId="0" applyNumberFormat="1" applyFont="1" applyFill="1" applyBorder="1" applyAlignment="1">
      <alignment horizontal="center" vertical="center"/>
    </xf>
    <xf numFmtId="3" fontId="0" fillId="67" borderId="18" xfId="0" applyNumberFormat="1" applyFont="1" applyFill="1" applyBorder="1" applyAlignment="1">
      <alignment horizontal="center" vertical="center"/>
    </xf>
    <xf numFmtId="0" fontId="0" fillId="67" borderId="1" xfId="0" applyFill="1" applyBorder="1" applyAlignment="1">
      <alignment horizontal="center" vertical="center"/>
    </xf>
    <xf numFmtId="0" fontId="0" fillId="0" borderId="0" xfId="0" applyBorder="1"/>
    <xf numFmtId="170" fontId="0" fillId="70" borderId="1" xfId="0" applyNumberFormat="1" applyFill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60" fillId="0" borderId="20" xfId="0" applyFont="1" applyFill="1" applyBorder="1" applyAlignment="1">
      <alignment vertical="center" wrapText="1"/>
    </xf>
    <xf numFmtId="0" fontId="51" fillId="0" borderId="1" xfId="0" applyFont="1" applyBorder="1" applyAlignment="1">
      <alignment horizontal="center" vertical="center" wrapText="1"/>
    </xf>
    <xf numFmtId="0" fontId="60" fillId="0" borderId="20" xfId="0" applyFont="1" applyFill="1" applyBorder="1" applyAlignment="1">
      <alignment horizontal="center" vertical="center" wrapText="1"/>
    </xf>
    <xf numFmtId="0" fontId="0" fillId="0" borderId="0" xfId="0" pivotButton="1"/>
    <xf numFmtId="172" fontId="0" fillId="0" borderId="0" xfId="0" applyNumberFormat="1"/>
    <xf numFmtId="3" fontId="0" fillId="0" borderId="1" xfId="0" applyNumberFormat="1" applyFill="1" applyBorder="1" applyAlignment="1">
      <alignment vertical="center" wrapText="1"/>
    </xf>
    <xf numFmtId="173" fontId="0" fillId="0" borderId="0" xfId="0" applyNumberFormat="1"/>
    <xf numFmtId="3" fontId="0" fillId="60" borderId="0" xfId="0" applyNumberFormat="1" applyFill="1"/>
    <xf numFmtId="173" fontId="0" fillId="60" borderId="0" xfId="0" applyNumberFormat="1" applyFill="1"/>
    <xf numFmtId="0" fontId="62" fillId="0" borderId="0" xfId="0" applyFont="1"/>
    <xf numFmtId="0" fontId="0" fillId="0" borderId="0" xfId="0" pivotButton="1" applyAlignment="1">
      <alignment vertical="center"/>
    </xf>
    <xf numFmtId="0" fontId="0" fillId="0" borderId="0" xfId="0" applyAlignment="1">
      <alignment vertical="center" wrapText="1"/>
    </xf>
    <xf numFmtId="0" fontId="51" fillId="0" borderId="0" xfId="0" applyFont="1"/>
    <xf numFmtId="0" fontId="64" fillId="0" borderId="0" xfId="0" applyFont="1"/>
    <xf numFmtId="0" fontId="65" fillId="0" borderId="0" xfId="0" applyFont="1" applyBorder="1"/>
    <xf numFmtId="168" fontId="65" fillId="0" borderId="0" xfId="0" applyNumberFormat="1" applyFont="1" applyBorder="1"/>
    <xf numFmtId="0" fontId="3" fillId="0" borderId="0" xfId="0" applyFont="1" applyBorder="1"/>
    <xf numFmtId="0" fontId="3" fillId="0" borderId="0" xfId="0" applyFont="1"/>
    <xf numFmtId="0" fontId="64" fillId="0" borderId="25" xfId="0" applyFont="1" applyBorder="1" applyAlignment="1">
      <alignment vertical="center" wrapText="1"/>
    </xf>
    <xf numFmtId="0" fontId="64" fillId="0" borderId="0" xfId="0" applyFont="1" applyBorder="1" applyAlignment="1">
      <alignment horizontal="left" wrapText="1"/>
    </xf>
    <xf numFmtId="0" fontId="64" fillId="0" borderId="0" xfId="0" applyFont="1" applyBorder="1" applyAlignment="1">
      <alignment wrapText="1"/>
    </xf>
    <xf numFmtId="0" fontId="67" fillId="0" borderId="36" xfId="0" applyFont="1" applyBorder="1" applyAlignment="1">
      <alignment horizontal="center" vertical="center"/>
    </xf>
    <xf numFmtId="0" fontId="67" fillId="0" borderId="37" xfId="0" applyFont="1" applyBorder="1" applyAlignment="1">
      <alignment horizontal="center" vertical="center"/>
    </xf>
    <xf numFmtId="0" fontId="67" fillId="0" borderId="38" xfId="0" applyFont="1" applyBorder="1" applyAlignment="1">
      <alignment horizontal="center" vertical="center"/>
    </xf>
    <xf numFmtId="0" fontId="67" fillId="0" borderId="28" xfId="0" applyFont="1" applyBorder="1" applyAlignment="1">
      <alignment horizontal="center" vertical="center"/>
    </xf>
    <xf numFmtId="0" fontId="67" fillId="0" borderId="39" xfId="0" applyFont="1" applyBorder="1" applyAlignment="1">
      <alignment horizontal="center" vertical="center"/>
    </xf>
    <xf numFmtId="0" fontId="67" fillId="0" borderId="40" xfId="0" applyFont="1" applyBorder="1" applyAlignment="1">
      <alignment horizontal="center" vertical="center"/>
    </xf>
    <xf numFmtId="0" fontId="67" fillId="0" borderId="41" xfId="0" applyFont="1" applyBorder="1" applyAlignment="1">
      <alignment horizontal="center" vertical="center"/>
    </xf>
    <xf numFmtId="0" fontId="67" fillId="0" borderId="27" xfId="0" applyFont="1" applyBorder="1" applyAlignment="1">
      <alignment horizontal="center" vertical="center"/>
    </xf>
    <xf numFmtId="0" fontId="67" fillId="0" borderId="42" xfId="0" applyFont="1" applyBorder="1" applyAlignment="1">
      <alignment horizontal="center" vertical="center"/>
    </xf>
    <xf numFmtId="0" fontId="68" fillId="0" borderId="46" xfId="490" applyFont="1" applyFill="1" applyBorder="1" applyAlignment="1">
      <alignment vertical="center" wrapText="1"/>
    </xf>
    <xf numFmtId="169" fontId="68" fillId="0" borderId="47" xfId="0" applyNumberFormat="1" applyFont="1" applyFill="1" applyBorder="1" applyAlignment="1">
      <alignment horizontal="center" vertical="center"/>
    </xf>
    <xf numFmtId="169" fontId="68" fillId="0" borderId="48" xfId="0" applyNumberFormat="1" applyFont="1" applyFill="1" applyBorder="1" applyAlignment="1">
      <alignment horizontal="center" vertical="center"/>
    </xf>
    <xf numFmtId="169" fontId="68" fillId="0" borderId="49" xfId="0" applyNumberFormat="1" applyFont="1" applyFill="1" applyBorder="1" applyAlignment="1">
      <alignment horizontal="center" vertical="center"/>
    </xf>
    <xf numFmtId="169" fontId="68" fillId="0" borderId="50" xfId="0" applyNumberFormat="1" applyFont="1" applyFill="1" applyBorder="1" applyAlignment="1">
      <alignment horizontal="center" vertical="center"/>
    </xf>
    <xf numFmtId="169" fontId="68" fillId="0" borderId="51" xfId="0" applyNumberFormat="1" applyFont="1" applyFill="1" applyBorder="1" applyAlignment="1">
      <alignment horizontal="center" vertical="center"/>
    </xf>
    <xf numFmtId="169" fontId="68" fillId="0" borderId="52" xfId="0" applyNumberFormat="1" applyFont="1" applyFill="1" applyBorder="1" applyAlignment="1">
      <alignment horizontal="center" vertical="center"/>
    </xf>
    <xf numFmtId="169" fontId="68" fillId="0" borderId="53" xfId="0" applyNumberFormat="1" applyFont="1" applyFill="1" applyBorder="1" applyAlignment="1">
      <alignment horizontal="center" vertical="center"/>
    </xf>
    <xf numFmtId="169" fontId="69" fillId="0" borderId="46" xfId="0" applyNumberFormat="1" applyFont="1" applyFill="1" applyBorder="1" applyAlignment="1">
      <alignment horizontal="center" vertical="center"/>
    </xf>
    <xf numFmtId="169" fontId="69" fillId="0" borderId="48" xfId="0" applyNumberFormat="1" applyFont="1" applyFill="1" applyBorder="1" applyAlignment="1">
      <alignment horizontal="center" vertical="center"/>
    </xf>
    <xf numFmtId="169" fontId="69" fillId="0" borderId="51" xfId="0" applyNumberFormat="1" applyFont="1" applyFill="1" applyBorder="1" applyAlignment="1">
      <alignment horizontal="center" vertical="center"/>
    </xf>
    <xf numFmtId="169" fontId="69" fillId="0" borderId="52" xfId="0" applyNumberFormat="1" applyFont="1" applyFill="1" applyBorder="1" applyAlignment="1">
      <alignment horizontal="center" vertical="center"/>
    </xf>
    <xf numFmtId="169" fontId="69" fillId="0" borderId="53" xfId="0" applyNumberFormat="1" applyFont="1" applyFill="1" applyBorder="1" applyAlignment="1">
      <alignment horizontal="center" vertical="center"/>
    </xf>
    <xf numFmtId="169" fontId="69" fillId="0" borderId="49" xfId="0" applyNumberFormat="1" applyFont="1" applyFill="1" applyBorder="1" applyAlignment="1">
      <alignment horizontal="center" vertical="center"/>
    </xf>
    <xf numFmtId="169" fontId="69" fillId="0" borderId="54" xfId="0" applyNumberFormat="1" applyFont="1" applyFill="1" applyBorder="1" applyAlignment="1">
      <alignment horizontal="center" vertical="center"/>
    </xf>
    <xf numFmtId="169" fontId="70" fillId="0" borderId="55" xfId="0" applyNumberFormat="1" applyFont="1" applyBorder="1" applyAlignment="1">
      <alignment horizontal="center" vertical="center"/>
    </xf>
    <xf numFmtId="169" fontId="69" fillId="0" borderId="56" xfId="0" applyNumberFormat="1" applyFont="1" applyBorder="1" applyAlignment="1">
      <alignment horizontal="center" vertical="center"/>
    </xf>
    <xf numFmtId="169" fontId="69" fillId="0" borderId="57" xfId="0" applyNumberFormat="1" applyFont="1" applyBorder="1" applyAlignment="1">
      <alignment horizontal="center" vertical="center"/>
    </xf>
    <xf numFmtId="0" fontId="71" fillId="0" borderId="58" xfId="490" applyFont="1" applyFill="1" applyBorder="1" applyAlignment="1">
      <alignment vertical="center" wrapText="1"/>
    </xf>
    <xf numFmtId="169" fontId="71" fillId="0" borderId="59" xfId="0" applyNumberFormat="1" applyFont="1" applyFill="1" applyBorder="1" applyAlignment="1">
      <alignment horizontal="center" vertical="center"/>
    </xf>
    <xf numFmtId="169" fontId="71" fillId="0" borderId="60" xfId="0" applyNumberFormat="1" applyFont="1" applyFill="1" applyBorder="1" applyAlignment="1">
      <alignment horizontal="center" vertical="center"/>
    </xf>
    <xf numFmtId="169" fontId="71" fillId="0" borderId="61" xfId="0" applyNumberFormat="1" applyFont="1" applyFill="1" applyBorder="1" applyAlignment="1">
      <alignment horizontal="center" vertical="center"/>
    </xf>
    <xf numFmtId="169" fontId="71" fillId="0" borderId="62" xfId="0" applyNumberFormat="1" applyFont="1" applyFill="1" applyBorder="1" applyAlignment="1">
      <alignment horizontal="center" vertical="center"/>
    </xf>
    <xf numFmtId="169" fontId="71" fillId="0" borderId="63" xfId="0" applyNumberFormat="1" applyFont="1" applyFill="1" applyBorder="1" applyAlignment="1">
      <alignment horizontal="center" vertical="center"/>
    </xf>
    <xf numFmtId="169" fontId="71" fillId="0" borderId="56" xfId="0" applyNumberFormat="1" applyFont="1" applyFill="1" applyBorder="1" applyAlignment="1">
      <alignment horizontal="center" vertical="center"/>
    </xf>
    <xf numFmtId="169" fontId="71" fillId="0" borderId="64" xfId="0" applyNumberFormat="1" applyFont="1" applyFill="1" applyBorder="1" applyAlignment="1">
      <alignment horizontal="center" vertical="center"/>
    </xf>
    <xf numFmtId="169" fontId="69" fillId="0" borderId="58" xfId="0" applyNumberFormat="1" applyFont="1" applyFill="1" applyBorder="1" applyAlignment="1">
      <alignment horizontal="center" vertical="center"/>
    </xf>
    <xf numFmtId="169" fontId="69" fillId="0" borderId="60" xfId="0" applyNumberFormat="1" applyFont="1" applyFill="1" applyBorder="1" applyAlignment="1">
      <alignment horizontal="center" vertical="center"/>
    </xf>
    <xf numFmtId="169" fontId="69" fillId="0" borderId="63" xfId="0" applyNumberFormat="1" applyFont="1" applyFill="1" applyBorder="1" applyAlignment="1">
      <alignment horizontal="center" vertical="center"/>
    </xf>
    <xf numFmtId="169" fontId="69" fillId="0" borderId="56" xfId="0" applyNumberFormat="1" applyFont="1" applyFill="1" applyBorder="1" applyAlignment="1">
      <alignment horizontal="center" vertical="center"/>
    </xf>
    <xf numFmtId="169" fontId="69" fillId="0" borderId="64" xfId="0" applyNumberFormat="1" applyFont="1" applyFill="1" applyBorder="1" applyAlignment="1">
      <alignment horizontal="center" vertical="center"/>
    </xf>
    <xf numFmtId="169" fontId="69" fillId="0" borderId="61" xfId="0" applyNumberFormat="1" applyFont="1" applyFill="1" applyBorder="1" applyAlignment="1">
      <alignment horizontal="center" vertical="center"/>
    </xf>
    <xf numFmtId="169" fontId="69" fillId="0" borderId="65" xfId="0" applyNumberFormat="1" applyFont="1" applyFill="1" applyBorder="1" applyAlignment="1">
      <alignment horizontal="center" vertical="center"/>
    </xf>
    <xf numFmtId="169" fontId="69" fillId="0" borderId="66" xfId="0" applyNumberFormat="1" applyFont="1" applyBorder="1" applyAlignment="1">
      <alignment horizontal="center" vertical="center"/>
    </xf>
    <xf numFmtId="0" fontId="67" fillId="0" borderId="67" xfId="0" applyFont="1" applyFill="1" applyBorder="1" applyAlignment="1">
      <alignment horizontal="left" vertical="center"/>
    </xf>
    <xf numFmtId="169" fontId="67" fillId="0" borderId="68" xfId="0" applyNumberFormat="1" applyFont="1" applyFill="1" applyBorder="1" applyAlignment="1">
      <alignment horizontal="center" vertical="center"/>
    </xf>
    <xf numFmtId="169" fontId="67" fillId="0" borderId="69" xfId="0" applyNumberFormat="1" applyFont="1" applyFill="1" applyBorder="1" applyAlignment="1">
      <alignment horizontal="center" vertical="center"/>
    </xf>
    <xf numFmtId="169" fontId="67" fillId="0" borderId="70" xfId="0" applyNumberFormat="1" applyFont="1" applyFill="1" applyBorder="1" applyAlignment="1">
      <alignment horizontal="center" vertical="center"/>
    </xf>
    <xf numFmtId="169" fontId="67" fillId="0" borderId="71" xfId="0" applyNumberFormat="1" applyFont="1" applyFill="1" applyBorder="1" applyAlignment="1">
      <alignment horizontal="center" vertical="center"/>
    </xf>
    <xf numFmtId="169" fontId="67" fillId="0" borderId="72" xfId="0" applyNumberFormat="1" applyFont="1" applyFill="1" applyBorder="1" applyAlignment="1">
      <alignment horizontal="center" vertical="center"/>
    </xf>
    <xf numFmtId="169" fontId="67" fillId="0" borderId="73" xfId="0" applyNumberFormat="1" applyFont="1" applyFill="1" applyBorder="1" applyAlignment="1">
      <alignment horizontal="center" vertical="center"/>
    </xf>
    <xf numFmtId="169" fontId="67" fillId="0" borderId="74" xfId="0" applyNumberFormat="1" applyFont="1" applyFill="1" applyBorder="1" applyAlignment="1">
      <alignment horizontal="center" vertical="center"/>
    </xf>
    <xf numFmtId="169" fontId="72" fillId="0" borderId="67" xfId="0" applyNumberFormat="1" applyFont="1" applyFill="1" applyBorder="1" applyAlignment="1">
      <alignment horizontal="center" vertical="center"/>
    </xf>
    <xf numFmtId="169" fontId="72" fillId="0" borderId="69" xfId="0" applyNumberFormat="1" applyFont="1" applyFill="1" applyBorder="1" applyAlignment="1">
      <alignment horizontal="center" vertical="center"/>
    </xf>
    <xf numFmtId="169" fontId="72" fillId="0" borderId="72" xfId="0" applyNumberFormat="1" applyFont="1" applyFill="1" applyBorder="1" applyAlignment="1">
      <alignment horizontal="center" vertical="center"/>
    </xf>
    <xf numFmtId="169" fontId="72" fillId="0" borderId="73" xfId="0" applyNumberFormat="1" applyFont="1" applyFill="1" applyBorder="1" applyAlignment="1">
      <alignment horizontal="center" vertical="center"/>
    </xf>
    <xf numFmtId="169" fontId="72" fillId="0" borderId="74" xfId="0" applyNumberFormat="1" applyFont="1" applyFill="1" applyBorder="1" applyAlignment="1">
      <alignment horizontal="center" vertical="center"/>
    </xf>
    <xf numFmtId="169" fontId="72" fillId="0" borderId="70" xfId="0" applyNumberFormat="1" applyFont="1" applyFill="1" applyBorder="1" applyAlignment="1">
      <alignment horizontal="center" vertical="center"/>
    </xf>
    <xf numFmtId="169" fontId="72" fillId="0" borderId="75" xfId="0" applyNumberFormat="1" applyFont="1" applyFill="1" applyBorder="1" applyAlignment="1">
      <alignment horizontal="center" vertical="center"/>
    </xf>
    <xf numFmtId="169" fontId="66" fillId="0" borderId="76" xfId="0" applyNumberFormat="1" applyFont="1" applyBorder="1" applyAlignment="1">
      <alignment horizontal="center" vertical="center"/>
    </xf>
    <xf numFmtId="169" fontId="72" fillId="0" borderId="73" xfId="0" applyNumberFormat="1" applyFont="1" applyBorder="1" applyAlignment="1">
      <alignment horizontal="center" vertical="center"/>
    </xf>
    <xf numFmtId="169" fontId="72" fillId="0" borderId="77" xfId="0" applyNumberFormat="1" applyFont="1" applyBorder="1" applyAlignment="1">
      <alignment horizontal="center" vertical="center"/>
    </xf>
    <xf numFmtId="174" fontId="3" fillId="0" borderId="0" xfId="0" applyNumberFormat="1" applyFont="1"/>
    <xf numFmtId="0" fontId="67" fillId="0" borderId="78" xfId="0" applyFont="1" applyFill="1" applyBorder="1" applyAlignment="1">
      <alignment horizontal="left" vertical="center"/>
    </xf>
    <xf numFmtId="169" fontId="67" fillId="0" borderId="79" xfId="0" applyNumberFormat="1" applyFont="1" applyFill="1" applyBorder="1" applyAlignment="1">
      <alignment horizontal="center" vertical="center"/>
    </xf>
    <xf numFmtId="169" fontId="67" fillId="0" borderId="80" xfId="0" applyNumberFormat="1" applyFont="1" applyFill="1" applyBorder="1" applyAlignment="1">
      <alignment horizontal="center" vertical="center"/>
    </xf>
    <xf numFmtId="169" fontId="67" fillId="0" borderId="81" xfId="0" applyNumberFormat="1" applyFont="1" applyFill="1" applyBorder="1" applyAlignment="1">
      <alignment horizontal="center" vertical="center"/>
    </xf>
    <xf numFmtId="169" fontId="67" fillId="0" borderId="82" xfId="0" applyNumberFormat="1" applyFont="1" applyFill="1" applyBorder="1" applyAlignment="1">
      <alignment horizontal="center" vertical="center"/>
    </xf>
    <xf numFmtId="169" fontId="67" fillId="0" borderId="83" xfId="0" applyNumberFormat="1" applyFont="1" applyFill="1" applyBorder="1" applyAlignment="1">
      <alignment horizontal="center" vertical="center"/>
    </xf>
    <xf numFmtId="169" fontId="67" fillId="0" borderId="84" xfId="0" applyNumberFormat="1" applyFont="1" applyFill="1" applyBorder="1" applyAlignment="1">
      <alignment horizontal="center" vertical="center"/>
    </xf>
    <xf numFmtId="169" fontId="67" fillId="0" borderId="85" xfId="0" applyNumberFormat="1" applyFont="1" applyFill="1" applyBorder="1" applyAlignment="1">
      <alignment horizontal="center" vertical="center"/>
    </xf>
    <xf numFmtId="169" fontId="72" fillId="0" borderId="78" xfId="0" applyNumberFormat="1" applyFont="1" applyFill="1" applyBorder="1" applyAlignment="1">
      <alignment horizontal="center" vertical="center"/>
    </xf>
    <xf numFmtId="169" fontId="72" fillId="0" borderId="80" xfId="0" applyNumberFormat="1" applyFont="1" applyFill="1" applyBorder="1" applyAlignment="1">
      <alignment horizontal="center" vertical="center"/>
    </xf>
    <xf numFmtId="169" fontId="72" fillId="0" borderId="83" xfId="0" applyNumberFormat="1" applyFont="1" applyFill="1" applyBorder="1" applyAlignment="1">
      <alignment horizontal="center" vertical="center"/>
    </xf>
    <xf numFmtId="169" fontId="72" fillId="0" borderId="84" xfId="0" applyNumberFormat="1" applyFont="1" applyFill="1" applyBorder="1" applyAlignment="1">
      <alignment horizontal="center" vertical="center"/>
    </xf>
    <xf numFmtId="169" fontId="72" fillId="0" borderId="85" xfId="0" applyNumberFormat="1" applyFont="1" applyFill="1" applyBorder="1" applyAlignment="1">
      <alignment horizontal="center" vertical="center"/>
    </xf>
    <xf numFmtId="169" fontId="72" fillId="0" borderId="81" xfId="0" applyNumberFormat="1" applyFont="1" applyFill="1" applyBorder="1" applyAlignment="1">
      <alignment horizontal="center" vertical="center"/>
    </xf>
    <xf numFmtId="169" fontId="72" fillId="0" borderId="86" xfId="0" applyNumberFormat="1" applyFont="1" applyFill="1" applyBorder="1" applyAlignment="1">
      <alignment horizontal="center" vertical="center"/>
    </xf>
    <xf numFmtId="169" fontId="66" fillId="0" borderId="87" xfId="0" applyNumberFormat="1" applyFont="1" applyBorder="1" applyAlignment="1">
      <alignment horizontal="center" vertical="center"/>
    </xf>
    <xf numFmtId="169" fontId="72" fillId="0" borderId="84" xfId="0" applyNumberFormat="1" applyFont="1" applyBorder="1" applyAlignment="1">
      <alignment horizontal="center" vertical="center"/>
    </xf>
    <xf numFmtId="169" fontId="72" fillId="0" borderId="88" xfId="0" applyNumberFormat="1" applyFont="1" applyBorder="1" applyAlignment="1">
      <alignment horizontal="center" vertical="center"/>
    </xf>
    <xf numFmtId="0" fontId="73" fillId="0" borderId="89" xfId="0" applyFont="1" applyFill="1" applyBorder="1" applyAlignment="1">
      <alignment horizontal="left" vertical="center"/>
    </xf>
    <xf numFmtId="169" fontId="73" fillId="0" borderId="90" xfId="0" applyNumberFormat="1" applyFont="1" applyFill="1" applyBorder="1" applyAlignment="1">
      <alignment horizontal="center" vertical="center"/>
    </xf>
    <xf numFmtId="169" fontId="73" fillId="0" borderId="91" xfId="0" applyNumberFormat="1" applyFont="1" applyFill="1" applyBorder="1" applyAlignment="1">
      <alignment horizontal="center" vertical="center"/>
    </xf>
    <xf numFmtId="169" fontId="73" fillId="0" borderId="92" xfId="0" applyNumberFormat="1" applyFont="1" applyFill="1" applyBorder="1" applyAlignment="1">
      <alignment horizontal="center" vertical="center"/>
    </xf>
    <xf numFmtId="169" fontId="73" fillId="0" borderId="93" xfId="0" applyNumberFormat="1" applyFont="1" applyFill="1" applyBorder="1" applyAlignment="1">
      <alignment horizontal="center" vertical="center"/>
    </xf>
    <xf numFmtId="169" fontId="73" fillId="0" borderId="94" xfId="0" applyNumberFormat="1" applyFont="1" applyFill="1" applyBorder="1" applyAlignment="1">
      <alignment horizontal="center" vertical="center"/>
    </xf>
    <xf numFmtId="169" fontId="73" fillId="0" borderId="95" xfId="0" applyNumberFormat="1" applyFont="1" applyFill="1" applyBorder="1" applyAlignment="1">
      <alignment horizontal="center" vertical="center"/>
    </xf>
    <xf numFmtId="169" fontId="73" fillId="0" borderId="96" xfId="0" applyNumberFormat="1" applyFont="1" applyFill="1" applyBorder="1" applyAlignment="1">
      <alignment horizontal="center" vertical="center"/>
    </xf>
    <xf numFmtId="169" fontId="72" fillId="0" borderId="89" xfId="0" applyNumberFormat="1" applyFont="1" applyFill="1" applyBorder="1" applyAlignment="1">
      <alignment horizontal="center" vertical="center"/>
    </xf>
    <xf numFmtId="169" fontId="72" fillId="0" borderId="91" xfId="0" applyNumberFormat="1" applyFont="1" applyFill="1" applyBorder="1" applyAlignment="1">
      <alignment horizontal="center" vertical="center"/>
    </xf>
    <xf numFmtId="169" fontId="72" fillId="0" borderId="94" xfId="0" applyNumberFormat="1" applyFont="1" applyFill="1" applyBorder="1" applyAlignment="1">
      <alignment horizontal="center" vertical="center"/>
    </xf>
    <xf numFmtId="169" fontId="72" fillId="0" borderId="95" xfId="0" applyNumberFormat="1" applyFont="1" applyFill="1" applyBorder="1" applyAlignment="1">
      <alignment horizontal="center" vertical="center"/>
    </xf>
    <xf numFmtId="169" fontId="72" fillId="0" borderId="96" xfId="0" applyNumberFormat="1" applyFont="1" applyFill="1" applyBorder="1" applyAlignment="1">
      <alignment horizontal="center" vertical="center"/>
    </xf>
    <xf numFmtId="169" fontId="72" fillId="0" borderId="92" xfId="0" applyNumberFormat="1" applyFont="1" applyFill="1" applyBorder="1" applyAlignment="1">
      <alignment horizontal="center" vertical="center"/>
    </xf>
    <xf numFmtId="169" fontId="72" fillId="0" borderId="97" xfId="0" applyNumberFormat="1" applyFont="1" applyFill="1" applyBorder="1" applyAlignment="1">
      <alignment horizontal="center" vertical="center"/>
    </xf>
    <xf numFmtId="169" fontId="66" fillId="0" borderId="98" xfId="0" applyNumberFormat="1" applyFont="1" applyBorder="1" applyAlignment="1">
      <alignment horizontal="center" vertical="center"/>
    </xf>
    <xf numFmtId="169" fontId="72" fillId="0" borderId="95" xfId="0" applyNumberFormat="1" applyFont="1" applyBorder="1" applyAlignment="1">
      <alignment horizontal="center" vertical="center"/>
    </xf>
    <xf numFmtId="169" fontId="72" fillId="0" borderId="99" xfId="0" applyNumberFormat="1" applyFont="1" applyBorder="1" applyAlignment="1">
      <alignment horizontal="center" vertical="center"/>
    </xf>
    <xf numFmtId="169" fontId="70" fillId="0" borderId="100" xfId="0" applyNumberFormat="1" applyFont="1" applyBorder="1" applyAlignment="1">
      <alignment horizontal="center" vertical="center"/>
    </xf>
    <xf numFmtId="169" fontId="69" fillId="0" borderId="52" xfId="0" applyNumberFormat="1" applyFont="1" applyBorder="1" applyAlignment="1">
      <alignment horizontal="center" vertical="center"/>
    </xf>
    <xf numFmtId="169" fontId="71" fillId="0" borderId="68" xfId="0" applyNumberFormat="1" applyFont="1" applyFill="1" applyBorder="1" applyAlignment="1">
      <alignment horizontal="center" vertical="center"/>
    </xf>
    <xf numFmtId="169" fontId="71" fillId="0" borderId="69" xfId="0" applyNumberFormat="1" applyFont="1" applyFill="1" applyBorder="1" applyAlignment="1">
      <alignment horizontal="center" vertical="center"/>
    </xf>
    <xf numFmtId="169" fontId="71" fillId="0" borderId="70" xfId="0" applyNumberFormat="1" applyFont="1" applyFill="1" applyBorder="1" applyAlignment="1">
      <alignment horizontal="center" vertical="center"/>
    </xf>
    <xf numFmtId="169" fontId="71" fillId="0" borderId="71" xfId="0" applyNumberFormat="1" applyFont="1" applyFill="1" applyBorder="1" applyAlignment="1">
      <alignment horizontal="center" vertical="center"/>
    </xf>
    <xf numFmtId="169" fontId="71" fillId="0" borderId="72" xfId="0" applyNumberFormat="1" applyFont="1" applyFill="1" applyBorder="1" applyAlignment="1">
      <alignment horizontal="center" vertical="center"/>
    </xf>
    <xf numFmtId="169" fontId="71" fillId="0" borderId="73" xfId="0" applyNumberFormat="1" applyFont="1" applyFill="1" applyBorder="1" applyAlignment="1">
      <alignment horizontal="center" vertical="center"/>
    </xf>
    <xf numFmtId="169" fontId="71" fillId="0" borderId="74" xfId="0" applyNumberFormat="1" applyFont="1" applyFill="1" applyBorder="1" applyAlignment="1">
      <alignment horizontal="center" vertical="center"/>
    </xf>
    <xf numFmtId="169" fontId="67" fillId="0" borderId="90" xfId="0" applyNumberFormat="1" applyFont="1" applyFill="1" applyBorder="1" applyAlignment="1">
      <alignment horizontal="center" vertical="center"/>
    </xf>
    <xf numFmtId="169" fontId="67" fillId="0" borderId="91" xfId="0" applyNumberFormat="1" applyFont="1" applyFill="1" applyBorder="1" applyAlignment="1">
      <alignment horizontal="center" vertical="center"/>
    </xf>
    <xf numFmtId="169" fontId="67" fillId="0" borderId="92" xfId="0" applyNumberFormat="1" applyFont="1" applyFill="1" applyBorder="1" applyAlignment="1">
      <alignment horizontal="center" vertical="center"/>
    </xf>
    <xf numFmtId="169" fontId="67" fillId="0" borderId="93" xfId="0" applyNumberFormat="1" applyFont="1" applyFill="1" applyBorder="1" applyAlignment="1">
      <alignment horizontal="center" vertical="center"/>
    </xf>
    <xf numFmtId="169" fontId="67" fillId="0" borderId="94" xfId="0" applyNumberFormat="1" applyFont="1" applyFill="1" applyBorder="1" applyAlignment="1">
      <alignment horizontal="center" vertical="center"/>
    </xf>
    <xf numFmtId="169" fontId="67" fillId="0" borderId="95" xfId="0" applyNumberFormat="1" applyFont="1" applyFill="1" applyBorder="1" applyAlignment="1">
      <alignment horizontal="center" vertical="center"/>
    </xf>
    <xf numFmtId="169" fontId="67" fillId="0" borderId="96" xfId="0" applyNumberFormat="1" applyFont="1" applyFill="1" applyBorder="1" applyAlignment="1">
      <alignment horizontal="center" vertical="center"/>
    </xf>
    <xf numFmtId="0" fontId="68" fillId="0" borderId="46" xfId="0" applyFont="1" applyFill="1" applyBorder="1" applyAlignment="1">
      <alignment horizontal="left" vertical="center" wrapText="1" indent="1"/>
    </xf>
    <xf numFmtId="169" fontId="69" fillId="0" borderId="46" xfId="0" applyNumberFormat="1" applyFont="1" applyBorder="1" applyAlignment="1">
      <alignment horizontal="center" vertical="center"/>
    </xf>
    <xf numFmtId="169" fontId="69" fillId="0" borderId="48" xfId="0" applyNumberFormat="1" applyFont="1" applyBorder="1" applyAlignment="1">
      <alignment horizontal="center" vertical="center"/>
    </xf>
    <xf numFmtId="169" fontId="69" fillId="0" borderId="51" xfId="0" applyNumberFormat="1" applyFont="1" applyBorder="1" applyAlignment="1">
      <alignment horizontal="center" vertical="center"/>
    </xf>
    <xf numFmtId="169" fontId="69" fillId="0" borderId="53" xfId="0" applyNumberFormat="1" applyFont="1" applyBorder="1" applyAlignment="1">
      <alignment horizontal="center" vertical="center"/>
    </xf>
    <xf numFmtId="169" fontId="69" fillId="0" borderId="49" xfId="0" applyNumberFormat="1" applyFont="1" applyBorder="1" applyAlignment="1">
      <alignment horizontal="center" vertical="center"/>
    </xf>
    <xf numFmtId="169" fontId="69" fillId="0" borderId="54" xfId="0" applyNumberFormat="1" applyFont="1" applyBorder="1" applyAlignment="1">
      <alignment horizontal="center" vertical="center"/>
    </xf>
    <xf numFmtId="0" fontId="71" fillId="0" borderId="67" xfId="0" applyFont="1" applyFill="1" applyBorder="1" applyAlignment="1">
      <alignment horizontal="left" vertical="center" indent="1"/>
    </xf>
    <xf numFmtId="169" fontId="69" fillId="0" borderId="58" xfId="0" applyNumberFormat="1" applyFont="1" applyBorder="1" applyAlignment="1">
      <alignment horizontal="center" vertical="center"/>
    </xf>
    <xf numFmtId="169" fontId="69" fillId="0" borderId="60" xfId="0" applyNumberFormat="1" applyFont="1" applyBorder="1" applyAlignment="1">
      <alignment horizontal="center" vertical="center"/>
    </xf>
    <xf numFmtId="169" fontId="69" fillId="0" borderId="63" xfId="0" applyNumberFormat="1" applyFont="1" applyBorder="1" applyAlignment="1">
      <alignment horizontal="center" vertical="center"/>
    </xf>
    <xf numFmtId="169" fontId="69" fillId="0" borderId="64" xfId="0" applyNumberFormat="1" applyFont="1" applyBorder="1" applyAlignment="1">
      <alignment horizontal="center" vertical="center"/>
    </xf>
    <xf numFmtId="169" fontId="69" fillId="0" borderId="61" xfId="0" applyNumberFormat="1" applyFont="1" applyBorder="1" applyAlignment="1">
      <alignment horizontal="center" vertical="center"/>
    </xf>
    <xf numFmtId="169" fontId="69" fillId="0" borderId="65" xfId="0" applyNumberFormat="1" applyFont="1" applyBorder="1" applyAlignment="1">
      <alignment horizontal="center" vertical="center"/>
    </xf>
    <xf numFmtId="0" fontId="67" fillId="0" borderId="67" xfId="0" applyFont="1" applyFill="1" applyBorder="1" applyAlignment="1">
      <alignment horizontal="left" vertical="center" indent="1"/>
    </xf>
    <xf numFmtId="169" fontId="72" fillId="0" borderId="67" xfId="0" applyNumberFormat="1" applyFont="1" applyBorder="1" applyAlignment="1">
      <alignment horizontal="center" vertical="center"/>
    </xf>
    <xf numFmtId="169" fontId="72" fillId="0" borderId="69" xfId="0" applyNumberFormat="1" applyFont="1" applyBorder="1" applyAlignment="1">
      <alignment horizontal="center" vertical="center"/>
    </xf>
    <xf numFmtId="169" fontId="72" fillId="0" borderId="72" xfId="0" applyNumberFormat="1" applyFont="1" applyBorder="1" applyAlignment="1">
      <alignment horizontal="center" vertical="center"/>
    </xf>
    <xf numFmtId="169" fontId="72" fillId="0" borderId="74" xfId="0" applyNumberFormat="1" applyFont="1" applyBorder="1" applyAlignment="1">
      <alignment horizontal="center" vertical="center"/>
    </xf>
    <xf numFmtId="169" fontId="72" fillId="0" borderId="70" xfId="0" applyNumberFormat="1" applyFont="1" applyBorder="1" applyAlignment="1">
      <alignment horizontal="center" vertical="center"/>
    </xf>
    <xf numFmtId="169" fontId="72" fillId="0" borderId="75" xfId="0" applyNumberFormat="1" applyFont="1" applyBorder="1" applyAlignment="1">
      <alignment horizontal="center" vertical="center"/>
    </xf>
    <xf numFmtId="0" fontId="67" fillId="0" borderId="78" xfId="0" applyFont="1" applyFill="1" applyBorder="1" applyAlignment="1">
      <alignment horizontal="left" vertical="center" indent="1"/>
    </xf>
    <xf numFmtId="169" fontId="72" fillId="0" borderId="78" xfId="0" applyNumberFormat="1" applyFont="1" applyBorder="1" applyAlignment="1">
      <alignment horizontal="center" vertical="center"/>
    </xf>
    <xf numFmtId="169" fontId="72" fillId="0" borderId="80" xfId="0" applyNumberFormat="1" applyFont="1" applyBorder="1" applyAlignment="1">
      <alignment horizontal="center" vertical="center"/>
    </xf>
    <xf numFmtId="169" fontId="72" fillId="0" borderId="83" xfId="0" applyNumberFormat="1" applyFont="1" applyBorder="1" applyAlignment="1">
      <alignment horizontal="center" vertical="center"/>
    </xf>
    <xf numFmtId="169" fontId="72" fillId="0" borderId="85" xfId="0" applyNumberFormat="1" applyFont="1" applyBorder="1" applyAlignment="1">
      <alignment horizontal="center" vertical="center"/>
    </xf>
    <xf numFmtId="169" fontId="72" fillId="0" borderId="81" xfId="0" applyNumberFormat="1" applyFont="1" applyBorder="1" applyAlignment="1">
      <alignment horizontal="center" vertical="center"/>
    </xf>
    <xf numFmtId="169" fontId="72" fillId="0" borderId="86" xfId="0" applyNumberFormat="1" applyFont="1" applyBorder="1" applyAlignment="1">
      <alignment horizontal="center" vertical="center"/>
    </xf>
    <xf numFmtId="0" fontId="73" fillId="0" borderId="89" xfId="0" applyFont="1" applyFill="1" applyBorder="1" applyAlignment="1">
      <alignment horizontal="left" vertical="center" indent="1"/>
    </xf>
    <xf numFmtId="169" fontId="72" fillId="0" borderId="89" xfId="0" applyNumberFormat="1" applyFont="1" applyBorder="1" applyAlignment="1">
      <alignment horizontal="center" vertical="center"/>
    </xf>
    <xf numFmtId="169" fontId="72" fillId="0" borderId="91" xfId="0" applyNumberFormat="1" applyFont="1" applyBorder="1" applyAlignment="1">
      <alignment horizontal="center" vertical="center"/>
    </xf>
    <xf numFmtId="169" fontId="72" fillId="0" borderId="94" xfId="0" applyNumberFormat="1" applyFont="1" applyBorder="1" applyAlignment="1">
      <alignment horizontal="center" vertical="center"/>
    </xf>
    <xf numFmtId="169" fontId="72" fillId="0" borderId="96" xfId="0" applyNumberFormat="1" applyFont="1" applyBorder="1" applyAlignment="1">
      <alignment horizontal="center" vertical="center"/>
    </xf>
    <xf numFmtId="169" fontId="72" fillId="0" borderId="92" xfId="0" applyNumberFormat="1" applyFont="1" applyBorder="1" applyAlignment="1">
      <alignment horizontal="center" vertical="center"/>
    </xf>
    <xf numFmtId="169" fontId="72" fillId="0" borderId="97" xfId="0" applyNumberFormat="1" applyFont="1" applyBorder="1" applyAlignment="1">
      <alignment horizontal="center" vertical="center"/>
    </xf>
    <xf numFmtId="169" fontId="3" fillId="0" borderId="0" xfId="0" applyNumberFormat="1" applyFont="1"/>
    <xf numFmtId="169" fontId="74" fillId="0" borderId="83" xfId="0" applyNumberFormat="1" applyFont="1" applyFill="1" applyBorder="1" applyAlignment="1">
      <alignment horizontal="center" vertical="center"/>
    </xf>
    <xf numFmtId="169" fontId="74" fillId="0" borderId="84" xfId="0" applyNumberFormat="1" applyFont="1" applyFill="1" applyBorder="1" applyAlignment="1">
      <alignment horizontal="center" vertical="center"/>
    </xf>
    <xf numFmtId="169" fontId="74" fillId="0" borderId="85" xfId="0" applyNumberFormat="1" applyFont="1" applyFill="1" applyBorder="1" applyAlignment="1">
      <alignment horizontal="center" vertical="center"/>
    </xf>
    <xf numFmtId="169" fontId="74" fillId="0" borderId="81" xfId="0" applyNumberFormat="1" applyFont="1" applyFill="1" applyBorder="1" applyAlignment="1">
      <alignment horizontal="center" vertical="center"/>
    </xf>
    <xf numFmtId="169" fontId="75" fillId="0" borderId="94" xfId="0" applyNumberFormat="1" applyFont="1" applyFill="1" applyBorder="1" applyAlignment="1">
      <alignment horizontal="center" vertical="center"/>
    </xf>
    <xf numFmtId="169" fontId="75" fillId="0" borderId="95" xfId="0" applyNumberFormat="1" applyFont="1" applyFill="1" applyBorder="1" applyAlignment="1">
      <alignment horizontal="center" vertical="center"/>
    </xf>
    <xf numFmtId="169" fontId="75" fillId="0" borderId="96" xfId="0" applyNumberFormat="1" applyFont="1" applyFill="1" applyBorder="1" applyAlignment="1">
      <alignment horizontal="center" vertical="center"/>
    </xf>
    <xf numFmtId="169" fontId="75" fillId="0" borderId="92" xfId="0" applyNumberFormat="1" applyFont="1" applyFill="1" applyBorder="1" applyAlignment="1">
      <alignment horizontal="center" vertical="center"/>
    </xf>
    <xf numFmtId="168" fontId="3" fillId="0" borderId="0" xfId="0" applyNumberFormat="1" applyFont="1"/>
    <xf numFmtId="0" fontId="0" fillId="0" borderId="0" xfId="0" pivotButton="1" applyAlignment="1">
      <alignment wrapText="1"/>
    </xf>
    <xf numFmtId="0" fontId="59" fillId="0" borderId="0" xfId="0" applyFont="1" applyAlignment="1">
      <alignment horizontal="left" indent="1"/>
    </xf>
    <xf numFmtId="0" fontId="0" fillId="61" borderId="0" xfId="0" applyFont="1" applyFill="1"/>
    <xf numFmtId="0" fontId="0" fillId="61" borderId="24" xfId="0" applyFont="1" applyFill="1" applyBorder="1"/>
    <xf numFmtId="0" fontId="51" fillId="61" borderId="0" xfId="0" applyFont="1" applyFill="1"/>
    <xf numFmtId="172" fontId="51" fillId="61" borderId="0" xfId="0" applyNumberFormat="1" applyFont="1" applyFill="1"/>
    <xf numFmtId="172" fontId="51" fillId="0" borderId="131" xfId="0" applyNumberFormat="1" applyFont="1" applyBorder="1"/>
    <xf numFmtId="172" fontId="0" fillId="0" borderId="131" xfId="0" applyNumberFormat="1" applyBorder="1"/>
    <xf numFmtId="172" fontId="51" fillId="61" borderId="0" xfId="0" applyNumberFormat="1" applyFont="1" applyFill="1" applyBorder="1"/>
    <xf numFmtId="172" fontId="51" fillId="61" borderId="131" xfId="0" applyNumberFormat="1" applyFont="1" applyFill="1" applyBorder="1"/>
    <xf numFmtId="172" fontId="0" fillId="0" borderId="0" xfId="0" applyNumberFormat="1" applyBorder="1"/>
    <xf numFmtId="172" fontId="0" fillId="61" borderId="0" xfId="0" applyNumberFormat="1" applyFill="1" applyBorder="1"/>
    <xf numFmtId="172" fontId="0" fillId="61" borderId="131" xfId="0" applyNumberFormat="1" applyFill="1" applyBorder="1"/>
    <xf numFmtId="169" fontId="51" fillId="0" borderId="121" xfId="0" applyNumberFormat="1" applyFont="1" applyBorder="1"/>
    <xf numFmtId="169" fontId="0" fillId="0" borderId="121" xfId="0" applyNumberFormat="1" applyBorder="1"/>
    <xf numFmtId="172" fontId="51" fillId="61" borderId="121" xfId="0" applyNumberFormat="1" applyFont="1" applyFill="1" applyBorder="1"/>
    <xf numFmtId="172" fontId="0" fillId="0" borderId="121" xfId="0" applyNumberFormat="1" applyBorder="1"/>
    <xf numFmtId="172" fontId="0" fillId="61" borderId="121" xfId="0" applyNumberFormat="1" applyFill="1" applyBorder="1"/>
    <xf numFmtId="172" fontId="51" fillId="0" borderId="121" xfId="0" applyNumberFormat="1" applyFont="1" applyBorder="1"/>
    <xf numFmtId="172" fontId="51" fillId="0" borderId="0" xfId="0" applyNumberFormat="1" applyFont="1" applyBorder="1"/>
    <xf numFmtId="170" fontId="51" fillId="0" borderId="131" xfId="474" applyNumberFormat="1" applyFont="1" applyBorder="1"/>
    <xf numFmtId="170" fontId="0" fillId="0" borderId="131" xfId="474" applyNumberFormat="1" applyFont="1" applyBorder="1"/>
    <xf numFmtId="170" fontId="51" fillId="61" borderId="131" xfId="474" applyNumberFormat="1" applyFont="1" applyFill="1" applyBorder="1"/>
    <xf numFmtId="170" fontId="0" fillId="61" borderId="131" xfId="474" applyNumberFormat="1" applyFont="1" applyFill="1" applyBorder="1"/>
    <xf numFmtId="0" fontId="0" fillId="0" borderId="103" xfId="0" applyBorder="1"/>
    <xf numFmtId="0" fontId="0" fillId="0" borderId="18" xfId="0" applyBorder="1"/>
    <xf numFmtId="0" fontId="0" fillId="0" borderId="18" xfId="0" applyBorder="1" applyAlignment="1">
      <alignment vertical="center" wrapText="1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/>
    </xf>
    <xf numFmtId="0" fontId="0" fillId="0" borderId="16" xfId="0" applyBorder="1" applyAlignment="1">
      <alignment vertical="center" wrapText="1"/>
    </xf>
    <xf numFmtId="49" fontId="0" fillId="0" borderId="16" xfId="0" applyNumberFormat="1" applyBorder="1" applyAlignment="1">
      <alignment vertical="center"/>
    </xf>
    <xf numFmtId="49" fontId="0" fillId="0" borderId="19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  <xf numFmtId="0" fontId="0" fillId="0" borderId="121" xfId="0" applyBorder="1"/>
    <xf numFmtId="172" fontId="51" fillId="70" borderId="0" xfId="0" applyNumberFormat="1" applyFont="1" applyFill="1" applyBorder="1"/>
    <xf numFmtId="0" fontId="0" fillId="67" borderId="0" xfId="0" applyFill="1"/>
    <xf numFmtId="0" fontId="232" fillId="0" borderId="0" xfId="0" applyFont="1" applyAlignment="1">
      <alignment vertical="center"/>
    </xf>
    <xf numFmtId="0" fontId="0" fillId="70" borderId="1" xfId="0" applyFill="1" applyBorder="1" applyAlignment="1">
      <alignment horizontal="center" vertical="center"/>
    </xf>
    <xf numFmtId="168" fontId="232" fillId="67" borderId="0" xfId="0" applyNumberFormat="1" applyFont="1" applyFill="1" applyAlignment="1">
      <alignment horizontal="center" vertical="center"/>
    </xf>
    <xf numFmtId="0" fontId="233" fillId="61" borderId="0" xfId="0" applyFont="1" applyFill="1"/>
    <xf numFmtId="0" fontId="232" fillId="67" borderId="0" xfId="0" applyFont="1" applyFill="1" applyAlignment="1">
      <alignment vertical="center"/>
    </xf>
    <xf numFmtId="0" fontId="234" fillId="67" borderId="0" xfId="0" applyFont="1" applyFill="1" applyBorder="1"/>
    <xf numFmtId="1" fontId="0" fillId="0" borderId="0" xfId="474" applyNumberFormat="1" applyFont="1" applyBorder="1"/>
    <xf numFmtId="0" fontId="231" fillId="61" borderId="121" xfId="0" applyFont="1" applyFill="1" applyBorder="1"/>
    <xf numFmtId="0" fontId="234" fillId="67" borderId="131" xfId="0" applyFont="1" applyFill="1" applyBorder="1"/>
    <xf numFmtId="170" fontId="0" fillId="67" borderId="131" xfId="474" applyNumberFormat="1" applyFont="1" applyFill="1" applyBorder="1"/>
    <xf numFmtId="173" fontId="0" fillId="0" borderId="0" xfId="0" applyNumberFormat="1" applyFill="1"/>
    <xf numFmtId="170" fontId="0" fillId="68" borderId="0" xfId="474" applyNumberFormat="1" applyFont="1" applyFill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170" fontId="48" fillId="0" borderId="1" xfId="1" applyNumberFormat="1" applyFont="1" applyFill="1" applyBorder="1" applyAlignment="1">
      <alignment horizontal="center" vertical="center" wrapText="1"/>
    </xf>
    <xf numFmtId="0" fontId="235" fillId="0" borderId="0" xfId="0" applyFont="1"/>
    <xf numFmtId="0" fontId="0" fillId="48" borderId="0" xfId="0" applyFill="1"/>
    <xf numFmtId="0" fontId="231" fillId="61" borderId="139" xfId="0" applyFont="1" applyFill="1" applyBorder="1"/>
    <xf numFmtId="170" fontId="3" fillId="61" borderId="140" xfId="474" applyNumberFormat="1" applyFont="1" applyFill="1" applyBorder="1"/>
    <xf numFmtId="1" fontId="62" fillId="67" borderId="0" xfId="0" applyNumberFormat="1" applyFont="1" applyFill="1" applyAlignment="1">
      <alignment horizontal="center" vertical="center"/>
    </xf>
    <xf numFmtId="0" fontId="0" fillId="68" borderId="0" xfId="0" applyFill="1" applyAlignment="1">
      <alignment horizontal="center" wrapText="1"/>
    </xf>
    <xf numFmtId="0" fontId="236" fillId="61" borderId="0" xfId="0" applyFont="1" applyFill="1"/>
    <xf numFmtId="0" fontId="0" fillId="0" borderId="12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31" xfId="0" applyBorder="1" applyAlignment="1">
      <alignment horizontal="center"/>
    </xf>
    <xf numFmtId="0" fontId="0" fillId="70" borderId="21" xfId="0" applyFill="1" applyBorder="1" applyAlignment="1">
      <alignment horizontal="center"/>
    </xf>
    <xf numFmtId="0" fontId="0" fillId="70" borderId="22" xfId="0" applyFill="1" applyBorder="1" applyAlignment="1">
      <alignment horizontal="center"/>
    </xf>
    <xf numFmtId="0" fontId="0" fillId="70" borderId="134" xfId="0" applyFill="1" applyBorder="1" applyAlignment="1">
      <alignment horizontal="center"/>
    </xf>
    <xf numFmtId="168" fontId="0" fillId="61" borderId="135" xfId="0" applyNumberFormat="1" applyFill="1" applyBorder="1" applyAlignment="1">
      <alignment horizontal="center"/>
    </xf>
    <xf numFmtId="168" fontId="0" fillId="61" borderId="136" xfId="0" applyNumberFormat="1" applyFill="1" applyBorder="1" applyAlignment="1">
      <alignment horizontal="center"/>
    </xf>
    <xf numFmtId="0" fontId="0" fillId="67" borderId="138" xfId="0" applyFill="1" applyBorder="1" applyAlignment="1">
      <alignment horizontal="center"/>
    </xf>
    <xf numFmtId="0" fontId="0" fillId="67" borderId="137" xfId="0" applyFill="1" applyBorder="1" applyAlignment="1">
      <alignment horizontal="center"/>
    </xf>
    <xf numFmtId="0" fontId="0" fillId="71" borderId="132" xfId="0" applyFill="1" applyBorder="1" applyAlignment="1">
      <alignment horizontal="center"/>
    </xf>
    <xf numFmtId="0" fontId="0" fillId="71" borderId="103" xfId="0" applyFill="1" applyBorder="1" applyAlignment="1">
      <alignment horizontal="center"/>
    </xf>
    <xf numFmtId="0" fontId="0" fillId="0" borderId="132" xfId="0" applyBorder="1" applyAlignment="1">
      <alignment horizontal="center"/>
    </xf>
    <xf numFmtId="0" fontId="0" fillId="0" borderId="133" xfId="0" applyBorder="1" applyAlignment="1">
      <alignment horizontal="center"/>
    </xf>
    <xf numFmtId="0" fontId="0" fillId="71" borderId="133" xfId="0" applyFill="1" applyBorder="1" applyAlignment="1">
      <alignment horizontal="center"/>
    </xf>
    <xf numFmtId="0" fontId="0" fillId="0" borderId="103" xfId="0" applyBorder="1" applyAlignment="1">
      <alignment horizontal="center"/>
    </xf>
    <xf numFmtId="0" fontId="62" fillId="70" borderId="103" xfId="0" applyFont="1" applyFill="1" applyBorder="1" applyAlignment="1">
      <alignment horizontal="center" vertical="center"/>
    </xf>
    <xf numFmtId="0" fontId="49" fillId="60" borderId="1" xfId="0" applyFont="1" applyFill="1" applyBorder="1" applyAlignment="1">
      <alignment horizontal="center" vertical="center" wrapText="1"/>
    </xf>
    <xf numFmtId="0" fontId="0" fillId="0" borderId="0" xfId="0" applyBorder="1"/>
    <xf numFmtId="0" fontId="50" fillId="63" borderId="18" xfId="0" applyFont="1" applyFill="1" applyBorder="1" applyAlignment="1">
      <alignment horizontal="center" vertical="center"/>
    </xf>
    <xf numFmtId="0" fontId="50" fillId="63" borderId="16" xfId="0" applyFont="1" applyFill="1" applyBorder="1" applyAlignment="1">
      <alignment horizontal="center" vertical="center"/>
    </xf>
    <xf numFmtId="0" fontId="50" fillId="63" borderId="19" xfId="0" applyFont="1" applyFill="1" applyBorder="1" applyAlignment="1">
      <alignment horizontal="center" vertical="center"/>
    </xf>
    <xf numFmtId="0" fontId="50" fillId="61" borderId="18" xfId="0" applyFont="1" applyFill="1" applyBorder="1" applyAlignment="1">
      <alignment horizontal="center" vertical="center"/>
    </xf>
    <xf numFmtId="0" fontId="50" fillId="61" borderId="16" xfId="0" applyFont="1" applyFill="1" applyBorder="1" applyAlignment="1">
      <alignment horizontal="center" vertical="center"/>
    </xf>
    <xf numFmtId="0" fontId="50" fillId="61" borderId="19" xfId="0" applyFont="1" applyFill="1" applyBorder="1" applyAlignment="1">
      <alignment horizontal="center" vertical="center"/>
    </xf>
    <xf numFmtId="0" fontId="50" fillId="62" borderId="18" xfId="0" applyFont="1" applyFill="1" applyBorder="1" applyAlignment="1">
      <alignment horizontal="center" vertical="center"/>
    </xf>
    <xf numFmtId="0" fontId="50" fillId="62" borderId="16" xfId="0" applyFont="1" applyFill="1" applyBorder="1" applyAlignment="1">
      <alignment horizontal="center" vertical="center"/>
    </xf>
    <xf numFmtId="0" fontId="50" fillId="62" borderId="19" xfId="0" applyFont="1" applyFill="1" applyBorder="1" applyAlignment="1">
      <alignment horizontal="center" vertical="center"/>
    </xf>
    <xf numFmtId="0" fontId="49" fillId="61" borderId="18" xfId="0" applyFont="1" applyFill="1" applyBorder="1" applyAlignment="1">
      <alignment horizontal="center" vertical="center" wrapText="1"/>
    </xf>
    <xf numFmtId="0" fontId="49" fillId="61" borderId="16" xfId="0" applyFont="1" applyFill="1" applyBorder="1" applyAlignment="1">
      <alignment horizontal="center" vertical="center" wrapText="1"/>
    </xf>
    <xf numFmtId="0" fontId="49" fillId="61" borderId="19" xfId="0" applyFont="1" applyFill="1" applyBorder="1" applyAlignment="1">
      <alignment horizontal="center" vertical="center" wrapText="1"/>
    </xf>
    <xf numFmtId="0" fontId="51" fillId="0" borderId="18" xfId="0" applyFont="1" applyBorder="1" applyAlignment="1">
      <alignment horizontal="center" vertical="center"/>
    </xf>
    <xf numFmtId="0" fontId="51" fillId="0" borderId="16" xfId="0" applyFont="1" applyBorder="1" applyAlignment="1">
      <alignment horizontal="center" vertical="center"/>
    </xf>
    <xf numFmtId="0" fontId="51" fillId="0" borderId="19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 wrapText="1"/>
    </xf>
    <xf numFmtId="0" fontId="3" fillId="0" borderId="45" xfId="0" applyFont="1" applyBorder="1" applyAlignment="1">
      <alignment horizontal="center" vertical="center" wrapText="1"/>
    </xf>
    <xf numFmtId="0" fontId="66" fillId="0" borderId="26" xfId="488" applyFont="1" applyFill="1" applyBorder="1" applyAlignment="1">
      <alignment horizontal="center" vertical="center"/>
    </xf>
    <xf numFmtId="0" fontId="66" fillId="0" borderId="35" xfId="488" applyFont="1" applyFill="1" applyBorder="1" applyAlignment="1">
      <alignment horizontal="center" vertical="center"/>
    </xf>
    <xf numFmtId="0" fontId="66" fillId="0" borderId="27" xfId="0" applyFont="1" applyBorder="1" applyAlignment="1">
      <alignment horizontal="center" vertical="center"/>
    </xf>
    <xf numFmtId="0" fontId="66" fillId="0" borderId="28" xfId="0" applyFont="1" applyBorder="1" applyAlignment="1">
      <alignment horizontal="center" vertical="center"/>
    </xf>
    <xf numFmtId="0" fontId="66" fillId="0" borderId="29" xfId="0" applyFont="1" applyBorder="1" applyAlignment="1">
      <alignment horizontal="center" vertical="center"/>
    </xf>
    <xf numFmtId="0" fontId="66" fillId="0" borderId="30" xfId="489" applyFont="1" applyFill="1" applyBorder="1" applyAlignment="1">
      <alignment horizontal="center" vertical="center"/>
    </xf>
    <xf numFmtId="0" fontId="66" fillId="0" borderId="28" xfId="489" applyFont="1" applyFill="1" applyBorder="1" applyAlignment="1">
      <alignment horizontal="center" vertical="center"/>
    </xf>
    <xf numFmtId="0" fontId="66" fillId="0" borderId="31" xfId="489" applyFont="1" applyFill="1" applyBorder="1" applyAlignment="1">
      <alignment horizontal="center" vertical="center"/>
    </xf>
    <xf numFmtId="0" fontId="66" fillId="0" borderId="31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 wrapText="1"/>
    </xf>
    <xf numFmtId="0" fontId="3" fillId="0" borderId="43" xfId="0" applyFont="1" applyBorder="1" applyAlignment="1">
      <alignment horizontal="center" vertical="center" wrapText="1"/>
    </xf>
    <xf numFmtId="0" fontId="3" fillId="0" borderId="33" xfId="0" applyFont="1" applyBorder="1" applyAlignment="1">
      <alignment horizontal="center" vertical="center" wrapText="1"/>
    </xf>
    <xf numFmtId="0" fontId="3" fillId="0" borderId="44" xfId="0" applyFont="1" applyBorder="1" applyAlignment="1">
      <alignment horizontal="center" vertical="center" wrapText="1"/>
    </xf>
    <xf numFmtId="0" fontId="51" fillId="0" borderId="1" xfId="0" applyFont="1" applyBorder="1" applyAlignment="1">
      <alignment horizontal="center"/>
    </xf>
    <xf numFmtId="0" fontId="49" fillId="67" borderId="1" xfId="0" applyFont="1" applyFill="1" applyBorder="1" applyAlignment="1">
      <alignment horizontal="center" vertical="center" wrapText="1"/>
    </xf>
    <xf numFmtId="0" fontId="50" fillId="62" borderId="1" xfId="0" applyFont="1" applyFill="1" applyBorder="1" applyAlignment="1">
      <alignment horizontal="center" vertical="center"/>
    </xf>
    <xf numFmtId="0" fontId="53" fillId="64" borderId="0" xfId="476" applyFill="1" applyAlignment="1">
      <alignment horizontal="center"/>
    </xf>
  </cellXfs>
  <cellStyles count="20902">
    <cellStyle name=" 1" xfId="491"/>
    <cellStyle name=" 1 2" xfId="492"/>
    <cellStyle name=";;;" xfId="493"/>
    <cellStyle name=";;; 2" xfId="494"/>
    <cellStyle name=";;; 3" xfId="495"/>
    <cellStyle name=";;; 4" xfId="496"/>
    <cellStyle name="_19,20,21" xfId="497"/>
    <cellStyle name="_19,20,21 2" xfId="498"/>
    <cellStyle name="_19,20,21 2 2" xfId="499"/>
    <cellStyle name="_19,20,21 3" xfId="500"/>
    <cellStyle name="_19,20,21 3 2" xfId="501"/>
    <cellStyle name="_19,20,21 4" xfId="502"/>
    <cellStyle name="_19,20,21 4 2" xfId="503"/>
    <cellStyle name="_19,20,21 5" xfId="504"/>
    <cellStyle name="_2008г. и 4кв" xfId="505"/>
    <cellStyle name="_3.2.2. МЭФ_14.08.06" xfId="506"/>
    <cellStyle name="_3.2.2. МЭФ_14.08.06 2" xfId="507"/>
    <cellStyle name="_3.2.2. МЭФ_14.08.06 2 2" xfId="508"/>
    <cellStyle name="_3.2.2. МЭФ_14.08.06 3" xfId="509"/>
    <cellStyle name="_3.2.2. МЭФ_14.08.06 3 2" xfId="510"/>
    <cellStyle name="_3.2.2. МЭФ_14.08.06 4" xfId="511"/>
    <cellStyle name="_3.2.2. МЭФ_14.08.06 4 2" xfId="512"/>
    <cellStyle name="_3.2.2. МЭФ_14.08.06 5" xfId="513"/>
    <cellStyle name="_3_1_1 Производственная программа" xfId="514"/>
    <cellStyle name="_3_1_1 Производственная программа 2" xfId="515"/>
    <cellStyle name="_3_1_1 Производственная программа 3" xfId="516"/>
    <cellStyle name="_3_1_1 Производственная программа 4" xfId="517"/>
    <cellStyle name="_3_2_2 Смета затрат" xfId="518"/>
    <cellStyle name="_3_2_2 Смета затрат 2" xfId="519"/>
    <cellStyle name="_3_2_2 Смета затрат 3" xfId="520"/>
    <cellStyle name="_3_2_2 Смета затрат 4" xfId="521"/>
    <cellStyle name="_3_2_9 ФЗП_испр_v2" xfId="522"/>
    <cellStyle name="_3_2_9 ФЗП_испр_v2 2" xfId="523"/>
    <cellStyle name="_3_2_9 ФЗП_испр_v2 3" xfId="524"/>
    <cellStyle name="_3_2_9 ФЗП_испр_v2 4" xfId="525"/>
    <cellStyle name="_3_5_1Capex19_v2" xfId="526"/>
    <cellStyle name="_3_5_1Capex19_v2 2" xfId="527"/>
    <cellStyle name="_3_5_1Capex19_v2 3" xfId="528"/>
    <cellStyle name="_3_5_1Capex19_v2 4" xfId="529"/>
    <cellStyle name="_3_5_2 CAPEX_20_v2" xfId="530"/>
    <cellStyle name="_3_5_2 CAPEX_20_v2 2" xfId="531"/>
    <cellStyle name="_3_5_2 CAPEX_20_v2 3" xfId="532"/>
    <cellStyle name="_3_5_2 CAPEX_20_v2 4" xfId="533"/>
    <cellStyle name="_5 DO Budjet model_case study испр" xfId="534"/>
    <cellStyle name="_5 DO Budjet model_case study испр 2" xfId="535"/>
    <cellStyle name="_5 DO Budjet model_case study испр 2 2" xfId="536"/>
    <cellStyle name="_5 DO Budjet model_case study испр 3" xfId="537"/>
    <cellStyle name="_5 DO Budjet model_case study испр 3 2" xfId="538"/>
    <cellStyle name="_5 DO Budjet model_case study испр 4" xfId="539"/>
    <cellStyle name="_5 DO Budjet model_case study испр 4 2" xfId="540"/>
    <cellStyle name="_5 DO Budjet model_case study испр 5" xfId="541"/>
    <cellStyle name="_CAPEX 2006 (18.11.2005)" xfId="542"/>
    <cellStyle name="_CAPEX 2006 (18.11.2005) 2" xfId="543"/>
    <cellStyle name="_CAPEX 2006 (18.11.2005) 2 2" xfId="544"/>
    <cellStyle name="_CAPEX 2006 (18.11.2005) 3" xfId="545"/>
    <cellStyle name="_CAPEX 2006 (18.11.2005) 3 2" xfId="546"/>
    <cellStyle name="_CAPEX 2006 (18.11.2005) 4" xfId="547"/>
    <cellStyle name="_CAPEX 2006 (18.11.2005) 4 2" xfId="548"/>
    <cellStyle name="_CAPEX 2006 (18.11.2005) 5" xfId="549"/>
    <cellStyle name="_for_BD_Пакет_форм2уровня_баз_final" xfId="550"/>
    <cellStyle name="_for_BD_Пакет_форм2уровня_баз_final 2" xfId="551"/>
    <cellStyle name="_for_BD_Пакет_форм2уровня_баз_final 3" xfId="552"/>
    <cellStyle name="_for_BD_Пакет_форм2уровня_баз_final 4" xfId="553"/>
    <cellStyle name="_MB2006_sample2006_баз" xfId="554"/>
    <cellStyle name="_MB2006_sample2006_баз 2" xfId="555"/>
    <cellStyle name="_MB2006_sample2006_баз 2 2" xfId="556"/>
    <cellStyle name="_MB2006_sample2006_баз 3" xfId="557"/>
    <cellStyle name="_MB2006_sample2006_баз 3 2" xfId="558"/>
    <cellStyle name="_MB2006_sample2006_баз 4" xfId="559"/>
    <cellStyle name="_MB2006_sample2006_баз 4 2" xfId="560"/>
    <cellStyle name="_MB2006_sample2006_баз 5" xfId="561"/>
    <cellStyle name="_NTMK forecast 2006-1" xfId="562"/>
    <cellStyle name="_NTMK forecast 2006-1 2" xfId="563"/>
    <cellStyle name="_NTMK forecast 2006-1 3" xfId="564"/>
    <cellStyle name="_NTMK forecast 2006-1 4" xfId="565"/>
    <cellStyle name="_Аналитические_признаки" xfId="566"/>
    <cellStyle name="_Аналитические_признаки - исправленная версия" xfId="567"/>
    <cellStyle name="_Аналитические_признаки - исправленная версия 2" xfId="568"/>
    <cellStyle name="_Аналитические_признаки - исправленная версия 3" xfId="569"/>
    <cellStyle name="_Аналитические_признаки - исправленная версия 4" xfId="570"/>
    <cellStyle name="_Аналитические_признаки 2" xfId="571"/>
    <cellStyle name="_Аналитические_признаки 3" xfId="572"/>
    <cellStyle name="_Аналитические_признаки 4" xfId="573"/>
    <cellStyle name="_Единица отчетности_update" xfId="574"/>
    <cellStyle name="_Единица отчетности_update 2" xfId="575"/>
    <cellStyle name="_Единица отчетности_update 3" xfId="576"/>
    <cellStyle name="_Единица отчетности_update 4" xfId="577"/>
    <cellStyle name="_ЗСМК отчет за январь 2006 (2005.12.27) план ЕХ" xfId="578"/>
    <cellStyle name="_ЗСМК отчет за январь 2006 (2005.12.27) план ЕХ 2" xfId="579"/>
    <cellStyle name="_ЗСМК отчет за январь 2006 (2005.12.27) план ЕХ 2 2" xfId="580"/>
    <cellStyle name="_ЗСМК отчет за январь 2006 (2005.12.27) план ЕХ 3" xfId="581"/>
    <cellStyle name="_ЗСМК отчет за январь 2006 (2005.12.27) план ЕХ 3 2" xfId="582"/>
    <cellStyle name="_ЗСМК отчет за январь 2006 (2005.12.27) план ЕХ 4" xfId="583"/>
    <cellStyle name="_ЗСМК отчет за январь 2006 (2005.12.27) план ЕХ 4 2" xfId="584"/>
    <cellStyle name="_ЗСМК отчет за январь 2006 (2005.12.27) план ЕХ 5" xfId="585"/>
    <cellStyle name="_ЗСМК отчет за январь 2006 (2006.01.10) план2 ЕХ" xfId="586"/>
    <cellStyle name="_ЗСМК отчет за январь 2006 (2006.01.10) план2 ЕХ 2" xfId="587"/>
    <cellStyle name="_ЗСМК отчет за январь 2006 (2006.01.10) план2 ЕХ 2 2" xfId="588"/>
    <cellStyle name="_ЗСМК отчет за январь 2006 (2006.01.10) план2 ЕХ 3" xfId="589"/>
    <cellStyle name="_ЗСМК отчет за январь 2006 (2006.01.10) план2 ЕХ 3 2" xfId="590"/>
    <cellStyle name="_ЗСМК отчет за январь 2006 (2006.01.10) план2 ЕХ 4" xfId="591"/>
    <cellStyle name="_ЗСМК отчет за январь 2006 (2006.01.10) план2 ЕХ 4 2" xfId="592"/>
    <cellStyle name="_ЗСМК отчет за январь 2006 (2006.01.10) план2 ЕХ 5" xfId="593"/>
    <cellStyle name="_Книга1" xfId="594"/>
    <cellStyle name="_Книга3" xfId="595"/>
    <cellStyle name="_Книга3 2" xfId="596"/>
    <cellStyle name="_Консолидация и отчетность - мастерданные" xfId="597"/>
    <cellStyle name="_Консолидация и отчетность - мастерданные 2" xfId="598"/>
    <cellStyle name="_Консолидация и отчетность - мастерданные 3" xfId="599"/>
    <cellStyle name="_Консолидация и отчетность - мастерданные 4" xfId="600"/>
    <cellStyle name="_курсовые разницы 01,06,08" xfId="601"/>
    <cellStyle name="_Макро_2030 год" xfId="602"/>
    <cellStyle name="_Макро_2030 год 2" xfId="603"/>
    <cellStyle name="_Макро_2030 год 3" xfId="604"/>
    <cellStyle name="_Мощности_МП_исх_формы_ручного_ввода" xfId="605"/>
    <cellStyle name="_Мощности_МП_исх_формы_ручного_ввода 2" xfId="606"/>
    <cellStyle name="_Мощности_МП_исх_формы_ручного_ввода 3" xfId="607"/>
    <cellStyle name="_Мощности_МП_исх_формы_ручного_ввода 4" xfId="608"/>
    <cellStyle name="_Пакет №1 (Coal)" xfId="609"/>
    <cellStyle name="_Пакет №1 (Coal) 2" xfId="610"/>
    <cellStyle name="_Пакет №1 (Coal) 3" xfId="611"/>
    <cellStyle name="_Пакет №1 (Coal) 4" xfId="612"/>
    <cellStyle name="_Пакет ГОКи" xfId="613"/>
    <cellStyle name="_Пакет ГОКи 2" xfId="614"/>
    <cellStyle name="_Пакет ГОКи 3" xfId="615"/>
    <cellStyle name="_Пакет ГОКи 4" xfId="616"/>
    <cellStyle name="_Пакет по МП" xfId="617"/>
    <cellStyle name="_Пакет по МП 2" xfId="618"/>
    <cellStyle name="_Пакет по МП 3" xfId="619"/>
    <cellStyle name="_Пакет по МП 4" xfId="620"/>
    <cellStyle name="_Правила заполнения" xfId="621"/>
    <cellStyle name="_Презентация бюджета 2006" xfId="622"/>
    <cellStyle name="_Презентация бюджета 2006 2" xfId="623"/>
    <cellStyle name="_Презентация бюджета 2006 3" xfId="624"/>
    <cellStyle name="_Презентация бюджета 2006 4" xfId="625"/>
    <cellStyle name="_Прогноз освоения'05 ЗСМК (2005.11.02)ЕХ" xfId="626"/>
    <cellStyle name="_Прогноз освоения'05 ЗСМК (2005.11.02)ЕХ 2" xfId="627"/>
    <cellStyle name="_Прогноз освоения'05 ЗСМК (2005.11.02)ЕХ 2 2" xfId="628"/>
    <cellStyle name="_Прогноз освоения'05 ЗСМК (2005.11.02)ЕХ 3" xfId="629"/>
    <cellStyle name="_Прогноз освоения'05 ЗСМК (2005.11.02)ЕХ 3 2" xfId="630"/>
    <cellStyle name="_Прогноз освоения'05 ЗСМК (2005.11.02)ЕХ 4" xfId="631"/>
    <cellStyle name="_Прогноз освоения'05 ЗСМК (2005.11.02)ЕХ 4 2" xfId="632"/>
    <cellStyle name="_Прогноз освоения'05 ЗСМК (2005.11.02)ЕХ 5" xfId="633"/>
    <cellStyle name="_Росжелдорпроект" xfId="634"/>
    <cellStyle name="_Росжелдорпроект 2" xfId="635"/>
    <cellStyle name="_слайд КВ 2006" xfId="636"/>
    <cellStyle name="_слайд КВ 2006 2" xfId="637"/>
    <cellStyle name="_слайд КВ 2006 2 2" xfId="638"/>
    <cellStyle name="_слайд КВ 2006 3" xfId="639"/>
    <cellStyle name="_слайд КВ 2006 3 2" xfId="640"/>
    <cellStyle name="_слайд КВ 2006 4" xfId="641"/>
    <cellStyle name="_слайд КВ 2006 4 2" xfId="642"/>
    <cellStyle name="_слайд КВ 2006 5" xfId="643"/>
    <cellStyle name="_Формуляры форм ручного ввода" xfId="644"/>
    <cellStyle name="_Формуляры форм ручного ввода 2" xfId="645"/>
    <cellStyle name="_Формуляры форм ручного ввода 3" xfId="646"/>
    <cellStyle name="_Формуляры форм ручного ввода 4" xfId="647"/>
    <cellStyle name="_Формы - утверждено на СД" xfId="648"/>
    <cellStyle name="_Формы - утверждено на СД 2" xfId="649"/>
    <cellStyle name="_Формы - утверждено на СД 2 2" xfId="650"/>
    <cellStyle name="_Формы - утверждено на СД 3" xfId="651"/>
    <cellStyle name="_Формы - утверждено на СД 3 2" xfId="652"/>
    <cellStyle name="_Формы - утверждено на СД 4" xfId="653"/>
    <cellStyle name="_Формы - утверждено на СД 4 2" xfId="654"/>
    <cellStyle name="_Формы - утверждено на СД 5" xfId="655"/>
    <cellStyle name="_Формы 2 уровня ЗСМК баз." xfId="656"/>
    <cellStyle name="_Формы 2 уровня ЗСМК баз. 2" xfId="657"/>
    <cellStyle name="_Формы 2 уровня ЗСМК баз. 2 2" xfId="658"/>
    <cellStyle name="_Формы 2 уровня ЗСМК баз. 3" xfId="659"/>
    <cellStyle name="_Формы 2 уровня ЗСМК баз. 3 2" xfId="660"/>
    <cellStyle name="_Формы 2 уровня ЗСМК баз. 4" xfId="661"/>
    <cellStyle name="_Формы 2 уровня ЗСМК баз. 4 2" xfId="662"/>
    <cellStyle name="_Формы 2 уровня ЗСМК баз. 5" xfId="663"/>
    <cellStyle name="_Формы 2 уровня ЗСМК баз.15.11 от Паньшина." xfId="664"/>
    <cellStyle name="_Формы 2 уровня ЗСМК баз.15.11 от Паньшина. 2" xfId="665"/>
    <cellStyle name="_Формы 2 уровня ЗСМК баз.15.11 от Паньшина. 2 2" xfId="666"/>
    <cellStyle name="_Формы 2 уровня ЗСМК баз.15.11 от Паньшина. 3" xfId="667"/>
    <cellStyle name="_Формы 2 уровня ЗСМК баз.15.11 от Паньшина. 3 2" xfId="668"/>
    <cellStyle name="_Формы 2 уровня ЗСМК баз.15.11 от Паньшина. 4" xfId="669"/>
    <cellStyle name="_Формы 2 уровня ЗСМК баз.15.11 от Паньшина. 4 2" xfId="670"/>
    <cellStyle name="_Формы 2 уровня ЗСМК баз.15.11 от Паньшина. 5" xfId="671"/>
    <cellStyle name="_Формы 2 уровня(баз)" xfId="672"/>
    <cellStyle name="_Формы 2 уровня(баз) 2" xfId="673"/>
    <cellStyle name="_Формы 2 уровня(баз) 2 2" xfId="674"/>
    <cellStyle name="_Формы 2 уровня(баз) 3" xfId="675"/>
    <cellStyle name="_Формы 2 уровня(баз) 3 2" xfId="676"/>
    <cellStyle name="_Формы 2 уровня(баз) 4" xfId="677"/>
    <cellStyle name="_Формы 2 уровня(баз) 4 2" xfId="678"/>
    <cellStyle name="_Формы 2 уровня(баз) 5" xfId="679"/>
    <cellStyle name="_Формы 2 уровня(баз)СД" xfId="680"/>
    <cellStyle name="_Формы 2 уровня(баз)СД 2" xfId="681"/>
    <cellStyle name="_Формы 2 уровня(баз)СД 2 2" xfId="682"/>
    <cellStyle name="_Формы 2 уровня(баз)СД 3" xfId="683"/>
    <cellStyle name="_Формы 2 уровня(баз)СД 3 2" xfId="684"/>
    <cellStyle name="_Формы 2 уровня(баз)СД 4" xfId="685"/>
    <cellStyle name="_Формы 2 уровня(баз)СД 4 2" xfId="686"/>
    <cellStyle name="_Формы 2 уровня(баз)СД 5" xfId="687"/>
    <cellStyle name="_ЦФ  реализация акций 2008-2010" xfId="688"/>
    <cellStyle name="_ЦФ  реализация акций 2008-2010_акции по годам 2009-2012" xfId="689"/>
    <cellStyle name="_ЦФ  реализация акций 2008-2010_Копия Прогноз ПТРдо 2030г  (3)" xfId="690"/>
    <cellStyle name="_ЦФ  реализация акций 2008-2010_Прогноз ПТРдо 2030г." xfId="691"/>
    <cellStyle name="”ќђќ‘ћ‚›‰" xfId="692"/>
    <cellStyle name="”ќђќ‘ћ‚›‰ 2" xfId="693"/>
    <cellStyle name="”ќђќ‘ћ‚›‰ 3" xfId="694"/>
    <cellStyle name="”ќђќ‘ћ‚›‰ 4" xfId="695"/>
    <cellStyle name="”љ‘ђћ‚ђќќ›‰" xfId="696"/>
    <cellStyle name="”љ‘ђћ‚ђќќ›‰ 2" xfId="697"/>
    <cellStyle name="”љ‘ђћ‚ђќќ›‰ 3" xfId="698"/>
    <cellStyle name="”љ‘ђћ‚ђќќ›‰ 4" xfId="699"/>
    <cellStyle name="„…ќ…†ќ›‰" xfId="700"/>
    <cellStyle name="„…ќ…†ќ›‰ 2" xfId="701"/>
    <cellStyle name="„…ќ…†ќ›‰ 3" xfId="702"/>
    <cellStyle name="„…ќ…†ќ›‰ 4" xfId="703"/>
    <cellStyle name="„ђ’ђ" xfId="704"/>
    <cellStyle name="„ђ’ђ 2" xfId="705"/>
    <cellStyle name="„ђ’ђ 3" xfId="706"/>
    <cellStyle name="„ђ’ђ 4" xfId="707"/>
    <cellStyle name="‡ђѓћ‹ћ‚ћљ1" xfId="708"/>
    <cellStyle name="‡ђѓћ‹ћ‚ћљ1 2" xfId="709"/>
    <cellStyle name="‡ђѓћ‹ћ‚ћљ1 3" xfId="710"/>
    <cellStyle name="‡ђѓћ‹ћ‚ћљ1 4" xfId="711"/>
    <cellStyle name="‡ђѓћ‹ћ‚ћљ2" xfId="712"/>
    <cellStyle name="‡ђѓћ‹ћ‚ћљ2 2" xfId="713"/>
    <cellStyle name="‡ђѓћ‹ћ‚ћљ2 3" xfId="714"/>
    <cellStyle name="‡ђѓћ‹ћ‚ћљ2 4" xfId="715"/>
    <cellStyle name="’ћѓћ‚›‰" xfId="716"/>
    <cellStyle name="’ћѓћ‚›‰ 10" xfId="717"/>
    <cellStyle name="’ћѓћ‚›‰ 10 2" xfId="718"/>
    <cellStyle name="’ћѓћ‚›‰ 10 2 2" xfId="719"/>
    <cellStyle name="’ћѓћ‚›‰ 10 2 3" xfId="720"/>
    <cellStyle name="’ћѓћ‚›‰ 10 3" xfId="721"/>
    <cellStyle name="’ћѓћ‚›‰ 10 3 2" xfId="722"/>
    <cellStyle name="’ћѓћ‚›‰ 10 3 3" xfId="723"/>
    <cellStyle name="’ћѓћ‚›‰ 10 4" xfId="724"/>
    <cellStyle name="’ћѓћ‚›‰ 10 4 2" xfId="725"/>
    <cellStyle name="’ћѓћ‚›‰ 10 4 3" xfId="726"/>
    <cellStyle name="’ћѓћ‚›‰ 10 5" xfId="727"/>
    <cellStyle name="’ћѓћ‚›‰ 10 6" xfId="728"/>
    <cellStyle name="’ћѓћ‚›‰ 11" xfId="729"/>
    <cellStyle name="’ћѓћ‚›‰ 11 2" xfId="730"/>
    <cellStyle name="’ћѓћ‚›‰ 11 3" xfId="731"/>
    <cellStyle name="’ћѓћ‚›‰ 12" xfId="732"/>
    <cellStyle name="’ћѓћ‚›‰ 12 2" xfId="733"/>
    <cellStyle name="’ћѓћ‚›‰ 12 3" xfId="734"/>
    <cellStyle name="’ћѓћ‚›‰ 13" xfId="735"/>
    <cellStyle name="’ћѓћ‚›‰ 13 2" xfId="736"/>
    <cellStyle name="’ћѓћ‚›‰ 13 3" xfId="737"/>
    <cellStyle name="’ћѓћ‚›‰ 14" xfId="738"/>
    <cellStyle name="’ћѓћ‚›‰ 15" xfId="739"/>
    <cellStyle name="’ћѓћ‚›‰ 2" xfId="740"/>
    <cellStyle name="’ћѓћ‚›‰ 2 2" xfId="741"/>
    <cellStyle name="’ћѓћ‚›‰ 2 2 2" xfId="742"/>
    <cellStyle name="’ћѓћ‚›‰ 2 2 3" xfId="743"/>
    <cellStyle name="’ћѓћ‚›‰ 2 3" xfId="744"/>
    <cellStyle name="’ћѓћ‚›‰ 2 3 2" xfId="745"/>
    <cellStyle name="’ћѓћ‚›‰ 2 3 3" xfId="746"/>
    <cellStyle name="’ћѓћ‚›‰ 2 4" xfId="747"/>
    <cellStyle name="’ћѓћ‚›‰ 2 4 2" xfId="748"/>
    <cellStyle name="’ћѓћ‚›‰ 2 4 3" xfId="749"/>
    <cellStyle name="’ћѓћ‚›‰ 2 5" xfId="750"/>
    <cellStyle name="’ћѓћ‚›‰ 2 6" xfId="751"/>
    <cellStyle name="’ћѓћ‚›‰ 3" xfId="752"/>
    <cellStyle name="’ћѓћ‚›‰ 3 2" xfId="753"/>
    <cellStyle name="’ћѓћ‚›‰ 3 2 2" xfId="754"/>
    <cellStyle name="’ћѓћ‚›‰ 3 2 3" xfId="755"/>
    <cellStyle name="’ћѓћ‚›‰ 3 3" xfId="756"/>
    <cellStyle name="’ћѓћ‚›‰ 3 3 2" xfId="757"/>
    <cellStyle name="’ћѓћ‚›‰ 3 3 3" xfId="758"/>
    <cellStyle name="’ћѓћ‚›‰ 3 4" xfId="759"/>
    <cellStyle name="’ћѓћ‚›‰ 3 4 2" xfId="760"/>
    <cellStyle name="’ћѓћ‚›‰ 3 4 3" xfId="761"/>
    <cellStyle name="’ћѓћ‚›‰ 3 5" xfId="762"/>
    <cellStyle name="’ћѓћ‚›‰ 3 6" xfId="763"/>
    <cellStyle name="’ћѓћ‚›‰ 4" xfId="764"/>
    <cellStyle name="’ћѓћ‚›‰ 4 2" xfId="765"/>
    <cellStyle name="’ћѓћ‚›‰ 4 2 2" xfId="766"/>
    <cellStyle name="’ћѓћ‚›‰ 4 2 3" xfId="767"/>
    <cellStyle name="’ћѓћ‚›‰ 4 3" xfId="768"/>
    <cellStyle name="’ћѓћ‚›‰ 4 3 2" xfId="769"/>
    <cellStyle name="’ћѓћ‚›‰ 4 3 3" xfId="770"/>
    <cellStyle name="’ћѓћ‚›‰ 4 4" xfId="771"/>
    <cellStyle name="’ћѓћ‚›‰ 4 4 2" xfId="772"/>
    <cellStyle name="’ћѓћ‚›‰ 4 4 3" xfId="773"/>
    <cellStyle name="’ћѓћ‚›‰ 4 5" xfId="774"/>
    <cellStyle name="’ћѓћ‚›‰ 4 6" xfId="775"/>
    <cellStyle name="’ћѓћ‚›‰ 5" xfId="776"/>
    <cellStyle name="’ћѓћ‚›‰ 5 2" xfId="777"/>
    <cellStyle name="’ћѓћ‚›‰ 5 2 2" xfId="778"/>
    <cellStyle name="’ћѓћ‚›‰ 5 2 3" xfId="779"/>
    <cellStyle name="’ћѓћ‚›‰ 5 3" xfId="780"/>
    <cellStyle name="’ћѓћ‚›‰ 5 3 2" xfId="781"/>
    <cellStyle name="’ћѓћ‚›‰ 5 3 3" xfId="782"/>
    <cellStyle name="’ћѓћ‚›‰ 5 4" xfId="783"/>
    <cellStyle name="’ћѓћ‚›‰ 5 4 2" xfId="784"/>
    <cellStyle name="’ћѓћ‚›‰ 5 4 3" xfId="785"/>
    <cellStyle name="’ћѓћ‚›‰ 5 5" xfId="786"/>
    <cellStyle name="’ћѓћ‚›‰ 5 6" xfId="787"/>
    <cellStyle name="’ћѓћ‚›‰ 6" xfId="788"/>
    <cellStyle name="’ћѓћ‚›‰ 6 2" xfId="789"/>
    <cellStyle name="’ћѓћ‚›‰ 6 2 2" xfId="790"/>
    <cellStyle name="’ћѓћ‚›‰ 6 2 3" xfId="791"/>
    <cellStyle name="’ћѓћ‚›‰ 6 3" xfId="792"/>
    <cellStyle name="’ћѓћ‚›‰ 6 3 2" xfId="793"/>
    <cellStyle name="’ћѓћ‚›‰ 6 3 3" xfId="794"/>
    <cellStyle name="’ћѓћ‚›‰ 6 4" xfId="795"/>
    <cellStyle name="’ћѓћ‚›‰ 6 4 2" xfId="796"/>
    <cellStyle name="’ћѓћ‚›‰ 6 4 3" xfId="797"/>
    <cellStyle name="’ћѓћ‚›‰ 6 5" xfId="798"/>
    <cellStyle name="’ћѓћ‚›‰ 6 6" xfId="799"/>
    <cellStyle name="’ћѓћ‚›‰ 7" xfId="800"/>
    <cellStyle name="’ћѓћ‚›‰ 7 2" xfId="801"/>
    <cellStyle name="’ћѓћ‚›‰ 7 2 2" xfId="802"/>
    <cellStyle name="’ћѓћ‚›‰ 7 2 3" xfId="803"/>
    <cellStyle name="’ћѓћ‚›‰ 7 3" xfId="804"/>
    <cellStyle name="’ћѓћ‚›‰ 7 3 2" xfId="805"/>
    <cellStyle name="’ћѓћ‚›‰ 7 3 3" xfId="806"/>
    <cellStyle name="’ћѓћ‚›‰ 7 4" xfId="807"/>
    <cellStyle name="’ћѓћ‚›‰ 7 4 2" xfId="808"/>
    <cellStyle name="’ћѓћ‚›‰ 7 4 3" xfId="809"/>
    <cellStyle name="’ћѓћ‚›‰ 7 5" xfId="810"/>
    <cellStyle name="’ћѓћ‚›‰ 7 6" xfId="811"/>
    <cellStyle name="’ћѓћ‚›‰ 8" xfId="812"/>
    <cellStyle name="’ћѓћ‚›‰ 8 2" xfId="813"/>
    <cellStyle name="’ћѓћ‚›‰ 8 2 2" xfId="814"/>
    <cellStyle name="’ћѓћ‚›‰ 8 2 3" xfId="815"/>
    <cellStyle name="’ћѓћ‚›‰ 8 3" xfId="816"/>
    <cellStyle name="’ћѓћ‚›‰ 8 3 2" xfId="817"/>
    <cellStyle name="’ћѓћ‚›‰ 8 3 3" xfId="818"/>
    <cellStyle name="’ћѓћ‚›‰ 8 4" xfId="819"/>
    <cellStyle name="’ћѓћ‚›‰ 8 4 2" xfId="820"/>
    <cellStyle name="’ћѓћ‚›‰ 8 4 3" xfId="821"/>
    <cellStyle name="’ћѓћ‚›‰ 8 5" xfId="822"/>
    <cellStyle name="’ћѓћ‚›‰ 8 6" xfId="823"/>
    <cellStyle name="’ћѓћ‚›‰ 9" xfId="824"/>
    <cellStyle name="’ћѓћ‚›‰ 9 2" xfId="825"/>
    <cellStyle name="’ћѓћ‚›‰ 9 2 2" xfId="826"/>
    <cellStyle name="’ћѓћ‚›‰ 9 2 3" xfId="827"/>
    <cellStyle name="’ћѓћ‚›‰ 9 3" xfId="828"/>
    <cellStyle name="’ћѓћ‚›‰ 9 3 2" xfId="829"/>
    <cellStyle name="’ћѓћ‚›‰ 9 3 3" xfId="830"/>
    <cellStyle name="’ћѓћ‚›‰ 9 4" xfId="831"/>
    <cellStyle name="’ћѓћ‚›‰ 9 4 2" xfId="832"/>
    <cellStyle name="’ћѓћ‚›‰ 9 4 3" xfId="833"/>
    <cellStyle name="’ћѓћ‚›‰ 9 5" xfId="834"/>
    <cellStyle name="’ћѓћ‚›‰ 9 6" xfId="835"/>
    <cellStyle name="1Normal" xfId="836"/>
    <cellStyle name="1Outputbox1" xfId="837"/>
    <cellStyle name="1Outputbox1 10" xfId="838"/>
    <cellStyle name="1Outputbox1 10 2" xfId="839"/>
    <cellStyle name="1Outputbox1 10 2 2" xfId="840"/>
    <cellStyle name="1Outputbox1 10 2 2 2" xfId="841"/>
    <cellStyle name="1Outputbox1 10 2 2 2 2" xfId="842"/>
    <cellStyle name="1Outputbox1 10 2 2 3" xfId="843"/>
    <cellStyle name="1Outputbox1 10 2 2 3 2" xfId="844"/>
    <cellStyle name="1Outputbox1 10 2 3" xfId="845"/>
    <cellStyle name="1Outputbox1 10 2 3 2" xfId="846"/>
    <cellStyle name="1Outputbox1 10 2 3 2 2" xfId="847"/>
    <cellStyle name="1Outputbox1 10 2 3 3" xfId="848"/>
    <cellStyle name="1Outputbox1 10 2 3 3 2" xfId="849"/>
    <cellStyle name="1Outputbox1 10 2 4" xfId="850"/>
    <cellStyle name="1Outputbox1 10 2 4 2" xfId="851"/>
    <cellStyle name="1Outputbox1 10 2 5" xfId="852"/>
    <cellStyle name="1Outputbox1 10 2 5 2" xfId="853"/>
    <cellStyle name="1Outputbox1 10 3" xfId="854"/>
    <cellStyle name="1Outputbox1 10 3 2" xfId="855"/>
    <cellStyle name="1Outputbox1 10 3 2 2" xfId="856"/>
    <cellStyle name="1Outputbox1 10 3 2 2 2" xfId="857"/>
    <cellStyle name="1Outputbox1 10 3 2 3" xfId="858"/>
    <cellStyle name="1Outputbox1 10 3 2 3 2" xfId="859"/>
    <cellStyle name="1Outputbox1 10 3 3" xfId="860"/>
    <cellStyle name="1Outputbox1 10 3 3 2" xfId="861"/>
    <cellStyle name="1Outputbox1 10 3 3 2 2" xfId="862"/>
    <cellStyle name="1Outputbox1 10 3 3 3" xfId="863"/>
    <cellStyle name="1Outputbox1 10 3 3 3 2" xfId="864"/>
    <cellStyle name="1Outputbox1 10 3 4" xfId="865"/>
    <cellStyle name="1Outputbox1 10 3 4 2" xfId="866"/>
    <cellStyle name="1Outputbox1 10 3 5" xfId="867"/>
    <cellStyle name="1Outputbox1 10 3 5 2" xfId="868"/>
    <cellStyle name="1Outputbox1 10 4" xfId="869"/>
    <cellStyle name="1Outputbox1 10 4 2" xfId="870"/>
    <cellStyle name="1Outputbox1 10 4 2 2" xfId="871"/>
    <cellStyle name="1Outputbox1 10 4 2 2 2" xfId="872"/>
    <cellStyle name="1Outputbox1 10 4 2 3" xfId="873"/>
    <cellStyle name="1Outputbox1 10 4 2 3 2" xfId="874"/>
    <cellStyle name="1Outputbox1 10 4 3" xfId="875"/>
    <cellStyle name="1Outputbox1 10 4 3 2" xfId="876"/>
    <cellStyle name="1Outputbox1 10 4 3 2 2" xfId="877"/>
    <cellStyle name="1Outputbox1 10 4 3 3" xfId="878"/>
    <cellStyle name="1Outputbox1 10 4 3 3 2" xfId="879"/>
    <cellStyle name="1Outputbox1 10 4 4" xfId="880"/>
    <cellStyle name="1Outputbox1 10 4 4 2" xfId="881"/>
    <cellStyle name="1Outputbox1 10 4 5" xfId="882"/>
    <cellStyle name="1Outputbox1 10 4 5 2" xfId="883"/>
    <cellStyle name="1Outputbox1 10 5" xfId="884"/>
    <cellStyle name="1Outputbox1 10 5 2" xfId="885"/>
    <cellStyle name="1Outputbox1 10 5 2 2" xfId="886"/>
    <cellStyle name="1Outputbox1 10 5 3" xfId="887"/>
    <cellStyle name="1Outputbox1 10 5 3 2" xfId="888"/>
    <cellStyle name="1Outputbox1 10 6" xfId="889"/>
    <cellStyle name="1Outputbox1 10 6 2" xfId="890"/>
    <cellStyle name="1Outputbox1 10 6 2 2" xfId="891"/>
    <cellStyle name="1Outputbox1 10 6 3" xfId="892"/>
    <cellStyle name="1Outputbox1 10 6 3 2" xfId="893"/>
    <cellStyle name="1Outputbox1 10 7" xfId="894"/>
    <cellStyle name="1Outputbox1 10 7 2" xfId="895"/>
    <cellStyle name="1Outputbox1 10 8" xfId="896"/>
    <cellStyle name="1Outputbox1 10 8 2" xfId="897"/>
    <cellStyle name="1Outputbox1 11" xfId="898"/>
    <cellStyle name="1Outputbox1 11 2" xfId="899"/>
    <cellStyle name="1Outputbox1 11 2 2" xfId="900"/>
    <cellStyle name="1Outputbox1 11 2 2 2" xfId="901"/>
    <cellStyle name="1Outputbox1 11 2 2 2 2" xfId="902"/>
    <cellStyle name="1Outputbox1 11 2 2 3" xfId="903"/>
    <cellStyle name="1Outputbox1 11 2 2 3 2" xfId="904"/>
    <cellStyle name="1Outputbox1 11 2 3" xfId="905"/>
    <cellStyle name="1Outputbox1 11 2 3 2" xfId="906"/>
    <cellStyle name="1Outputbox1 11 2 3 2 2" xfId="907"/>
    <cellStyle name="1Outputbox1 11 2 3 3" xfId="908"/>
    <cellStyle name="1Outputbox1 11 2 3 3 2" xfId="909"/>
    <cellStyle name="1Outputbox1 11 2 4" xfId="910"/>
    <cellStyle name="1Outputbox1 11 2 4 2" xfId="911"/>
    <cellStyle name="1Outputbox1 11 2 5" xfId="912"/>
    <cellStyle name="1Outputbox1 11 2 5 2" xfId="913"/>
    <cellStyle name="1Outputbox1 11 3" xfId="914"/>
    <cellStyle name="1Outputbox1 11 3 2" xfId="915"/>
    <cellStyle name="1Outputbox1 11 3 2 2" xfId="916"/>
    <cellStyle name="1Outputbox1 11 3 2 2 2" xfId="917"/>
    <cellStyle name="1Outputbox1 11 3 2 3" xfId="918"/>
    <cellStyle name="1Outputbox1 11 3 2 3 2" xfId="919"/>
    <cellStyle name="1Outputbox1 11 3 3" xfId="920"/>
    <cellStyle name="1Outputbox1 11 3 3 2" xfId="921"/>
    <cellStyle name="1Outputbox1 11 3 3 2 2" xfId="922"/>
    <cellStyle name="1Outputbox1 11 3 3 3" xfId="923"/>
    <cellStyle name="1Outputbox1 11 3 3 3 2" xfId="924"/>
    <cellStyle name="1Outputbox1 11 3 4" xfId="925"/>
    <cellStyle name="1Outputbox1 11 3 4 2" xfId="926"/>
    <cellStyle name="1Outputbox1 11 3 5" xfId="927"/>
    <cellStyle name="1Outputbox1 11 3 5 2" xfId="928"/>
    <cellStyle name="1Outputbox1 11 4" xfId="929"/>
    <cellStyle name="1Outputbox1 11 4 2" xfId="930"/>
    <cellStyle name="1Outputbox1 11 4 2 2" xfId="931"/>
    <cellStyle name="1Outputbox1 11 4 2 2 2" xfId="932"/>
    <cellStyle name="1Outputbox1 11 4 2 3" xfId="933"/>
    <cellStyle name="1Outputbox1 11 4 2 3 2" xfId="934"/>
    <cellStyle name="1Outputbox1 11 4 3" xfId="935"/>
    <cellStyle name="1Outputbox1 11 4 3 2" xfId="936"/>
    <cellStyle name="1Outputbox1 11 4 3 2 2" xfId="937"/>
    <cellStyle name="1Outputbox1 11 4 3 3" xfId="938"/>
    <cellStyle name="1Outputbox1 11 4 3 3 2" xfId="939"/>
    <cellStyle name="1Outputbox1 11 4 4" xfId="940"/>
    <cellStyle name="1Outputbox1 11 4 4 2" xfId="941"/>
    <cellStyle name="1Outputbox1 11 4 5" xfId="942"/>
    <cellStyle name="1Outputbox1 11 4 5 2" xfId="943"/>
    <cellStyle name="1Outputbox1 11 5" xfId="944"/>
    <cellStyle name="1Outputbox1 11 5 2" xfId="945"/>
    <cellStyle name="1Outputbox1 11 5 2 2" xfId="946"/>
    <cellStyle name="1Outputbox1 11 5 3" xfId="947"/>
    <cellStyle name="1Outputbox1 11 5 3 2" xfId="948"/>
    <cellStyle name="1Outputbox1 11 6" xfId="949"/>
    <cellStyle name="1Outputbox1 11 6 2" xfId="950"/>
    <cellStyle name="1Outputbox1 11 6 2 2" xfId="951"/>
    <cellStyle name="1Outputbox1 11 6 3" xfId="952"/>
    <cellStyle name="1Outputbox1 11 6 3 2" xfId="953"/>
    <cellStyle name="1Outputbox1 11 7" xfId="954"/>
    <cellStyle name="1Outputbox1 11 7 2" xfId="955"/>
    <cellStyle name="1Outputbox1 11 8" xfId="956"/>
    <cellStyle name="1Outputbox1 11 8 2" xfId="957"/>
    <cellStyle name="1Outputbox1 12" xfId="958"/>
    <cellStyle name="1Outputbox1 12 2" xfId="959"/>
    <cellStyle name="1Outputbox1 12 2 2" xfId="960"/>
    <cellStyle name="1Outputbox1 12 2 2 2" xfId="961"/>
    <cellStyle name="1Outputbox1 12 2 2 2 2" xfId="962"/>
    <cellStyle name="1Outputbox1 12 2 2 3" xfId="963"/>
    <cellStyle name="1Outputbox1 12 2 2 3 2" xfId="964"/>
    <cellStyle name="1Outputbox1 12 2 3" xfId="965"/>
    <cellStyle name="1Outputbox1 12 2 3 2" xfId="966"/>
    <cellStyle name="1Outputbox1 12 2 3 2 2" xfId="967"/>
    <cellStyle name="1Outputbox1 12 2 3 3" xfId="968"/>
    <cellStyle name="1Outputbox1 12 2 3 3 2" xfId="969"/>
    <cellStyle name="1Outputbox1 12 2 4" xfId="970"/>
    <cellStyle name="1Outputbox1 12 2 4 2" xfId="971"/>
    <cellStyle name="1Outputbox1 12 2 5" xfId="972"/>
    <cellStyle name="1Outputbox1 12 2 5 2" xfId="973"/>
    <cellStyle name="1Outputbox1 12 3" xfId="974"/>
    <cellStyle name="1Outputbox1 12 3 2" xfId="975"/>
    <cellStyle name="1Outputbox1 12 3 2 2" xfId="976"/>
    <cellStyle name="1Outputbox1 12 3 2 2 2" xfId="977"/>
    <cellStyle name="1Outputbox1 12 3 2 3" xfId="978"/>
    <cellStyle name="1Outputbox1 12 3 2 3 2" xfId="979"/>
    <cellStyle name="1Outputbox1 12 3 3" xfId="980"/>
    <cellStyle name="1Outputbox1 12 3 3 2" xfId="981"/>
    <cellStyle name="1Outputbox1 12 3 3 2 2" xfId="982"/>
    <cellStyle name="1Outputbox1 12 3 3 3" xfId="983"/>
    <cellStyle name="1Outputbox1 12 3 3 3 2" xfId="984"/>
    <cellStyle name="1Outputbox1 12 3 4" xfId="985"/>
    <cellStyle name="1Outputbox1 12 3 4 2" xfId="986"/>
    <cellStyle name="1Outputbox1 12 3 5" xfId="987"/>
    <cellStyle name="1Outputbox1 12 3 5 2" xfId="988"/>
    <cellStyle name="1Outputbox1 12 4" xfId="989"/>
    <cellStyle name="1Outputbox1 12 4 2" xfId="990"/>
    <cellStyle name="1Outputbox1 12 4 2 2" xfId="991"/>
    <cellStyle name="1Outputbox1 12 4 2 2 2" xfId="992"/>
    <cellStyle name="1Outputbox1 12 4 2 3" xfId="993"/>
    <cellStyle name="1Outputbox1 12 4 2 3 2" xfId="994"/>
    <cellStyle name="1Outputbox1 12 4 3" xfId="995"/>
    <cellStyle name="1Outputbox1 12 4 3 2" xfId="996"/>
    <cellStyle name="1Outputbox1 12 4 3 2 2" xfId="997"/>
    <cellStyle name="1Outputbox1 12 4 3 3" xfId="998"/>
    <cellStyle name="1Outputbox1 12 4 3 3 2" xfId="999"/>
    <cellStyle name="1Outputbox1 12 4 4" xfId="1000"/>
    <cellStyle name="1Outputbox1 12 4 4 2" xfId="1001"/>
    <cellStyle name="1Outputbox1 12 4 5" xfId="1002"/>
    <cellStyle name="1Outputbox1 12 4 5 2" xfId="1003"/>
    <cellStyle name="1Outputbox1 12 5" xfId="1004"/>
    <cellStyle name="1Outputbox1 12 5 2" xfId="1005"/>
    <cellStyle name="1Outputbox1 12 5 2 2" xfId="1006"/>
    <cellStyle name="1Outputbox1 12 5 3" xfId="1007"/>
    <cellStyle name="1Outputbox1 12 5 3 2" xfId="1008"/>
    <cellStyle name="1Outputbox1 12 6" xfId="1009"/>
    <cellStyle name="1Outputbox1 12 6 2" xfId="1010"/>
    <cellStyle name="1Outputbox1 12 6 2 2" xfId="1011"/>
    <cellStyle name="1Outputbox1 12 6 3" xfId="1012"/>
    <cellStyle name="1Outputbox1 12 6 3 2" xfId="1013"/>
    <cellStyle name="1Outputbox1 12 7" xfId="1014"/>
    <cellStyle name="1Outputbox1 12 7 2" xfId="1015"/>
    <cellStyle name="1Outputbox1 12 8" xfId="1016"/>
    <cellStyle name="1Outputbox1 12 8 2" xfId="1017"/>
    <cellStyle name="1Outputbox1 13" xfId="1018"/>
    <cellStyle name="1Outputbox1 13 2" xfId="1019"/>
    <cellStyle name="1Outputbox1 13 2 2" xfId="1020"/>
    <cellStyle name="1Outputbox1 13 2 2 2" xfId="1021"/>
    <cellStyle name="1Outputbox1 13 2 2 2 2" xfId="1022"/>
    <cellStyle name="1Outputbox1 13 2 2 3" xfId="1023"/>
    <cellStyle name="1Outputbox1 13 2 2 3 2" xfId="1024"/>
    <cellStyle name="1Outputbox1 13 2 3" xfId="1025"/>
    <cellStyle name="1Outputbox1 13 2 3 2" xfId="1026"/>
    <cellStyle name="1Outputbox1 13 2 3 2 2" xfId="1027"/>
    <cellStyle name="1Outputbox1 13 2 3 3" xfId="1028"/>
    <cellStyle name="1Outputbox1 13 2 3 3 2" xfId="1029"/>
    <cellStyle name="1Outputbox1 13 2 4" xfId="1030"/>
    <cellStyle name="1Outputbox1 13 2 4 2" xfId="1031"/>
    <cellStyle name="1Outputbox1 13 2 5" xfId="1032"/>
    <cellStyle name="1Outputbox1 13 2 5 2" xfId="1033"/>
    <cellStyle name="1Outputbox1 13 3" xfId="1034"/>
    <cellStyle name="1Outputbox1 13 3 2" xfId="1035"/>
    <cellStyle name="1Outputbox1 13 3 2 2" xfId="1036"/>
    <cellStyle name="1Outputbox1 13 3 2 2 2" xfId="1037"/>
    <cellStyle name="1Outputbox1 13 3 2 3" xfId="1038"/>
    <cellStyle name="1Outputbox1 13 3 2 3 2" xfId="1039"/>
    <cellStyle name="1Outputbox1 13 3 3" xfId="1040"/>
    <cellStyle name="1Outputbox1 13 3 3 2" xfId="1041"/>
    <cellStyle name="1Outputbox1 13 3 3 2 2" xfId="1042"/>
    <cellStyle name="1Outputbox1 13 3 3 3" xfId="1043"/>
    <cellStyle name="1Outputbox1 13 3 3 3 2" xfId="1044"/>
    <cellStyle name="1Outputbox1 13 3 4" xfId="1045"/>
    <cellStyle name="1Outputbox1 13 3 4 2" xfId="1046"/>
    <cellStyle name="1Outputbox1 13 3 5" xfId="1047"/>
    <cellStyle name="1Outputbox1 13 3 5 2" xfId="1048"/>
    <cellStyle name="1Outputbox1 13 4" xfId="1049"/>
    <cellStyle name="1Outputbox1 13 4 2" xfId="1050"/>
    <cellStyle name="1Outputbox1 13 4 2 2" xfId="1051"/>
    <cellStyle name="1Outputbox1 13 4 2 2 2" xfId="1052"/>
    <cellStyle name="1Outputbox1 13 4 2 3" xfId="1053"/>
    <cellStyle name="1Outputbox1 13 4 2 3 2" xfId="1054"/>
    <cellStyle name="1Outputbox1 13 4 3" xfId="1055"/>
    <cellStyle name="1Outputbox1 13 4 3 2" xfId="1056"/>
    <cellStyle name="1Outputbox1 13 4 3 2 2" xfId="1057"/>
    <cellStyle name="1Outputbox1 13 4 3 3" xfId="1058"/>
    <cellStyle name="1Outputbox1 13 4 3 3 2" xfId="1059"/>
    <cellStyle name="1Outputbox1 13 4 4" xfId="1060"/>
    <cellStyle name="1Outputbox1 13 4 4 2" xfId="1061"/>
    <cellStyle name="1Outputbox1 13 4 5" xfId="1062"/>
    <cellStyle name="1Outputbox1 13 4 5 2" xfId="1063"/>
    <cellStyle name="1Outputbox1 13 5" xfId="1064"/>
    <cellStyle name="1Outputbox1 13 5 2" xfId="1065"/>
    <cellStyle name="1Outputbox1 13 5 2 2" xfId="1066"/>
    <cellStyle name="1Outputbox1 13 5 3" xfId="1067"/>
    <cellStyle name="1Outputbox1 13 5 3 2" xfId="1068"/>
    <cellStyle name="1Outputbox1 13 6" xfId="1069"/>
    <cellStyle name="1Outputbox1 13 6 2" xfId="1070"/>
    <cellStyle name="1Outputbox1 13 6 2 2" xfId="1071"/>
    <cellStyle name="1Outputbox1 13 6 3" xfId="1072"/>
    <cellStyle name="1Outputbox1 13 6 3 2" xfId="1073"/>
    <cellStyle name="1Outputbox1 13 7" xfId="1074"/>
    <cellStyle name="1Outputbox1 13 7 2" xfId="1075"/>
    <cellStyle name="1Outputbox1 13 8" xfId="1076"/>
    <cellStyle name="1Outputbox1 13 8 2" xfId="1077"/>
    <cellStyle name="1Outputbox1 14" xfId="1078"/>
    <cellStyle name="1Outputbox1 14 2" xfId="1079"/>
    <cellStyle name="1Outputbox1 14 2 2" xfId="1080"/>
    <cellStyle name="1Outputbox1 14 2 2 2" xfId="1081"/>
    <cellStyle name="1Outputbox1 14 2 2 2 2" xfId="1082"/>
    <cellStyle name="1Outputbox1 14 2 2 3" xfId="1083"/>
    <cellStyle name="1Outputbox1 14 2 2 3 2" xfId="1084"/>
    <cellStyle name="1Outputbox1 14 2 3" xfId="1085"/>
    <cellStyle name="1Outputbox1 14 2 3 2" xfId="1086"/>
    <cellStyle name="1Outputbox1 14 2 3 2 2" xfId="1087"/>
    <cellStyle name="1Outputbox1 14 2 3 3" xfId="1088"/>
    <cellStyle name="1Outputbox1 14 2 3 3 2" xfId="1089"/>
    <cellStyle name="1Outputbox1 14 2 4" xfId="1090"/>
    <cellStyle name="1Outputbox1 14 2 4 2" xfId="1091"/>
    <cellStyle name="1Outputbox1 14 2 5" xfId="1092"/>
    <cellStyle name="1Outputbox1 14 2 5 2" xfId="1093"/>
    <cellStyle name="1Outputbox1 14 3" xfId="1094"/>
    <cellStyle name="1Outputbox1 14 3 2" xfId="1095"/>
    <cellStyle name="1Outputbox1 14 3 2 2" xfId="1096"/>
    <cellStyle name="1Outputbox1 14 3 2 2 2" xfId="1097"/>
    <cellStyle name="1Outputbox1 14 3 2 3" xfId="1098"/>
    <cellStyle name="1Outputbox1 14 3 2 3 2" xfId="1099"/>
    <cellStyle name="1Outputbox1 14 3 3" xfId="1100"/>
    <cellStyle name="1Outputbox1 14 3 3 2" xfId="1101"/>
    <cellStyle name="1Outputbox1 14 3 3 2 2" xfId="1102"/>
    <cellStyle name="1Outputbox1 14 3 3 3" xfId="1103"/>
    <cellStyle name="1Outputbox1 14 3 3 3 2" xfId="1104"/>
    <cellStyle name="1Outputbox1 14 3 4" xfId="1105"/>
    <cellStyle name="1Outputbox1 14 3 4 2" xfId="1106"/>
    <cellStyle name="1Outputbox1 14 3 5" xfId="1107"/>
    <cellStyle name="1Outputbox1 14 3 5 2" xfId="1108"/>
    <cellStyle name="1Outputbox1 14 4" xfId="1109"/>
    <cellStyle name="1Outputbox1 14 4 2" xfId="1110"/>
    <cellStyle name="1Outputbox1 14 4 2 2" xfId="1111"/>
    <cellStyle name="1Outputbox1 14 4 2 2 2" xfId="1112"/>
    <cellStyle name="1Outputbox1 14 4 2 3" xfId="1113"/>
    <cellStyle name="1Outputbox1 14 4 2 3 2" xfId="1114"/>
    <cellStyle name="1Outputbox1 14 4 3" xfId="1115"/>
    <cellStyle name="1Outputbox1 14 4 3 2" xfId="1116"/>
    <cellStyle name="1Outputbox1 14 4 3 2 2" xfId="1117"/>
    <cellStyle name="1Outputbox1 14 4 3 3" xfId="1118"/>
    <cellStyle name="1Outputbox1 14 4 3 3 2" xfId="1119"/>
    <cellStyle name="1Outputbox1 14 4 4" xfId="1120"/>
    <cellStyle name="1Outputbox1 14 4 4 2" xfId="1121"/>
    <cellStyle name="1Outputbox1 14 4 5" xfId="1122"/>
    <cellStyle name="1Outputbox1 14 4 5 2" xfId="1123"/>
    <cellStyle name="1Outputbox1 14 5" xfId="1124"/>
    <cellStyle name="1Outputbox1 14 5 2" xfId="1125"/>
    <cellStyle name="1Outputbox1 14 5 2 2" xfId="1126"/>
    <cellStyle name="1Outputbox1 14 5 3" xfId="1127"/>
    <cellStyle name="1Outputbox1 14 5 3 2" xfId="1128"/>
    <cellStyle name="1Outputbox1 14 6" xfId="1129"/>
    <cellStyle name="1Outputbox1 14 6 2" xfId="1130"/>
    <cellStyle name="1Outputbox1 14 6 2 2" xfId="1131"/>
    <cellStyle name="1Outputbox1 14 6 3" xfId="1132"/>
    <cellStyle name="1Outputbox1 14 6 3 2" xfId="1133"/>
    <cellStyle name="1Outputbox1 14 7" xfId="1134"/>
    <cellStyle name="1Outputbox1 14 7 2" xfId="1135"/>
    <cellStyle name="1Outputbox1 14 8" xfId="1136"/>
    <cellStyle name="1Outputbox1 14 8 2" xfId="1137"/>
    <cellStyle name="1Outputbox1 15" xfId="1138"/>
    <cellStyle name="1Outputbox1 15 2" xfId="1139"/>
    <cellStyle name="1Outputbox1 15 2 2" xfId="1140"/>
    <cellStyle name="1Outputbox1 15 2 2 2" xfId="1141"/>
    <cellStyle name="1Outputbox1 15 2 2 2 2" xfId="1142"/>
    <cellStyle name="1Outputbox1 15 2 2 3" xfId="1143"/>
    <cellStyle name="1Outputbox1 15 2 2 3 2" xfId="1144"/>
    <cellStyle name="1Outputbox1 15 2 3" xfId="1145"/>
    <cellStyle name="1Outputbox1 15 2 3 2" xfId="1146"/>
    <cellStyle name="1Outputbox1 15 2 3 2 2" xfId="1147"/>
    <cellStyle name="1Outputbox1 15 2 3 3" xfId="1148"/>
    <cellStyle name="1Outputbox1 15 2 3 3 2" xfId="1149"/>
    <cellStyle name="1Outputbox1 15 2 4" xfId="1150"/>
    <cellStyle name="1Outputbox1 15 2 4 2" xfId="1151"/>
    <cellStyle name="1Outputbox1 15 2 5" xfId="1152"/>
    <cellStyle name="1Outputbox1 15 2 5 2" xfId="1153"/>
    <cellStyle name="1Outputbox1 15 3" xfId="1154"/>
    <cellStyle name="1Outputbox1 15 3 2" xfId="1155"/>
    <cellStyle name="1Outputbox1 15 3 2 2" xfId="1156"/>
    <cellStyle name="1Outputbox1 15 3 2 2 2" xfId="1157"/>
    <cellStyle name="1Outputbox1 15 3 2 3" xfId="1158"/>
    <cellStyle name="1Outputbox1 15 3 2 3 2" xfId="1159"/>
    <cellStyle name="1Outputbox1 15 3 3" xfId="1160"/>
    <cellStyle name="1Outputbox1 15 3 3 2" xfId="1161"/>
    <cellStyle name="1Outputbox1 15 3 3 2 2" xfId="1162"/>
    <cellStyle name="1Outputbox1 15 3 3 3" xfId="1163"/>
    <cellStyle name="1Outputbox1 15 3 3 3 2" xfId="1164"/>
    <cellStyle name="1Outputbox1 15 3 4" xfId="1165"/>
    <cellStyle name="1Outputbox1 15 3 4 2" xfId="1166"/>
    <cellStyle name="1Outputbox1 15 3 5" xfId="1167"/>
    <cellStyle name="1Outputbox1 15 3 5 2" xfId="1168"/>
    <cellStyle name="1Outputbox1 15 4" xfId="1169"/>
    <cellStyle name="1Outputbox1 15 4 2" xfId="1170"/>
    <cellStyle name="1Outputbox1 15 4 2 2" xfId="1171"/>
    <cellStyle name="1Outputbox1 15 4 2 2 2" xfId="1172"/>
    <cellStyle name="1Outputbox1 15 4 2 3" xfId="1173"/>
    <cellStyle name="1Outputbox1 15 4 2 3 2" xfId="1174"/>
    <cellStyle name="1Outputbox1 15 4 3" xfId="1175"/>
    <cellStyle name="1Outputbox1 15 4 3 2" xfId="1176"/>
    <cellStyle name="1Outputbox1 15 4 3 2 2" xfId="1177"/>
    <cellStyle name="1Outputbox1 15 4 3 3" xfId="1178"/>
    <cellStyle name="1Outputbox1 15 4 3 3 2" xfId="1179"/>
    <cellStyle name="1Outputbox1 15 4 4" xfId="1180"/>
    <cellStyle name="1Outputbox1 15 4 4 2" xfId="1181"/>
    <cellStyle name="1Outputbox1 15 4 5" xfId="1182"/>
    <cellStyle name="1Outputbox1 15 4 5 2" xfId="1183"/>
    <cellStyle name="1Outputbox1 15 5" xfId="1184"/>
    <cellStyle name="1Outputbox1 15 5 2" xfId="1185"/>
    <cellStyle name="1Outputbox1 15 5 2 2" xfId="1186"/>
    <cellStyle name="1Outputbox1 15 5 3" xfId="1187"/>
    <cellStyle name="1Outputbox1 15 5 3 2" xfId="1188"/>
    <cellStyle name="1Outputbox1 15 6" xfId="1189"/>
    <cellStyle name="1Outputbox1 15 6 2" xfId="1190"/>
    <cellStyle name="1Outputbox1 15 6 2 2" xfId="1191"/>
    <cellStyle name="1Outputbox1 15 6 3" xfId="1192"/>
    <cellStyle name="1Outputbox1 15 6 3 2" xfId="1193"/>
    <cellStyle name="1Outputbox1 15 7" xfId="1194"/>
    <cellStyle name="1Outputbox1 15 7 2" xfId="1195"/>
    <cellStyle name="1Outputbox1 15 8" xfId="1196"/>
    <cellStyle name="1Outputbox1 15 8 2" xfId="1197"/>
    <cellStyle name="1Outputbox1 16" xfId="1198"/>
    <cellStyle name="1Outputbox1 16 2" xfId="1199"/>
    <cellStyle name="1Outputbox1 16 2 2" xfId="1200"/>
    <cellStyle name="1Outputbox1 16 2 2 2" xfId="1201"/>
    <cellStyle name="1Outputbox1 16 2 2 2 2" xfId="1202"/>
    <cellStyle name="1Outputbox1 16 2 2 3" xfId="1203"/>
    <cellStyle name="1Outputbox1 16 2 2 3 2" xfId="1204"/>
    <cellStyle name="1Outputbox1 16 2 3" xfId="1205"/>
    <cellStyle name="1Outputbox1 16 2 3 2" xfId="1206"/>
    <cellStyle name="1Outputbox1 16 2 3 2 2" xfId="1207"/>
    <cellStyle name="1Outputbox1 16 2 3 3" xfId="1208"/>
    <cellStyle name="1Outputbox1 16 2 3 3 2" xfId="1209"/>
    <cellStyle name="1Outputbox1 16 2 4" xfId="1210"/>
    <cellStyle name="1Outputbox1 16 2 4 2" xfId="1211"/>
    <cellStyle name="1Outputbox1 16 2 5" xfId="1212"/>
    <cellStyle name="1Outputbox1 16 2 5 2" xfId="1213"/>
    <cellStyle name="1Outputbox1 16 3" xfId="1214"/>
    <cellStyle name="1Outputbox1 16 3 2" xfId="1215"/>
    <cellStyle name="1Outputbox1 16 3 2 2" xfId="1216"/>
    <cellStyle name="1Outputbox1 16 3 2 2 2" xfId="1217"/>
    <cellStyle name="1Outputbox1 16 3 2 3" xfId="1218"/>
    <cellStyle name="1Outputbox1 16 3 2 3 2" xfId="1219"/>
    <cellStyle name="1Outputbox1 16 3 3" xfId="1220"/>
    <cellStyle name="1Outputbox1 16 3 3 2" xfId="1221"/>
    <cellStyle name="1Outputbox1 16 3 3 2 2" xfId="1222"/>
    <cellStyle name="1Outputbox1 16 3 3 3" xfId="1223"/>
    <cellStyle name="1Outputbox1 16 3 3 3 2" xfId="1224"/>
    <cellStyle name="1Outputbox1 16 3 4" xfId="1225"/>
    <cellStyle name="1Outputbox1 16 3 4 2" xfId="1226"/>
    <cellStyle name="1Outputbox1 16 3 5" xfId="1227"/>
    <cellStyle name="1Outputbox1 16 3 5 2" xfId="1228"/>
    <cellStyle name="1Outputbox1 16 4" xfId="1229"/>
    <cellStyle name="1Outputbox1 16 4 2" xfId="1230"/>
    <cellStyle name="1Outputbox1 16 4 2 2" xfId="1231"/>
    <cellStyle name="1Outputbox1 16 4 2 2 2" xfId="1232"/>
    <cellStyle name="1Outputbox1 16 4 2 3" xfId="1233"/>
    <cellStyle name="1Outputbox1 16 4 2 3 2" xfId="1234"/>
    <cellStyle name="1Outputbox1 16 4 3" xfId="1235"/>
    <cellStyle name="1Outputbox1 16 4 3 2" xfId="1236"/>
    <cellStyle name="1Outputbox1 16 4 3 2 2" xfId="1237"/>
    <cellStyle name="1Outputbox1 16 4 3 3" xfId="1238"/>
    <cellStyle name="1Outputbox1 16 4 3 3 2" xfId="1239"/>
    <cellStyle name="1Outputbox1 16 4 4" xfId="1240"/>
    <cellStyle name="1Outputbox1 16 4 4 2" xfId="1241"/>
    <cellStyle name="1Outputbox1 16 4 5" xfId="1242"/>
    <cellStyle name="1Outputbox1 16 4 5 2" xfId="1243"/>
    <cellStyle name="1Outputbox1 16 5" xfId="1244"/>
    <cellStyle name="1Outputbox1 16 5 2" xfId="1245"/>
    <cellStyle name="1Outputbox1 16 5 2 2" xfId="1246"/>
    <cellStyle name="1Outputbox1 16 5 3" xfId="1247"/>
    <cellStyle name="1Outputbox1 16 5 3 2" xfId="1248"/>
    <cellStyle name="1Outputbox1 16 6" xfId="1249"/>
    <cellStyle name="1Outputbox1 16 6 2" xfId="1250"/>
    <cellStyle name="1Outputbox1 16 6 2 2" xfId="1251"/>
    <cellStyle name="1Outputbox1 16 6 3" xfId="1252"/>
    <cellStyle name="1Outputbox1 16 6 3 2" xfId="1253"/>
    <cellStyle name="1Outputbox1 16 7" xfId="1254"/>
    <cellStyle name="1Outputbox1 16 7 2" xfId="1255"/>
    <cellStyle name="1Outputbox1 16 8" xfId="1256"/>
    <cellStyle name="1Outputbox1 16 8 2" xfId="1257"/>
    <cellStyle name="1Outputbox1 17" xfId="1258"/>
    <cellStyle name="1Outputbox1 17 2" xfId="1259"/>
    <cellStyle name="1Outputbox1 17 2 2" xfId="1260"/>
    <cellStyle name="1Outputbox1 17 2 2 2" xfId="1261"/>
    <cellStyle name="1Outputbox1 17 2 3" xfId="1262"/>
    <cellStyle name="1Outputbox1 17 2 3 2" xfId="1263"/>
    <cellStyle name="1Outputbox1 17 3" xfId="1264"/>
    <cellStyle name="1Outputbox1 17 3 2" xfId="1265"/>
    <cellStyle name="1Outputbox1 17 3 2 2" xfId="1266"/>
    <cellStyle name="1Outputbox1 17 3 3" xfId="1267"/>
    <cellStyle name="1Outputbox1 17 3 3 2" xfId="1268"/>
    <cellStyle name="1Outputbox1 17 4" xfId="1269"/>
    <cellStyle name="1Outputbox1 17 4 2" xfId="1270"/>
    <cellStyle name="1Outputbox1 17 5" xfId="1271"/>
    <cellStyle name="1Outputbox1 17 5 2" xfId="1272"/>
    <cellStyle name="1Outputbox1 18" xfId="1273"/>
    <cellStyle name="1Outputbox1 18 2" xfId="1274"/>
    <cellStyle name="1Outputbox1 18 2 2" xfId="1275"/>
    <cellStyle name="1Outputbox1 18 2 2 2" xfId="1276"/>
    <cellStyle name="1Outputbox1 18 2 3" xfId="1277"/>
    <cellStyle name="1Outputbox1 18 2 3 2" xfId="1278"/>
    <cellStyle name="1Outputbox1 18 3" xfId="1279"/>
    <cellStyle name="1Outputbox1 18 3 2" xfId="1280"/>
    <cellStyle name="1Outputbox1 18 3 2 2" xfId="1281"/>
    <cellStyle name="1Outputbox1 18 3 3" xfId="1282"/>
    <cellStyle name="1Outputbox1 18 3 3 2" xfId="1283"/>
    <cellStyle name="1Outputbox1 18 4" xfId="1284"/>
    <cellStyle name="1Outputbox1 18 4 2" xfId="1285"/>
    <cellStyle name="1Outputbox1 18 5" xfId="1286"/>
    <cellStyle name="1Outputbox1 18 5 2" xfId="1287"/>
    <cellStyle name="1Outputbox1 19" xfId="1288"/>
    <cellStyle name="1Outputbox1 19 2" xfId="1289"/>
    <cellStyle name="1Outputbox1 19 2 2" xfId="1290"/>
    <cellStyle name="1Outputbox1 19 2 2 2" xfId="1291"/>
    <cellStyle name="1Outputbox1 19 2 3" xfId="1292"/>
    <cellStyle name="1Outputbox1 19 2 3 2" xfId="1293"/>
    <cellStyle name="1Outputbox1 19 3" xfId="1294"/>
    <cellStyle name="1Outputbox1 19 3 2" xfId="1295"/>
    <cellStyle name="1Outputbox1 19 3 2 2" xfId="1296"/>
    <cellStyle name="1Outputbox1 19 3 3" xfId="1297"/>
    <cellStyle name="1Outputbox1 19 3 3 2" xfId="1298"/>
    <cellStyle name="1Outputbox1 19 4" xfId="1299"/>
    <cellStyle name="1Outputbox1 19 4 2" xfId="1300"/>
    <cellStyle name="1Outputbox1 19 5" xfId="1301"/>
    <cellStyle name="1Outputbox1 19 5 2" xfId="1302"/>
    <cellStyle name="1Outputbox1 2" xfId="1303"/>
    <cellStyle name="1Outputbox1 2 2" xfId="1304"/>
    <cellStyle name="1Outputbox1 2 2 2" xfId="1305"/>
    <cellStyle name="1Outputbox1 2 2 2 2" xfId="1306"/>
    <cellStyle name="1Outputbox1 2 2 2 2 2" xfId="1307"/>
    <cellStyle name="1Outputbox1 2 2 2 3" xfId="1308"/>
    <cellStyle name="1Outputbox1 2 2 2 3 2" xfId="1309"/>
    <cellStyle name="1Outputbox1 2 2 3" xfId="1310"/>
    <cellStyle name="1Outputbox1 2 2 3 2" xfId="1311"/>
    <cellStyle name="1Outputbox1 2 2 3 2 2" xfId="1312"/>
    <cellStyle name="1Outputbox1 2 2 3 3" xfId="1313"/>
    <cellStyle name="1Outputbox1 2 2 3 3 2" xfId="1314"/>
    <cellStyle name="1Outputbox1 2 2 4" xfId="1315"/>
    <cellStyle name="1Outputbox1 2 2 4 2" xfId="1316"/>
    <cellStyle name="1Outputbox1 2 2 5" xfId="1317"/>
    <cellStyle name="1Outputbox1 2 2 5 2" xfId="1318"/>
    <cellStyle name="1Outputbox1 2 3" xfId="1319"/>
    <cellStyle name="1Outputbox1 2 3 2" xfId="1320"/>
    <cellStyle name="1Outputbox1 2 3 2 2" xfId="1321"/>
    <cellStyle name="1Outputbox1 2 3 2 2 2" xfId="1322"/>
    <cellStyle name="1Outputbox1 2 3 2 3" xfId="1323"/>
    <cellStyle name="1Outputbox1 2 3 2 3 2" xfId="1324"/>
    <cellStyle name="1Outputbox1 2 3 3" xfId="1325"/>
    <cellStyle name="1Outputbox1 2 3 3 2" xfId="1326"/>
    <cellStyle name="1Outputbox1 2 3 3 2 2" xfId="1327"/>
    <cellStyle name="1Outputbox1 2 3 3 3" xfId="1328"/>
    <cellStyle name="1Outputbox1 2 3 3 3 2" xfId="1329"/>
    <cellStyle name="1Outputbox1 2 3 4" xfId="1330"/>
    <cellStyle name="1Outputbox1 2 3 4 2" xfId="1331"/>
    <cellStyle name="1Outputbox1 2 3 5" xfId="1332"/>
    <cellStyle name="1Outputbox1 2 3 5 2" xfId="1333"/>
    <cellStyle name="1Outputbox1 2 4" xfId="1334"/>
    <cellStyle name="1Outputbox1 2 4 2" xfId="1335"/>
    <cellStyle name="1Outputbox1 2 4 2 2" xfId="1336"/>
    <cellStyle name="1Outputbox1 2 4 2 2 2" xfId="1337"/>
    <cellStyle name="1Outputbox1 2 4 2 3" xfId="1338"/>
    <cellStyle name="1Outputbox1 2 4 2 3 2" xfId="1339"/>
    <cellStyle name="1Outputbox1 2 4 3" xfId="1340"/>
    <cellStyle name="1Outputbox1 2 4 3 2" xfId="1341"/>
    <cellStyle name="1Outputbox1 2 4 3 2 2" xfId="1342"/>
    <cellStyle name="1Outputbox1 2 4 3 3" xfId="1343"/>
    <cellStyle name="1Outputbox1 2 4 3 3 2" xfId="1344"/>
    <cellStyle name="1Outputbox1 2 4 4" xfId="1345"/>
    <cellStyle name="1Outputbox1 2 4 4 2" xfId="1346"/>
    <cellStyle name="1Outputbox1 2 4 5" xfId="1347"/>
    <cellStyle name="1Outputbox1 2 4 5 2" xfId="1348"/>
    <cellStyle name="1Outputbox1 2 5" xfId="1349"/>
    <cellStyle name="1Outputbox1 2 5 2" xfId="1350"/>
    <cellStyle name="1Outputbox1 2 5 2 2" xfId="1351"/>
    <cellStyle name="1Outputbox1 2 5 3" xfId="1352"/>
    <cellStyle name="1Outputbox1 2 5 3 2" xfId="1353"/>
    <cellStyle name="1Outputbox1 2 6" xfId="1354"/>
    <cellStyle name="1Outputbox1 2 6 2" xfId="1355"/>
    <cellStyle name="1Outputbox1 2 6 2 2" xfId="1356"/>
    <cellStyle name="1Outputbox1 2 6 3" xfId="1357"/>
    <cellStyle name="1Outputbox1 2 6 3 2" xfId="1358"/>
    <cellStyle name="1Outputbox1 2 7" xfId="1359"/>
    <cellStyle name="1Outputbox1 2 7 2" xfId="1360"/>
    <cellStyle name="1Outputbox1 2 8" xfId="1361"/>
    <cellStyle name="1Outputbox1 2 8 2" xfId="1362"/>
    <cellStyle name="1Outputbox1 20" xfId="1363"/>
    <cellStyle name="1Outputbox1 20 2" xfId="1364"/>
    <cellStyle name="1Outputbox1 20 2 2" xfId="1365"/>
    <cellStyle name="1Outputbox1 20 3" xfId="1366"/>
    <cellStyle name="1Outputbox1 20 3 2" xfId="1367"/>
    <cellStyle name="1Outputbox1 21" xfId="1368"/>
    <cellStyle name="1Outputbox1 21 2" xfId="1369"/>
    <cellStyle name="1Outputbox1 21 2 2" xfId="1370"/>
    <cellStyle name="1Outputbox1 21 3" xfId="1371"/>
    <cellStyle name="1Outputbox1 21 3 2" xfId="1372"/>
    <cellStyle name="1Outputbox1 22" xfId="1373"/>
    <cellStyle name="1Outputbox1 22 2" xfId="1374"/>
    <cellStyle name="1Outputbox1 23" xfId="1375"/>
    <cellStyle name="1Outputbox1 23 2" xfId="1376"/>
    <cellStyle name="1Outputbox1 3" xfId="1377"/>
    <cellStyle name="1Outputbox1 3 2" xfId="1378"/>
    <cellStyle name="1Outputbox1 3 2 2" xfId="1379"/>
    <cellStyle name="1Outputbox1 3 2 2 2" xfId="1380"/>
    <cellStyle name="1Outputbox1 3 2 2 2 2" xfId="1381"/>
    <cellStyle name="1Outputbox1 3 2 2 3" xfId="1382"/>
    <cellStyle name="1Outputbox1 3 2 2 3 2" xfId="1383"/>
    <cellStyle name="1Outputbox1 3 2 3" xfId="1384"/>
    <cellStyle name="1Outputbox1 3 2 3 2" xfId="1385"/>
    <cellStyle name="1Outputbox1 3 2 3 2 2" xfId="1386"/>
    <cellStyle name="1Outputbox1 3 2 3 3" xfId="1387"/>
    <cellStyle name="1Outputbox1 3 2 3 3 2" xfId="1388"/>
    <cellStyle name="1Outputbox1 3 2 4" xfId="1389"/>
    <cellStyle name="1Outputbox1 3 2 4 2" xfId="1390"/>
    <cellStyle name="1Outputbox1 3 2 5" xfId="1391"/>
    <cellStyle name="1Outputbox1 3 2 5 2" xfId="1392"/>
    <cellStyle name="1Outputbox1 3 3" xfId="1393"/>
    <cellStyle name="1Outputbox1 3 3 2" xfId="1394"/>
    <cellStyle name="1Outputbox1 3 3 2 2" xfId="1395"/>
    <cellStyle name="1Outputbox1 3 3 2 2 2" xfId="1396"/>
    <cellStyle name="1Outputbox1 3 3 2 3" xfId="1397"/>
    <cellStyle name="1Outputbox1 3 3 2 3 2" xfId="1398"/>
    <cellStyle name="1Outputbox1 3 3 3" xfId="1399"/>
    <cellStyle name="1Outputbox1 3 3 3 2" xfId="1400"/>
    <cellStyle name="1Outputbox1 3 3 3 2 2" xfId="1401"/>
    <cellStyle name="1Outputbox1 3 3 3 3" xfId="1402"/>
    <cellStyle name="1Outputbox1 3 3 3 3 2" xfId="1403"/>
    <cellStyle name="1Outputbox1 3 3 4" xfId="1404"/>
    <cellStyle name="1Outputbox1 3 3 4 2" xfId="1405"/>
    <cellStyle name="1Outputbox1 3 3 5" xfId="1406"/>
    <cellStyle name="1Outputbox1 3 3 5 2" xfId="1407"/>
    <cellStyle name="1Outputbox1 3 4" xfId="1408"/>
    <cellStyle name="1Outputbox1 3 4 2" xfId="1409"/>
    <cellStyle name="1Outputbox1 3 4 2 2" xfId="1410"/>
    <cellStyle name="1Outputbox1 3 4 2 2 2" xfId="1411"/>
    <cellStyle name="1Outputbox1 3 4 2 3" xfId="1412"/>
    <cellStyle name="1Outputbox1 3 4 2 3 2" xfId="1413"/>
    <cellStyle name="1Outputbox1 3 4 3" xfId="1414"/>
    <cellStyle name="1Outputbox1 3 4 3 2" xfId="1415"/>
    <cellStyle name="1Outputbox1 3 4 3 2 2" xfId="1416"/>
    <cellStyle name="1Outputbox1 3 4 3 3" xfId="1417"/>
    <cellStyle name="1Outputbox1 3 4 3 3 2" xfId="1418"/>
    <cellStyle name="1Outputbox1 3 4 4" xfId="1419"/>
    <cellStyle name="1Outputbox1 3 4 4 2" xfId="1420"/>
    <cellStyle name="1Outputbox1 3 4 5" xfId="1421"/>
    <cellStyle name="1Outputbox1 3 4 5 2" xfId="1422"/>
    <cellStyle name="1Outputbox1 3 5" xfId="1423"/>
    <cellStyle name="1Outputbox1 3 5 2" xfId="1424"/>
    <cellStyle name="1Outputbox1 3 5 2 2" xfId="1425"/>
    <cellStyle name="1Outputbox1 3 5 3" xfId="1426"/>
    <cellStyle name="1Outputbox1 3 5 3 2" xfId="1427"/>
    <cellStyle name="1Outputbox1 3 6" xfId="1428"/>
    <cellStyle name="1Outputbox1 3 6 2" xfId="1429"/>
    <cellStyle name="1Outputbox1 3 6 2 2" xfId="1430"/>
    <cellStyle name="1Outputbox1 3 6 3" xfId="1431"/>
    <cellStyle name="1Outputbox1 3 6 3 2" xfId="1432"/>
    <cellStyle name="1Outputbox1 3 7" xfId="1433"/>
    <cellStyle name="1Outputbox1 3 7 2" xfId="1434"/>
    <cellStyle name="1Outputbox1 3 8" xfId="1435"/>
    <cellStyle name="1Outputbox1 3 8 2" xfId="1436"/>
    <cellStyle name="1Outputbox1 4" xfId="1437"/>
    <cellStyle name="1Outputbox1 4 2" xfId="1438"/>
    <cellStyle name="1Outputbox1 4 2 2" xfId="1439"/>
    <cellStyle name="1Outputbox1 4 2 2 2" xfId="1440"/>
    <cellStyle name="1Outputbox1 4 2 2 2 2" xfId="1441"/>
    <cellStyle name="1Outputbox1 4 2 2 3" xfId="1442"/>
    <cellStyle name="1Outputbox1 4 2 2 3 2" xfId="1443"/>
    <cellStyle name="1Outputbox1 4 2 3" xfId="1444"/>
    <cellStyle name="1Outputbox1 4 2 3 2" xfId="1445"/>
    <cellStyle name="1Outputbox1 4 2 3 2 2" xfId="1446"/>
    <cellStyle name="1Outputbox1 4 2 3 3" xfId="1447"/>
    <cellStyle name="1Outputbox1 4 2 3 3 2" xfId="1448"/>
    <cellStyle name="1Outputbox1 4 2 4" xfId="1449"/>
    <cellStyle name="1Outputbox1 4 2 4 2" xfId="1450"/>
    <cellStyle name="1Outputbox1 4 2 5" xfId="1451"/>
    <cellStyle name="1Outputbox1 4 2 5 2" xfId="1452"/>
    <cellStyle name="1Outputbox1 4 3" xfId="1453"/>
    <cellStyle name="1Outputbox1 4 3 2" xfId="1454"/>
    <cellStyle name="1Outputbox1 4 3 2 2" xfId="1455"/>
    <cellStyle name="1Outputbox1 4 3 2 2 2" xfId="1456"/>
    <cellStyle name="1Outputbox1 4 3 2 3" xfId="1457"/>
    <cellStyle name="1Outputbox1 4 3 2 3 2" xfId="1458"/>
    <cellStyle name="1Outputbox1 4 3 3" xfId="1459"/>
    <cellStyle name="1Outputbox1 4 3 3 2" xfId="1460"/>
    <cellStyle name="1Outputbox1 4 3 3 2 2" xfId="1461"/>
    <cellStyle name="1Outputbox1 4 3 3 3" xfId="1462"/>
    <cellStyle name="1Outputbox1 4 3 3 3 2" xfId="1463"/>
    <cellStyle name="1Outputbox1 4 3 4" xfId="1464"/>
    <cellStyle name="1Outputbox1 4 3 4 2" xfId="1465"/>
    <cellStyle name="1Outputbox1 4 3 5" xfId="1466"/>
    <cellStyle name="1Outputbox1 4 3 5 2" xfId="1467"/>
    <cellStyle name="1Outputbox1 4 4" xfId="1468"/>
    <cellStyle name="1Outputbox1 4 4 2" xfId="1469"/>
    <cellStyle name="1Outputbox1 4 4 2 2" xfId="1470"/>
    <cellStyle name="1Outputbox1 4 4 2 2 2" xfId="1471"/>
    <cellStyle name="1Outputbox1 4 4 2 3" xfId="1472"/>
    <cellStyle name="1Outputbox1 4 4 2 3 2" xfId="1473"/>
    <cellStyle name="1Outputbox1 4 4 3" xfId="1474"/>
    <cellStyle name="1Outputbox1 4 4 3 2" xfId="1475"/>
    <cellStyle name="1Outputbox1 4 4 3 2 2" xfId="1476"/>
    <cellStyle name="1Outputbox1 4 4 3 3" xfId="1477"/>
    <cellStyle name="1Outputbox1 4 4 3 3 2" xfId="1478"/>
    <cellStyle name="1Outputbox1 4 4 4" xfId="1479"/>
    <cellStyle name="1Outputbox1 4 4 4 2" xfId="1480"/>
    <cellStyle name="1Outputbox1 4 4 5" xfId="1481"/>
    <cellStyle name="1Outputbox1 4 4 5 2" xfId="1482"/>
    <cellStyle name="1Outputbox1 4 5" xfId="1483"/>
    <cellStyle name="1Outputbox1 4 5 2" xfId="1484"/>
    <cellStyle name="1Outputbox1 4 5 2 2" xfId="1485"/>
    <cellStyle name="1Outputbox1 4 5 3" xfId="1486"/>
    <cellStyle name="1Outputbox1 4 5 3 2" xfId="1487"/>
    <cellStyle name="1Outputbox1 4 6" xfId="1488"/>
    <cellStyle name="1Outputbox1 4 6 2" xfId="1489"/>
    <cellStyle name="1Outputbox1 4 6 2 2" xfId="1490"/>
    <cellStyle name="1Outputbox1 4 6 3" xfId="1491"/>
    <cellStyle name="1Outputbox1 4 6 3 2" xfId="1492"/>
    <cellStyle name="1Outputbox1 4 7" xfId="1493"/>
    <cellStyle name="1Outputbox1 4 7 2" xfId="1494"/>
    <cellStyle name="1Outputbox1 4 8" xfId="1495"/>
    <cellStyle name="1Outputbox1 4 8 2" xfId="1496"/>
    <cellStyle name="1Outputbox1 5" xfId="1497"/>
    <cellStyle name="1Outputbox1 5 2" xfId="1498"/>
    <cellStyle name="1Outputbox1 5 2 2" xfId="1499"/>
    <cellStyle name="1Outputbox1 5 2 2 2" xfId="1500"/>
    <cellStyle name="1Outputbox1 5 2 2 2 2" xfId="1501"/>
    <cellStyle name="1Outputbox1 5 2 2 3" xfId="1502"/>
    <cellStyle name="1Outputbox1 5 2 2 3 2" xfId="1503"/>
    <cellStyle name="1Outputbox1 5 2 3" xfId="1504"/>
    <cellStyle name="1Outputbox1 5 2 3 2" xfId="1505"/>
    <cellStyle name="1Outputbox1 5 2 3 2 2" xfId="1506"/>
    <cellStyle name="1Outputbox1 5 2 3 3" xfId="1507"/>
    <cellStyle name="1Outputbox1 5 2 3 3 2" xfId="1508"/>
    <cellStyle name="1Outputbox1 5 2 4" xfId="1509"/>
    <cellStyle name="1Outputbox1 5 2 4 2" xfId="1510"/>
    <cellStyle name="1Outputbox1 5 2 5" xfId="1511"/>
    <cellStyle name="1Outputbox1 5 2 5 2" xfId="1512"/>
    <cellStyle name="1Outputbox1 5 3" xfId="1513"/>
    <cellStyle name="1Outputbox1 5 3 2" xfId="1514"/>
    <cellStyle name="1Outputbox1 5 3 2 2" xfId="1515"/>
    <cellStyle name="1Outputbox1 5 3 2 2 2" xfId="1516"/>
    <cellStyle name="1Outputbox1 5 3 2 3" xfId="1517"/>
    <cellStyle name="1Outputbox1 5 3 2 3 2" xfId="1518"/>
    <cellStyle name="1Outputbox1 5 3 3" xfId="1519"/>
    <cellStyle name="1Outputbox1 5 3 3 2" xfId="1520"/>
    <cellStyle name="1Outputbox1 5 3 3 2 2" xfId="1521"/>
    <cellStyle name="1Outputbox1 5 3 3 3" xfId="1522"/>
    <cellStyle name="1Outputbox1 5 3 3 3 2" xfId="1523"/>
    <cellStyle name="1Outputbox1 5 3 4" xfId="1524"/>
    <cellStyle name="1Outputbox1 5 3 4 2" xfId="1525"/>
    <cellStyle name="1Outputbox1 5 3 5" xfId="1526"/>
    <cellStyle name="1Outputbox1 5 3 5 2" xfId="1527"/>
    <cellStyle name="1Outputbox1 5 4" xfId="1528"/>
    <cellStyle name="1Outputbox1 5 4 2" xfId="1529"/>
    <cellStyle name="1Outputbox1 5 4 2 2" xfId="1530"/>
    <cellStyle name="1Outputbox1 5 4 2 2 2" xfId="1531"/>
    <cellStyle name="1Outputbox1 5 4 2 3" xfId="1532"/>
    <cellStyle name="1Outputbox1 5 4 2 3 2" xfId="1533"/>
    <cellStyle name="1Outputbox1 5 4 3" xfId="1534"/>
    <cellStyle name="1Outputbox1 5 4 3 2" xfId="1535"/>
    <cellStyle name="1Outputbox1 5 4 3 2 2" xfId="1536"/>
    <cellStyle name="1Outputbox1 5 4 3 3" xfId="1537"/>
    <cellStyle name="1Outputbox1 5 4 3 3 2" xfId="1538"/>
    <cellStyle name="1Outputbox1 5 4 4" xfId="1539"/>
    <cellStyle name="1Outputbox1 5 4 4 2" xfId="1540"/>
    <cellStyle name="1Outputbox1 5 4 5" xfId="1541"/>
    <cellStyle name="1Outputbox1 5 4 5 2" xfId="1542"/>
    <cellStyle name="1Outputbox1 5 5" xfId="1543"/>
    <cellStyle name="1Outputbox1 5 5 2" xfId="1544"/>
    <cellStyle name="1Outputbox1 5 5 2 2" xfId="1545"/>
    <cellStyle name="1Outputbox1 5 5 3" xfId="1546"/>
    <cellStyle name="1Outputbox1 5 5 3 2" xfId="1547"/>
    <cellStyle name="1Outputbox1 5 6" xfId="1548"/>
    <cellStyle name="1Outputbox1 5 6 2" xfId="1549"/>
    <cellStyle name="1Outputbox1 5 6 2 2" xfId="1550"/>
    <cellStyle name="1Outputbox1 5 6 3" xfId="1551"/>
    <cellStyle name="1Outputbox1 5 6 3 2" xfId="1552"/>
    <cellStyle name="1Outputbox1 5 7" xfId="1553"/>
    <cellStyle name="1Outputbox1 5 7 2" xfId="1554"/>
    <cellStyle name="1Outputbox1 5 8" xfId="1555"/>
    <cellStyle name="1Outputbox1 5 8 2" xfId="1556"/>
    <cellStyle name="1Outputbox1 6" xfId="1557"/>
    <cellStyle name="1Outputbox1 6 2" xfId="1558"/>
    <cellStyle name="1Outputbox1 6 2 2" xfId="1559"/>
    <cellStyle name="1Outputbox1 6 2 2 2" xfId="1560"/>
    <cellStyle name="1Outputbox1 6 2 2 2 2" xfId="1561"/>
    <cellStyle name="1Outputbox1 6 2 2 3" xfId="1562"/>
    <cellStyle name="1Outputbox1 6 2 2 3 2" xfId="1563"/>
    <cellStyle name="1Outputbox1 6 2 3" xfId="1564"/>
    <cellStyle name="1Outputbox1 6 2 3 2" xfId="1565"/>
    <cellStyle name="1Outputbox1 6 2 3 2 2" xfId="1566"/>
    <cellStyle name="1Outputbox1 6 2 3 3" xfId="1567"/>
    <cellStyle name="1Outputbox1 6 2 3 3 2" xfId="1568"/>
    <cellStyle name="1Outputbox1 6 2 4" xfId="1569"/>
    <cellStyle name="1Outputbox1 6 2 4 2" xfId="1570"/>
    <cellStyle name="1Outputbox1 6 2 5" xfId="1571"/>
    <cellStyle name="1Outputbox1 6 2 5 2" xfId="1572"/>
    <cellStyle name="1Outputbox1 6 3" xfId="1573"/>
    <cellStyle name="1Outputbox1 6 3 2" xfId="1574"/>
    <cellStyle name="1Outputbox1 6 3 2 2" xfId="1575"/>
    <cellStyle name="1Outputbox1 6 3 2 2 2" xfId="1576"/>
    <cellStyle name="1Outputbox1 6 3 2 3" xfId="1577"/>
    <cellStyle name="1Outputbox1 6 3 2 3 2" xfId="1578"/>
    <cellStyle name="1Outputbox1 6 3 3" xfId="1579"/>
    <cellStyle name="1Outputbox1 6 3 3 2" xfId="1580"/>
    <cellStyle name="1Outputbox1 6 3 3 2 2" xfId="1581"/>
    <cellStyle name="1Outputbox1 6 3 3 3" xfId="1582"/>
    <cellStyle name="1Outputbox1 6 3 3 3 2" xfId="1583"/>
    <cellStyle name="1Outputbox1 6 3 4" xfId="1584"/>
    <cellStyle name="1Outputbox1 6 3 4 2" xfId="1585"/>
    <cellStyle name="1Outputbox1 6 3 5" xfId="1586"/>
    <cellStyle name="1Outputbox1 6 3 5 2" xfId="1587"/>
    <cellStyle name="1Outputbox1 6 4" xfId="1588"/>
    <cellStyle name="1Outputbox1 6 4 2" xfId="1589"/>
    <cellStyle name="1Outputbox1 6 4 2 2" xfId="1590"/>
    <cellStyle name="1Outputbox1 6 4 2 2 2" xfId="1591"/>
    <cellStyle name="1Outputbox1 6 4 2 3" xfId="1592"/>
    <cellStyle name="1Outputbox1 6 4 2 3 2" xfId="1593"/>
    <cellStyle name="1Outputbox1 6 4 3" xfId="1594"/>
    <cellStyle name="1Outputbox1 6 4 3 2" xfId="1595"/>
    <cellStyle name="1Outputbox1 6 4 3 2 2" xfId="1596"/>
    <cellStyle name="1Outputbox1 6 4 3 3" xfId="1597"/>
    <cellStyle name="1Outputbox1 6 4 3 3 2" xfId="1598"/>
    <cellStyle name="1Outputbox1 6 4 4" xfId="1599"/>
    <cellStyle name="1Outputbox1 6 4 4 2" xfId="1600"/>
    <cellStyle name="1Outputbox1 6 4 5" xfId="1601"/>
    <cellStyle name="1Outputbox1 6 4 5 2" xfId="1602"/>
    <cellStyle name="1Outputbox1 6 5" xfId="1603"/>
    <cellStyle name="1Outputbox1 6 5 2" xfId="1604"/>
    <cellStyle name="1Outputbox1 6 5 2 2" xfId="1605"/>
    <cellStyle name="1Outputbox1 6 5 3" xfId="1606"/>
    <cellStyle name="1Outputbox1 6 5 3 2" xfId="1607"/>
    <cellStyle name="1Outputbox1 6 6" xfId="1608"/>
    <cellStyle name="1Outputbox1 6 6 2" xfId="1609"/>
    <cellStyle name="1Outputbox1 6 6 2 2" xfId="1610"/>
    <cellStyle name="1Outputbox1 6 6 3" xfId="1611"/>
    <cellStyle name="1Outputbox1 6 6 3 2" xfId="1612"/>
    <cellStyle name="1Outputbox1 6 7" xfId="1613"/>
    <cellStyle name="1Outputbox1 6 7 2" xfId="1614"/>
    <cellStyle name="1Outputbox1 6 8" xfId="1615"/>
    <cellStyle name="1Outputbox1 6 8 2" xfId="1616"/>
    <cellStyle name="1Outputbox1 7" xfId="1617"/>
    <cellStyle name="1Outputbox1 7 2" xfId="1618"/>
    <cellStyle name="1Outputbox1 7 2 2" xfId="1619"/>
    <cellStyle name="1Outputbox1 7 2 2 2" xfId="1620"/>
    <cellStyle name="1Outputbox1 7 2 2 2 2" xfId="1621"/>
    <cellStyle name="1Outputbox1 7 2 2 3" xfId="1622"/>
    <cellStyle name="1Outputbox1 7 2 2 3 2" xfId="1623"/>
    <cellStyle name="1Outputbox1 7 2 3" xfId="1624"/>
    <cellStyle name="1Outputbox1 7 2 3 2" xfId="1625"/>
    <cellStyle name="1Outputbox1 7 2 3 2 2" xfId="1626"/>
    <cellStyle name="1Outputbox1 7 2 3 3" xfId="1627"/>
    <cellStyle name="1Outputbox1 7 2 3 3 2" xfId="1628"/>
    <cellStyle name="1Outputbox1 7 2 4" xfId="1629"/>
    <cellStyle name="1Outputbox1 7 2 4 2" xfId="1630"/>
    <cellStyle name="1Outputbox1 7 2 5" xfId="1631"/>
    <cellStyle name="1Outputbox1 7 2 5 2" xfId="1632"/>
    <cellStyle name="1Outputbox1 7 3" xfId="1633"/>
    <cellStyle name="1Outputbox1 7 3 2" xfId="1634"/>
    <cellStyle name="1Outputbox1 7 3 2 2" xfId="1635"/>
    <cellStyle name="1Outputbox1 7 3 2 2 2" xfId="1636"/>
    <cellStyle name="1Outputbox1 7 3 2 3" xfId="1637"/>
    <cellStyle name="1Outputbox1 7 3 2 3 2" xfId="1638"/>
    <cellStyle name="1Outputbox1 7 3 3" xfId="1639"/>
    <cellStyle name="1Outputbox1 7 3 3 2" xfId="1640"/>
    <cellStyle name="1Outputbox1 7 3 3 2 2" xfId="1641"/>
    <cellStyle name="1Outputbox1 7 3 3 3" xfId="1642"/>
    <cellStyle name="1Outputbox1 7 3 3 3 2" xfId="1643"/>
    <cellStyle name="1Outputbox1 7 3 4" xfId="1644"/>
    <cellStyle name="1Outputbox1 7 3 4 2" xfId="1645"/>
    <cellStyle name="1Outputbox1 7 3 5" xfId="1646"/>
    <cellStyle name="1Outputbox1 7 3 5 2" xfId="1647"/>
    <cellStyle name="1Outputbox1 7 4" xfId="1648"/>
    <cellStyle name="1Outputbox1 7 4 2" xfId="1649"/>
    <cellStyle name="1Outputbox1 7 4 2 2" xfId="1650"/>
    <cellStyle name="1Outputbox1 7 4 2 2 2" xfId="1651"/>
    <cellStyle name="1Outputbox1 7 4 2 3" xfId="1652"/>
    <cellStyle name="1Outputbox1 7 4 2 3 2" xfId="1653"/>
    <cellStyle name="1Outputbox1 7 4 3" xfId="1654"/>
    <cellStyle name="1Outputbox1 7 4 3 2" xfId="1655"/>
    <cellStyle name="1Outputbox1 7 4 3 2 2" xfId="1656"/>
    <cellStyle name="1Outputbox1 7 4 3 3" xfId="1657"/>
    <cellStyle name="1Outputbox1 7 4 3 3 2" xfId="1658"/>
    <cellStyle name="1Outputbox1 7 4 4" xfId="1659"/>
    <cellStyle name="1Outputbox1 7 4 4 2" xfId="1660"/>
    <cellStyle name="1Outputbox1 7 4 5" xfId="1661"/>
    <cellStyle name="1Outputbox1 7 4 5 2" xfId="1662"/>
    <cellStyle name="1Outputbox1 7 5" xfId="1663"/>
    <cellStyle name="1Outputbox1 7 5 2" xfId="1664"/>
    <cellStyle name="1Outputbox1 7 5 2 2" xfId="1665"/>
    <cellStyle name="1Outputbox1 7 5 3" xfId="1666"/>
    <cellStyle name="1Outputbox1 7 5 3 2" xfId="1667"/>
    <cellStyle name="1Outputbox1 7 6" xfId="1668"/>
    <cellStyle name="1Outputbox1 7 6 2" xfId="1669"/>
    <cellStyle name="1Outputbox1 7 6 2 2" xfId="1670"/>
    <cellStyle name="1Outputbox1 7 6 3" xfId="1671"/>
    <cellStyle name="1Outputbox1 7 6 3 2" xfId="1672"/>
    <cellStyle name="1Outputbox1 7 7" xfId="1673"/>
    <cellStyle name="1Outputbox1 7 7 2" xfId="1674"/>
    <cellStyle name="1Outputbox1 7 8" xfId="1675"/>
    <cellStyle name="1Outputbox1 7 8 2" xfId="1676"/>
    <cellStyle name="1Outputbox1 8" xfId="1677"/>
    <cellStyle name="1Outputbox1 8 2" xfId="1678"/>
    <cellStyle name="1Outputbox1 8 2 2" xfId="1679"/>
    <cellStyle name="1Outputbox1 8 2 2 2" xfId="1680"/>
    <cellStyle name="1Outputbox1 8 2 2 2 2" xfId="1681"/>
    <cellStyle name="1Outputbox1 8 2 2 3" xfId="1682"/>
    <cellStyle name="1Outputbox1 8 2 2 3 2" xfId="1683"/>
    <cellStyle name="1Outputbox1 8 2 3" xfId="1684"/>
    <cellStyle name="1Outputbox1 8 2 3 2" xfId="1685"/>
    <cellStyle name="1Outputbox1 8 2 3 2 2" xfId="1686"/>
    <cellStyle name="1Outputbox1 8 2 3 3" xfId="1687"/>
    <cellStyle name="1Outputbox1 8 2 3 3 2" xfId="1688"/>
    <cellStyle name="1Outputbox1 8 2 4" xfId="1689"/>
    <cellStyle name="1Outputbox1 8 2 4 2" xfId="1690"/>
    <cellStyle name="1Outputbox1 8 2 5" xfId="1691"/>
    <cellStyle name="1Outputbox1 8 2 5 2" xfId="1692"/>
    <cellStyle name="1Outputbox1 8 3" xfId="1693"/>
    <cellStyle name="1Outputbox1 8 3 2" xfId="1694"/>
    <cellStyle name="1Outputbox1 8 3 2 2" xfId="1695"/>
    <cellStyle name="1Outputbox1 8 3 2 2 2" xfId="1696"/>
    <cellStyle name="1Outputbox1 8 3 2 3" xfId="1697"/>
    <cellStyle name="1Outputbox1 8 3 2 3 2" xfId="1698"/>
    <cellStyle name="1Outputbox1 8 3 3" xfId="1699"/>
    <cellStyle name="1Outputbox1 8 3 3 2" xfId="1700"/>
    <cellStyle name="1Outputbox1 8 3 3 2 2" xfId="1701"/>
    <cellStyle name="1Outputbox1 8 3 3 3" xfId="1702"/>
    <cellStyle name="1Outputbox1 8 3 3 3 2" xfId="1703"/>
    <cellStyle name="1Outputbox1 8 3 4" xfId="1704"/>
    <cellStyle name="1Outputbox1 8 3 4 2" xfId="1705"/>
    <cellStyle name="1Outputbox1 8 3 5" xfId="1706"/>
    <cellStyle name="1Outputbox1 8 3 5 2" xfId="1707"/>
    <cellStyle name="1Outputbox1 8 4" xfId="1708"/>
    <cellStyle name="1Outputbox1 8 4 2" xfId="1709"/>
    <cellStyle name="1Outputbox1 8 4 2 2" xfId="1710"/>
    <cellStyle name="1Outputbox1 8 4 2 2 2" xfId="1711"/>
    <cellStyle name="1Outputbox1 8 4 2 3" xfId="1712"/>
    <cellStyle name="1Outputbox1 8 4 2 3 2" xfId="1713"/>
    <cellStyle name="1Outputbox1 8 4 3" xfId="1714"/>
    <cellStyle name="1Outputbox1 8 4 3 2" xfId="1715"/>
    <cellStyle name="1Outputbox1 8 4 3 2 2" xfId="1716"/>
    <cellStyle name="1Outputbox1 8 4 3 3" xfId="1717"/>
    <cellStyle name="1Outputbox1 8 4 3 3 2" xfId="1718"/>
    <cellStyle name="1Outputbox1 8 4 4" xfId="1719"/>
    <cellStyle name="1Outputbox1 8 4 4 2" xfId="1720"/>
    <cellStyle name="1Outputbox1 8 4 5" xfId="1721"/>
    <cellStyle name="1Outputbox1 8 4 5 2" xfId="1722"/>
    <cellStyle name="1Outputbox1 8 5" xfId="1723"/>
    <cellStyle name="1Outputbox1 8 5 2" xfId="1724"/>
    <cellStyle name="1Outputbox1 8 5 2 2" xfId="1725"/>
    <cellStyle name="1Outputbox1 8 5 3" xfId="1726"/>
    <cellStyle name="1Outputbox1 8 5 3 2" xfId="1727"/>
    <cellStyle name="1Outputbox1 8 6" xfId="1728"/>
    <cellStyle name="1Outputbox1 8 6 2" xfId="1729"/>
    <cellStyle name="1Outputbox1 8 6 2 2" xfId="1730"/>
    <cellStyle name="1Outputbox1 8 6 3" xfId="1731"/>
    <cellStyle name="1Outputbox1 8 6 3 2" xfId="1732"/>
    <cellStyle name="1Outputbox1 8 7" xfId="1733"/>
    <cellStyle name="1Outputbox1 8 7 2" xfId="1734"/>
    <cellStyle name="1Outputbox1 8 8" xfId="1735"/>
    <cellStyle name="1Outputbox1 8 8 2" xfId="1736"/>
    <cellStyle name="1Outputbox1 9" xfId="1737"/>
    <cellStyle name="1Outputbox1 9 2" xfId="1738"/>
    <cellStyle name="1Outputbox1 9 2 2" xfId="1739"/>
    <cellStyle name="1Outputbox1 9 2 2 2" xfId="1740"/>
    <cellStyle name="1Outputbox1 9 2 2 2 2" xfId="1741"/>
    <cellStyle name="1Outputbox1 9 2 2 3" xfId="1742"/>
    <cellStyle name="1Outputbox1 9 2 2 3 2" xfId="1743"/>
    <cellStyle name="1Outputbox1 9 2 3" xfId="1744"/>
    <cellStyle name="1Outputbox1 9 2 3 2" xfId="1745"/>
    <cellStyle name="1Outputbox1 9 2 3 2 2" xfId="1746"/>
    <cellStyle name="1Outputbox1 9 2 3 3" xfId="1747"/>
    <cellStyle name="1Outputbox1 9 2 3 3 2" xfId="1748"/>
    <cellStyle name="1Outputbox1 9 2 4" xfId="1749"/>
    <cellStyle name="1Outputbox1 9 2 4 2" xfId="1750"/>
    <cellStyle name="1Outputbox1 9 2 5" xfId="1751"/>
    <cellStyle name="1Outputbox1 9 2 5 2" xfId="1752"/>
    <cellStyle name="1Outputbox1 9 3" xfId="1753"/>
    <cellStyle name="1Outputbox1 9 3 2" xfId="1754"/>
    <cellStyle name="1Outputbox1 9 3 2 2" xfId="1755"/>
    <cellStyle name="1Outputbox1 9 3 2 2 2" xfId="1756"/>
    <cellStyle name="1Outputbox1 9 3 2 3" xfId="1757"/>
    <cellStyle name="1Outputbox1 9 3 2 3 2" xfId="1758"/>
    <cellStyle name="1Outputbox1 9 3 3" xfId="1759"/>
    <cellStyle name="1Outputbox1 9 3 3 2" xfId="1760"/>
    <cellStyle name="1Outputbox1 9 3 3 2 2" xfId="1761"/>
    <cellStyle name="1Outputbox1 9 3 3 3" xfId="1762"/>
    <cellStyle name="1Outputbox1 9 3 3 3 2" xfId="1763"/>
    <cellStyle name="1Outputbox1 9 3 4" xfId="1764"/>
    <cellStyle name="1Outputbox1 9 3 4 2" xfId="1765"/>
    <cellStyle name="1Outputbox1 9 3 5" xfId="1766"/>
    <cellStyle name="1Outputbox1 9 3 5 2" xfId="1767"/>
    <cellStyle name="1Outputbox1 9 4" xfId="1768"/>
    <cellStyle name="1Outputbox1 9 4 2" xfId="1769"/>
    <cellStyle name="1Outputbox1 9 4 2 2" xfId="1770"/>
    <cellStyle name="1Outputbox1 9 4 2 2 2" xfId="1771"/>
    <cellStyle name="1Outputbox1 9 4 2 3" xfId="1772"/>
    <cellStyle name="1Outputbox1 9 4 2 3 2" xfId="1773"/>
    <cellStyle name="1Outputbox1 9 4 3" xfId="1774"/>
    <cellStyle name="1Outputbox1 9 4 3 2" xfId="1775"/>
    <cellStyle name="1Outputbox1 9 4 3 2 2" xfId="1776"/>
    <cellStyle name="1Outputbox1 9 4 3 3" xfId="1777"/>
    <cellStyle name="1Outputbox1 9 4 3 3 2" xfId="1778"/>
    <cellStyle name="1Outputbox1 9 4 4" xfId="1779"/>
    <cellStyle name="1Outputbox1 9 4 4 2" xfId="1780"/>
    <cellStyle name="1Outputbox1 9 4 5" xfId="1781"/>
    <cellStyle name="1Outputbox1 9 4 5 2" xfId="1782"/>
    <cellStyle name="1Outputbox1 9 5" xfId="1783"/>
    <cellStyle name="1Outputbox1 9 5 2" xfId="1784"/>
    <cellStyle name="1Outputbox1 9 5 2 2" xfId="1785"/>
    <cellStyle name="1Outputbox1 9 5 3" xfId="1786"/>
    <cellStyle name="1Outputbox1 9 5 3 2" xfId="1787"/>
    <cellStyle name="1Outputbox1 9 6" xfId="1788"/>
    <cellStyle name="1Outputbox1 9 6 2" xfId="1789"/>
    <cellStyle name="1Outputbox1 9 6 2 2" xfId="1790"/>
    <cellStyle name="1Outputbox1 9 6 3" xfId="1791"/>
    <cellStyle name="1Outputbox1 9 6 3 2" xfId="1792"/>
    <cellStyle name="1Outputbox1 9 7" xfId="1793"/>
    <cellStyle name="1Outputbox1 9 7 2" xfId="1794"/>
    <cellStyle name="1Outputbox1 9 8" xfId="1795"/>
    <cellStyle name="1Outputbox1 9 8 2" xfId="1796"/>
    <cellStyle name="1Outputbox2" xfId="1797"/>
    <cellStyle name="1Outputbox2 2" xfId="1798"/>
    <cellStyle name="1Outputbox2 3" xfId="1799"/>
    <cellStyle name="1Outputbox2 4" xfId="1800"/>
    <cellStyle name="1Outputheader" xfId="1801"/>
    <cellStyle name="1Outputheader 10" xfId="1802"/>
    <cellStyle name="1Outputheader 10 2" xfId="1803"/>
    <cellStyle name="1Outputheader 10 2 2" xfId="1804"/>
    <cellStyle name="1Outputheader 10 2 2 2" xfId="1805"/>
    <cellStyle name="1Outputheader 10 2 2 2 2" xfId="1806"/>
    <cellStyle name="1Outputheader 10 2 2 3" xfId="1807"/>
    <cellStyle name="1Outputheader 10 2 2 3 2" xfId="1808"/>
    <cellStyle name="1Outputheader 10 2 3" xfId="1809"/>
    <cellStyle name="1Outputheader 10 2 3 2" xfId="1810"/>
    <cellStyle name="1Outputheader 10 2 3 2 2" xfId="1811"/>
    <cellStyle name="1Outputheader 10 2 3 3" xfId="1812"/>
    <cellStyle name="1Outputheader 10 2 3 3 2" xfId="1813"/>
    <cellStyle name="1Outputheader 10 2 4" xfId="1814"/>
    <cellStyle name="1Outputheader 10 2 4 2" xfId="1815"/>
    <cellStyle name="1Outputheader 10 2 5" xfId="1816"/>
    <cellStyle name="1Outputheader 10 2 5 2" xfId="1817"/>
    <cellStyle name="1Outputheader 10 3" xfId="1818"/>
    <cellStyle name="1Outputheader 10 3 2" xfId="1819"/>
    <cellStyle name="1Outputheader 10 3 2 2" xfId="1820"/>
    <cellStyle name="1Outputheader 10 3 2 2 2" xfId="1821"/>
    <cellStyle name="1Outputheader 10 3 2 3" xfId="1822"/>
    <cellStyle name="1Outputheader 10 3 2 3 2" xfId="1823"/>
    <cellStyle name="1Outputheader 10 3 3" xfId="1824"/>
    <cellStyle name="1Outputheader 10 3 3 2" xfId="1825"/>
    <cellStyle name="1Outputheader 10 3 3 2 2" xfId="1826"/>
    <cellStyle name="1Outputheader 10 3 3 3" xfId="1827"/>
    <cellStyle name="1Outputheader 10 3 3 3 2" xfId="1828"/>
    <cellStyle name="1Outputheader 10 3 4" xfId="1829"/>
    <cellStyle name="1Outputheader 10 3 4 2" xfId="1830"/>
    <cellStyle name="1Outputheader 10 3 5" xfId="1831"/>
    <cellStyle name="1Outputheader 10 3 5 2" xfId="1832"/>
    <cellStyle name="1Outputheader 10 4" xfId="1833"/>
    <cellStyle name="1Outputheader 10 4 2" xfId="1834"/>
    <cellStyle name="1Outputheader 10 4 2 2" xfId="1835"/>
    <cellStyle name="1Outputheader 10 4 2 2 2" xfId="1836"/>
    <cellStyle name="1Outputheader 10 4 2 3" xfId="1837"/>
    <cellStyle name="1Outputheader 10 4 2 3 2" xfId="1838"/>
    <cellStyle name="1Outputheader 10 4 3" xfId="1839"/>
    <cellStyle name="1Outputheader 10 4 3 2" xfId="1840"/>
    <cellStyle name="1Outputheader 10 4 3 2 2" xfId="1841"/>
    <cellStyle name="1Outputheader 10 4 3 3" xfId="1842"/>
    <cellStyle name="1Outputheader 10 4 3 3 2" xfId="1843"/>
    <cellStyle name="1Outputheader 10 4 4" xfId="1844"/>
    <cellStyle name="1Outputheader 10 4 4 2" xfId="1845"/>
    <cellStyle name="1Outputheader 10 4 5" xfId="1846"/>
    <cellStyle name="1Outputheader 10 4 5 2" xfId="1847"/>
    <cellStyle name="1Outputheader 10 5" xfId="1848"/>
    <cellStyle name="1Outputheader 10 5 2" xfId="1849"/>
    <cellStyle name="1Outputheader 10 5 2 2" xfId="1850"/>
    <cellStyle name="1Outputheader 10 5 3" xfId="1851"/>
    <cellStyle name="1Outputheader 10 5 3 2" xfId="1852"/>
    <cellStyle name="1Outputheader 10 6" xfId="1853"/>
    <cellStyle name="1Outputheader 10 6 2" xfId="1854"/>
    <cellStyle name="1Outputheader 10 6 2 2" xfId="1855"/>
    <cellStyle name="1Outputheader 10 6 3" xfId="1856"/>
    <cellStyle name="1Outputheader 10 6 3 2" xfId="1857"/>
    <cellStyle name="1Outputheader 10 7" xfId="1858"/>
    <cellStyle name="1Outputheader 10 7 2" xfId="1859"/>
    <cellStyle name="1Outputheader 10 8" xfId="1860"/>
    <cellStyle name="1Outputheader 10 8 2" xfId="1861"/>
    <cellStyle name="1Outputheader 11" xfId="1862"/>
    <cellStyle name="1Outputheader 11 2" xfId="1863"/>
    <cellStyle name="1Outputheader 11 2 2" xfId="1864"/>
    <cellStyle name="1Outputheader 11 2 2 2" xfId="1865"/>
    <cellStyle name="1Outputheader 11 2 2 2 2" xfId="1866"/>
    <cellStyle name="1Outputheader 11 2 2 3" xfId="1867"/>
    <cellStyle name="1Outputheader 11 2 2 3 2" xfId="1868"/>
    <cellStyle name="1Outputheader 11 2 3" xfId="1869"/>
    <cellStyle name="1Outputheader 11 2 3 2" xfId="1870"/>
    <cellStyle name="1Outputheader 11 2 3 2 2" xfId="1871"/>
    <cellStyle name="1Outputheader 11 2 3 3" xfId="1872"/>
    <cellStyle name="1Outputheader 11 2 3 3 2" xfId="1873"/>
    <cellStyle name="1Outputheader 11 2 4" xfId="1874"/>
    <cellStyle name="1Outputheader 11 2 4 2" xfId="1875"/>
    <cellStyle name="1Outputheader 11 2 5" xfId="1876"/>
    <cellStyle name="1Outputheader 11 2 5 2" xfId="1877"/>
    <cellStyle name="1Outputheader 11 3" xfId="1878"/>
    <cellStyle name="1Outputheader 11 3 2" xfId="1879"/>
    <cellStyle name="1Outputheader 11 3 2 2" xfId="1880"/>
    <cellStyle name="1Outputheader 11 3 2 2 2" xfId="1881"/>
    <cellStyle name="1Outputheader 11 3 2 3" xfId="1882"/>
    <cellStyle name="1Outputheader 11 3 2 3 2" xfId="1883"/>
    <cellStyle name="1Outputheader 11 3 3" xfId="1884"/>
    <cellStyle name="1Outputheader 11 3 3 2" xfId="1885"/>
    <cellStyle name="1Outputheader 11 3 3 2 2" xfId="1886"/>
    <cellStyle name="1Outputheader 11 3 3 3" xfId="1887"/>
    <cellStyle name="1Outputheader 11 3 3 3 2" xfId="1888"/>
    <cellStyle name="1Outputheader 11 3 4" xfId="1889"/>
    <cellStyle name="1Outputheader 11 3 4 2" xfId="1890"/>
    <cellStyle name="1Outputheader 11 3 5" xfId="1891"/>
    <cellStyle name="1Outputheader 11 3 5 2" xfId="1892"/>
    <cellStyle name="1Outputheader 11 4" xfId="1893"/>
    <cellStyle name="1Outputheader 11 4 2" xfId="1894"/>
    <cellStyle name="1Outputheader 11 4 2 2" xfId="1895"/>
    <cellStyle name="1Outputheader 11 4 2 2 2" xfId="1896"/>
    <cellStyle name="1Outputheader 11 4 2 3" xfId="1897"/>
    <cellStyle name="1Outputheader 11 4 2 3 2" xfId="1898"/>
    <cellStyle name="1Outputheader 11 4 3" xfId="1899"/>
    <cellStyle name="1Outputheader 11 4 3 2" xfId="1900"/>
    <cellStyle name="1Outputheader 11 4 3 2 2" xfId="1901"/>
    <cellStyle name="1Outputheader 11 4 3 3" xfId="1902"/>
    <cellStyle name="1Outputheader 11 4 3 3 2" xfId="1903"/>
    <cellStyle name="1Outputheader 11 4 4" xfId="1904"/>
    <cellStyle name="1Outputheader 11 4 4 2" xfId="1905"/>
    <cellStyle name="1Outputheader 11 4 5" xfId="1906"/>
    <cellStyle name="1Outputheader 11 4 5 2" xfId="1907"/>
    <cellStyle name="1Outputheader 11 5" xfId="1908"/>
    <cellStyle name="1Outputheader 11 5 2" xfId="1909"/>
    <cellStyle name="1Outputheader 11 5 2 2" xfId="1910"/>
    <cellStyle name="1Outputheader 11 5 3" xfId="1911"/>
    <cellStyle name="1Outputheader 11 5 3 2" xfId="1912"/>
    <cellStyle name="1Outputheader 11 6" xfId="1913"/>
    <cellStyle name="1Outputheader 11 6 2" xfId="1914"/>
    <cellStyle name="1Outputheader 11 6 2 2" xfId="1915"/>
    <cellStyle name="1Outputheader 11 6 3" xfId="1916"/>
    <cellStyle name="1Outputheader 11 6 3 2" xfId="1917"/>
    <cellStyle name="1Outputheader 11 7" xfId="1918"/>
    <cellStyle name="1Outputheader 11 7 2" xfId="1919"/>
    <cellStyle name="1Outputheader 11 8" xfId="1920"/>
    <cellStyle name="1Outputheader 11 8 2" xfId="1921"/>
    <cellStyle name="1Outputheader 12" xfId="1922"/>
    <cellStyle name="1Outputheader 12 2" xfId="1923"/>
    <cellStyle name="1Outputheader 12 2 2" xfId="1924"/>
    <cellStyle name="1Outputheader 12 2 2 2" xfId="1925"/>
    <cellStyle name="1Outputheader 12 2 2 2 2" xfId="1926"/>
    <cellStyle name="1Outputheader 12 2 2 3" xfId="1927"/>
    <cellStyle name="1Outputheader 12 2 2 3 2" xfId="1928"/>
    <cellStyle name="1Outputheader 12 2 3" xfId="1929"/>
    <cellStyle name="1Outputheader 12 2 3 2" xfId="1930"/>
    <cellStyle name="1Outputheader 12 2 3 2 2" xfId="1931"/>
    <cellStyle name="1Outputheader 12 2 3 3" xfId="1932"/>
    <cellStyle name="1Outputheader 12 2 3 3 2" xfId="1933"/>
    <cellStyle name="1Outputheader 12 2 4" xfId="1934"/>
    <cellStyle name="1Outputheader 12 2 4 2" xfId="1935"/>
    <cellStyle name="1Outputheader 12 2 5" xfId="1936"/>
    <cellStyle name="1Outputheader 12 2 5 2" xfId="1937"/>
    <cellStyle name="1Outputheader 12 3" xfId="1938"/>
    <cellStyle name="1Outputheader 12 3 2" xfId="1939"/>
    <cellStyle name="1Outputheader 12 3 2 2" xfId="1940"/>
    <cellStyle name="1Outputheader 12 3 2 2 2" xfId="1941"/>
    <cellStyle name="1Outputheader 12 3 2 3" xfId="1942"/>
    <cellStyle name="1Outputheader 12 3 2 3 2" xfId="1943"/>
    <cellStyle name="1Outputheader 12 3 3" xfId="1944"/>
    <cellStyle name="1Outputheader 12 3 3 2" xfId="1945"/>
    <cellStyle name="1Outputheader 12 3 3 2 2" xfId="1946"/>
    <cellStyle name="1Outputheader 12 3 3 3" xfId="1947"/>
    <cellStyle name="1Outputheader 12 3 3 3 2" xfId="1948"/>
    <cellStyle name="1Outputheader 12 3 4" xfId="1949"/>
    <cellStyle name="1Outputheader 12 3 4 2" xfId="1950"/>
    <cellStyle name="1Outputheader 12 3 5" xfId="1951"/>
    <cellStyle name="1Outputheader 12 3 5 2" xfId="1952"/>
    <cellStyle name="1Outputheader 12 4" xfId="1953"/>
    <cellStyle name="1Outputheader 12 4 2" xfId="1954"/>
    <cellStyle name="1Outputheader 12 4 2 2" xfId="1955"/>
    <cellStyle name="1Outputheader 12 4 2 2 2" xfId="1956"/>
    <cellStyle name="1Outputheader 12 4 2 3" xfId="1957"/>
    <cellStyle name="1Outputheader 12 4 2 3 2" xfId="1958"/>
    <cellStyle name="1Outputheader 12 4 3" xfId="1959"/>
    <cellStyle name="1Outputheader 12 4 3 2" xfId="1960"/>
    <cellStyle name="1Outputheader 12 4 3 2 2" xfId="1961"/>
    <cellStyle name="1Outputheader 12 4 3 3" xfId="1962"/>
    <cellStyle name="1Outputheader 12 4 3 3 2" xfId="1963"/>
    <cellStyle name="1Outputheader 12 4 4" xfId="1964"/>
    <cellStyle name="1Outputheader 12 4 4 2" xfId="1965"/>
    <cellStyle name="1Outputheader 12 4 5" xfId="1966"/>
    <cellStyle name="1Outputheader 12 4 5 2" xfId="1967"/>
    <cellStyle name="1Outputheader 12 5" xfId="1968"/>
    <cellStyle name="1Outputheader 12 5 2" xfId="1969"/>
    <cellStyle name="1Outputheader 12 5 2 2" xfId="1970"/>
    <cellStyle name="1Outputheader 12 5 3" xfId="1971"/>
    <cellStyle name="1Outputheader 12 5 3 2" xfId="1972"/>
    <cellStyle name="1Outputheader 12 6" xfId="1973"/>
    <cellStyle name="1Outputheader 12 6 2" xfId="1974"/>
    <cellStyle name="1Outputheader 12 6 2 2" xfId="1975"/>
    <cellStyle name="1Outputheader 12 6 3" xfId="1976"/>
    <cellStyle name="1Outputheader 12 6 3 2" xfId="1977"/>
    <cellStyle name="1Outputheader 12 7" xfId="1978"/>
    <cellStyle name="1Outputheader 12 7 2" xfId="1979"/>
    <cellStyle name="1Outputheader 12 8" xfId="1980"/>
    <cellStyle name="1Outputheader 12 8 2" xfId="1981"/>
    <cellStyle name="1Outputheader 13" xfId="1982"/>
    <cellStyle name="1Outputheader 13 2" xfId="1983"/>
    <cellStyle name="1Outputheader 13 2 2" xfId="1984"/>
    <cellStyle name="1Outputheader 13 2 2 2" xfId="1985"/>
    <cellStyle name="1Outputheader 13 2 2 2 2" xfId="1986"/>
    <cellStyle name="1Outputheader 13 2 2 3" xfId="1987"/>
    <cellStyle name="1Outputheader 13 2 2 3 2" xfId="1988"/>
    <cellStyle name="1Outputheader 13 2 3" xfId="1989"/>
    <cellStyle name="1Outputheader 13 2 3 2" xfId="1990"/>
    <cellStyle name="1Outputheader 13 2 3 2 2" xfId="1991"/>
    <cellStyle name="1Outputheader 13 2 3 3" xfId="1992"/>
    <cellStyle name="1Outputheader 13 2 3 3 2" xfId="1993"/>
    <cellStyle name="1Outputheader 13 2 4" xfId="1994"/>
    <cellStyle name="1Outputheader 13 2 4 2" xfId="1995"/>
    <cellStyle name="1Outputheader 13 2 5" xfId="1996"/>
    <cellStyle name="1Outputheader 13 2 5 2" xfId="1997"/>
    <cellStyle name="1Outputheader 13 3" xfId="1998"/>
    <cellStyle name="1Outputheader 13 3 2" xfId="1999"/>
    <cellStyle name="1Outputheader 13 3 2 2" xfId="2000"/>
    <cellStyle name="1Outputheader 13 3 2 2 2" xfId="2001"/>
    <cellStyle name="1Outputheader 13 3 2 3" xfId="2002"/>
    <cellStyle name="1Outputheader 13 3 2 3 2" xfId="2003"/>
    <cellStyle name="1Outputheader 13 3 3" xfId="2004"/>
    <cellStyle name="1Outputheader 13 3 3 2" xfId="2005"/>
    <cellStyle name="1Outputheader 13 3 3 2 2" xfId="2006"/>
    <cellStyle name="1Outputheader 13 3 3 3" xfId="2007"/>
    <cellStyle name="1Outputheader 13 3 3 3 2" xfId="2008"/>
    <cellStyle name="1Outputheader 13 3 4" xfId="2009"/>
    <cellStyle name="1Outputheader 13 3 4 2" xfId="2010"/>
    <cellStyle name="1Outputheader 13 3 5" xfId="2011"/>
    <cellStyle name="1Outputheader 13 3 5 2" xfId="2012"/>
    <cellStyle name="1Outputheader 13 4" xfId="2013"/>
    <cellStyle name="1Outputheader 13 4 2" xfId="2014"/>
    <cellStyle name="1Outputheader 13 4 2 2" xfId="2015"/>
    <cellStyle name="1Outputheader 13 4 2 2 2" xfId="2016"/>
    <cellStyle name="1Outputheader 13 4 2 3" xfId="2017"/>
    <cellStyle name="1Outputheader 13 4 2 3 2" xfId="2018"/>
    <cellStyle name="1Outputheader 13 4 3" xfId="2019"/>
    <cellStyle name="1Outputheader 13 4 3 2" xfId="2020"/>
    <cellStyle name="1Outputheader 13 4 3 2 2" xfId="2021"/>
    <cellStyle name="1Outputheader 13 4 3 3" xfId="2022"/>
    <cellStyle name="1Outputheader 13 4 3 3 2" xfId="2023"/>
    <cellStyle name="1Outputheader 13 4 4" xfId="2024"/>
    <cellStyle name="1Outputheader 13 4 4 2" xfId="2025"/>
    <cellStyle name="1Outputheader 13 4 5" xfId="2026"/>
    <cellStyle name="1Outputheader 13 4 5 2" xfId="2027"/>
    <cellStyle name="1Outputheader 13 5" xfId="2028"/>
    <cellStyle name="1Outputheader 13 5 2" xfId="2029"/>
    <cellStyle name="1Outputheader 13 5 2 2" xfId="2030"/>
    <cellStyle name="1Outputheader 13 5 3" xfId="2031"/>
    <cellStyle name="1Outputheader 13 5 3 2" xfId="2032"/>
    <cellStyle name="1Outputheader 13 6" xfId="2033"/>
    <cellStyle name="1Outputheader 13 6 2" xfId="2034"/>
    <cellStyle name="1Outputheader 13 6 2 2" xfId="2035"/>
    <cellStyle name="1Outputheader 13 6 3" xfId="2036"/>
    <cellStyle name="1Outputheader 13 6 3 2" xfId="2037"/>
    <cellStyle name="1Outputheader 13 7" xfId="2038"/>
    <cellStyle name="1Outputheader 13 7 2" xfId="2039"/>
    <cellStyle name="1Outputheader 13 8" xfId="2040"/>
    <cellStyle name="1Outputheader 13 8 2" xfId="2041"/>
    <cellStyle name="1Outputheader 14" xfId="2042"/>
    <cellStyle name="1Outputheader 14 2" xfId="2043"/>
    <cellStyle name="1Outputheader 14 2 2" xfId="2044"/>
    <cellStyle name="1Outputheader 14 2 2 2" xfId="2045"/>
    <cellStyle name="1Outputheader 14 2 2 2 2" xfId="2046"/>
    <cellStyle name="1Outputheader 14 2 2 3" xfId="2047"/>
    <cellStyle name="1Outputheader 14 2 2 3 2" xfId="2048"/>
    <cellStyle name="1Outputheader 14 2 3" xfId="2049"/>
    <cellStyle name="1Outputheader 14 2 3 2" xfId="2050"/>
    <cellStyle name="1Outputheader 14 2 3 2 2" xfId="2051"/>
    <cellStyle name="1Outputheader 14 2 3 3" xfId="2052"/>
    <cellStyle name="1Outputheader 14 2 3 3 2" xfId="2053"/>
    <cellStyle name="1Outputheader 14 2 4" xfId="2054"/>
    <cellStyle name="1Outputheader 14 2 4 2" xfId="2055"/>
    <cellStyle name="1Outputheader 14 2 5" xfId="2056"/>
    <cellStyle name="1Outputheader 14 2 5 2" xfId="2057"/>
    <cellStyle name="1Outputheader 14 3" xfId="2058"/>
    <cellStyle name="1Outputheader 14 3 2" xfId="2059"/>
    <cellStyle name="1Outputheader 14 3 2 2" xfId="2060"/>
    <cellStyle name="1Outputheader 14 3 2 2 2" xfId="2061"/>
    <cellStyle name="1Outputheader 14 3 2 3" xfId="2062"/>
    <cellStyle name="1Outputheader 14 3 2 3 2" xfId="2063"/>
    <cellStyle name="1Outputheader 14 3 3" xfId="2064"/>
    <cellStyle name="1Outputheader 14 3 3 2" xfId="2065"/>
    <cellStyle name="1Outputheader 14 3 3 2 2" xfId="2066"/>
    <cellStyle name="1Outputheader 14 3 3 3" xfId="2067"/>
    <cellStyle name="1Outputheader 14 3 3 3 2" xfId="2068"/>
    <cellStyle name="1Outputheader 14 3 4" xfId="2069"/>
    <cellStyle name="1Outputheader 14 3 4 2" xfId="2070"/>
    <cellStyle name="1Outputheader 14 3 5" xfId="2071"/>
    <cellStyle name="1Outputheader 14 3 5 2" xfId="2072"/>
    <cellStyle name="1Outputheader 14 4" xfId="2073"/>
    <cellStyle name="1Outputheader 14 4 2" xfId="2074"/>
    <cellStyle name="1Outputheader 14 4 2 2" xfId="2075"/>
    <cellStyle name="1Outputheader 14 4 2 2 2" xfId="2076"/>
    <cellStyle name="1Outputheader 14 4 2 3" xfId="2077"/>
    <cellStyle name="1Outputheader 14 4 2 3 2" xfId="2078"/>
    <cellStyle name="1Outputheader 14 4 3" xfId="2079"/>
    <cellStyle name="1Outputheader 14 4 3 2" xfId="2080"/>
    <cellStyle name="1Outputheader 14 4 3 2 2" xfId="2081"/>
    <cellStyle name="1Outputheader 14 4 3 3" xfId="2082"/>
    <cellStyle name="1Outputheader 14 4 3 3 2" xfId="2083"/>
    <cellStyle name="1Outputheader 14 4 4" xfId="2084"/>
    <cellStyle name="1Outputheader 14 4 4 2" xfId="2085"/>
    <cellStyle name="1Outputheader 14 4 5" xfId="2086"/>
    <cellStyle name="1Outputheader 14 4 5 2" xfId="2087"/>
    <cellStyle name="1Outputheader 14 5" xfId="2088"/>
    <cellStyle name="1Outputheader 14 5 2" xfId="2089"/>
    <cellStyle name="1Outputheader 14 5 2 2" xfId="2090"/>
    <cellStyle name="1Outputheader 14 5 3" xfId="2091"/>
    <cellStyle name="1Outputheader 14 5 3 2" xfId="2092"/>
    <cellStyle name="1Outputheader 14 6" xfId="2093"/>
    <cellStyle name="1Outputheader 14 6 2" xfId="2094"/>
    <cellStyle name="1Outputheader 14 6 2 2" xfId="2095"/>
    <cellStyle name="1Outputheader 14 6 3" xfId="2096"/>
    <cellStyle name="1Outputheader 14 6 3 2" xfId="2097"/>
    <cellStyle name="1Outputheader 14 7" xfId="2098"/>
    <cellStyle name="1Outputheader 14 7 2" xfId="2099"/>
    <cellStyle name="1Outputheader 14 8" xfId="2100"/>
    <cellStyle name="1Outputheader 14 8 2" xfId="2101"/>
    <cellStyle name="1Outputheader 15" xfId="2102"/>
    <cellStyle name="1Outputheader 15 2" xfId="2103"/>
    <cellStyle name="1Outputheader 15 2 2" xfId="2104"/>
    <cellStyle name="1Outputheader 15 2 2 2" xfId="2105"/>
    <cellStyle name="1Outputheader 15 2 2 2 2" xfId="2106"/>
    <cellStyle name="1Outputheader 15 2 2 3" xfId="2107"/>
    <cellStyle name="1Outputheader 15 2 2 3 2" xfId="2108"/>
    <cellStyle name="1Outputheader 15 2 3" xfId="2109"/>
    <cellStyle name="1Outputheader 15 2 3 2" xfId="2110"/>
    <cellStyle name="1Outputheader 15 2 3 2 2" xfId="2111"/>
    <cellStyle name="1Outputheader 15 2 3 3" xfId="2112"/>
    <cellStyle name="1Outputheader 15 2 3 3 2" xfId="2113"/>
    <cellStyle name="1Outputheader 15 2 4" xfId="2114"/>
    <cellStyle name="1Outputheader 15 2 4 2" xfId="2115"/>
    <cellStyle name="1Outputheader 15 2 5" xfId="2116"/>
    <cellStyle name="1Outputheader 15 2 5 2" xfId="2117"/>
    <cellStyle name="1Outputheader 15 3" xfId="2118"/>
    <cellStyle name="1Outputheader 15 3 2" xfId="2119"/>
    <cellStyle name="1Outputheader 15 3 2 2" xfId="2120"/>
    <cellStyle name="1Outputheader 15 3 2 2 2" xfId="2121"/>
    <cellStyle name="1Outputheader 15 3 2 3" xfId="2122"/>
    <cellStyle name="1Outputheader 15 3 2 3 2" xfId="2123"/>
    <cellStyle name="1Outputheader 15 3 3" xfId="2124"/>
    <cellStyle name="1Outputheader 15 3 3 2" xfId="2125"/>
    <cellStyle name="1Outputheader 15 3 3 2 2" xfId="2126"/>
    <cellStyle name="1Outputheader 15 3 3 3" xfId="2127"/>
    <cellStyle name="1Outputheader 15 3 3 3 2" xfId="2128"/>
    <cellStyle name="1Outputheader 15 3 4" xfId="2129"/>
    <cellStyle name="1Outputheader 15 3 4 2" xfId="2130"/>
    <cellStyle name="1Outputheader 15 3 5" xfId="2131"/>
    <cellStyle name="1Outputheader 15 3 5 2" xfId="2132"/>
    <cellStyle name="1Outputheader 15 4" xfId="2133"/>
    <cellStyle name="1Outputheader 15 4 2" xfId="2134"/>
    <cellStyle name="1Outputheader 15 4 2 2" xfId="2135"/>
    <cellStyle name="1Outputheader 15 4 2 2 2" xfId="2136"/>
    <cellStyle name="1Outputheader 15 4 2 3" xfId="2137"/>
    <cellStyle name="1Outputheader 15 4 2 3 2" xfId="2138"/>
    <cellStyle name="1Outputheader 15 4 3" xfId="2139"/>
    <cellStyle name="1Outputheader 15 4 3 2" xfId="2140"/>
    <cellStyle name="1Outputheader 15 4 3 2 2" xfId="2141"/>
    <cellStyle name="1Outputheader 15 4 3 3" xfId="2142"/>
    <cellStyle name="1Outputheader 15 4 3 3 2" xfId="2143"/>
    <cellStyle name="1Outputheader 15 4 4" xfId="2144"/>
    <cellStyle name="1Outputheader 15 4 4 2" xfId="2145"/>
    <cellStyle name="1Outputheader 15 4 5" xfId="2146"/>
    <cellStyle name="1Outputheader 15 4 5 2" xfId="2147"/>
    <cellStyle name="1Outputheader 15 5" xfId="2148"/>
    <cellStyle name="1Outputheader 15 5 2" xfId="2149"/>
    <cellStyle name="1Outputheader 15 5 2 2" xfId="2150"/>
    <cellStyle name="1Outputheader 15 5 3" xfId="2151"/>
    <cellStyle name="1Outputheader 15 5 3 2" xfId="2152"/>
    <cellStyle name="1Outputheader 15 6" xfId="2153"/>
    <cellStyle name="1Outputheader 15 6 2" xfId="2154"/>
    <cellStyle name="1Outputheader 15 6 2 2" xfId="2155"/>
    <cellStyle name="1Outputheader 15 6 3" xfId="2156"/>
    <cellStyle name="1Outputheader 15 6 3 2" xfId="2157"/>
    <cellStyle name="1Outputheader 15 7" xfId="2158"/>
    <cellStyle name="1Outputheader 15 7 2" xfId="2159"/>
    <cellStyle name="1Outputheader 15 8" xfId="2160"/>
    <cellStyle name="1Outputheader 15 8 2" xfId="2161"/>
    <cellStyle name="1Outputheader 16" xfId="2162"/>
    <cellStyle name="1Outputheader 16 2" xfId="2163"/>
    <cellStyle name="1Outputheader 16 2 2" xfId="2164"/>
    <cellStyle name="1Outputheader 16 2 2 2" xfId="2165"/>
    <cellStyle name="1Outputheader 16 2 2 2 2" xfId="2166"/>
    <cellStyle name="1Outputheader 16 2 2 3" xfId="2167"/>
    <cellStyle name="1Outputheader 16 2 2 3 2" xfId="2168"/>
    <cellStyle name="1Outputheader 16 2 3" xfId="2169"/>
    <cellStyle name="1Outputheader 16 2 3 2" xfId="2170"/>
    <cellStyle name="1Outputheader 16 2 3 2 2" xfId="2171"/>
    <cellStyle name="1Outputheader 16 2 3 3" xfId="2172"/>
    <cellStyle name="1Outputheader 16 2 3 3 2" xfId="2173"/>
    <cellStyle name="1Outputheader 16 2 4" xfId="2174"/>
    <cellStyle name="1Outputheader 16 2 4 2" xfId="2175"/>
    <cellStyle name="1Outputheader 16 2 5" xfId="2176"/>
    <cellStyle name="1Outputheader 16 2 5 2" xfId="2177"/>
    <cellStyle name="1Outputheader 16 3" xfId="2178"/>
    <cellStyle name="1Outputheader 16 3 2" xfId="2179"/>
    <cellStyle name="1Outputheader 16 3 2 2" xfId="2180"/>
    <cellStyle name="1Outputheader 16 3 2 2 2" xfId="2181"/>
    <cellStyle name="1Outputheader 16 3 2 3" xfId="2182"/>
    <cellStyle name="1Outputheader 16 3 2 3 2" xfId="2183"/>
    <cellStyle name="1Outputheader 16 3 3" xfId="2184"/>
    <cellStyle name="1Outputheader 16 3 3 2" xfId="2185"/>
    <cellStyle name="1Outputheader 16 3 3 2 2" xfId="2186"/>
    <cellStyle name="1Outputheader 16 3 3 3" xfId="2187"/>
    <cellStyle name="1Outputheader 16 3 3 3 2" xfId="2188"/>
    <cellStyle name="1Outputheader 16 3 4" xfId="2189"/>
    <cellStyle name="1Outputheader 16 3 4 2" xfId="2190"/>
    <cellStyle name="1Outputheader 16 3 5" xfId="2191"/>
    <cellStyle name="1Outputheader 16 3 5 2" xfId="2192"/>
    <cellStyle name="1Outputheader 16 4" xfId="2193"/>
    <cellStyle name="1Outputheader 16 4 2" xfId="2194"/>
    <cellStyle name="1Outputheader 16 4 2 2" xfId="2195"/>
    <cellStyle name="1Outputheader 16 4 2 2 2" xfId="2196"/>
    <cellStyle name="1Outputheader 16 4 2 3" xfId="2197"/>
    <cellStyle name="1Outputheader 16 4 2 3 2" xfId="2198"/>
    <cellStyle name="1Outputheader 16 4 3" xfId="2199"/>
    <cellStyle name="1Outputheader 16 4 3 2" xfId="2200"/>
    <cellStyle name="1Outputheader 16 4 3 2 2" xfId="2201"/>
    <cellStyle name="1Outputheader 16 4 3 3" xfId="2202"/>
    <cellStyle name="1Outputheader 16 4 3 3 2" xfId="2203"/>
    <cellStyle name="1Outputheader 16 4 4" xfId="2204"/>
    <cellStyle name="1Outputheader 16 4 4 2" xfId="2205"/>
    <cellStyle name="1Outputheader 16 4 5" xfId="2206"/>
    <cellStyle name="1Outputheader 16 4 5 2" xfId="2207"/>
    <cellStyle name="1Outputheader 16 5" xfId="2208"/>
    <cellStyle name="1Outputheader 16 5 2" xfId="2209"/>
    <cellStyle name="1Outputheader 16 5 2 2" xfId="2210"/>
    <cellStyle name="1Outputheader 16 5 3" xfId="2211"/>
    <cellStyle name="1Outputheader 16 5 3 2" xfId="2212"/>
    <cellStyle name="1Outputheader 16 6" xfId="2213"/>
    <cellStyle name="1Outputheader 16 6 2" xfId="2214"/>
    <cellStyle name="1Outputheader 16 6 2 2" xfId="2215"/>
    <cellStyle name="1Outputheader 16 6 3" xfId="2216"/>
    <cellStyle name="1Outputheader 16 6 3 2" xfId="2217"/>
    <cellStyle name="1Outputheader 16 7" xfId="2218"/>
    <cellStyle name="1Outputheader 16 7 2" xfId="2219"/>
    <cellStyle name="1Outputheader 16 8" xfId="2220"/>
    <cellStyle name="1Outputheader 16 8 2" xfId="2221"/>
    <cellStyle name="1Outputheader 17" xfId="2222"/>
    <cellStyle name="1Outputheader 17 2" xfId="2223"/>
    <cellStyle name="1Outputheader 17 2 2" xfId="2224"/>
    <cellStyle name="1Outputheader 17 2 2 2" xfId="2225"/>
    <cellStyle name="1Outputheader 17 2 3" xfId="2226"/>
    <cellStyle name="1Outputheader 17 2 3 2" xfId="2227"/>
    <cellStyle name="1Outputheader 17 3" xfId="2228"/>
    <cellStyle name="1Outputheader 17 3 2" xfId="2229"/>
    <cellStyle name="1Outputheader 17 3 2 2" xfId="2230"/>
    <cellStyle name="1Outputheader 17 3 3" xfId="2231"/>
    <cellStyle name="1Outputheader 17 3 3 2" xfId="2232"/>
    <cellStyle name="1Outputheader 17 4" xfId="2233"/>
    <cellStyle name="1Outputheader 17 4 2" xfId="2234"/>
    <cellStyle name="1Outputheader 17 5" xfId="2235"/>
    <cellStyle name="1Outputheader 17 5 2" xfId="2236"/>
    <cellStyle name="1Outputheader 18" xfId="2237"/>
    <cellStyle name="1Outputheader 18 2" xfId="2238"/>
    <cellStyle name="1Outputheader 18 2 2" xfId="2239"/>
    <cellStyle name="1Outputheader 18 2 2 2" xfId="2240"/>
    <cellStyle name="1Outputheader 18 2 3" xfId="2241"/>
    <cellStyle name="1Outputheader 18 2 3 2" xfId="2242"/>
    <cellStyle name="1Outputheader 18 3" xfId="2243"/>
    <cellStyle name="1Outputheader 18 3 2" xfId="2244"/>
    <cellStyle name="1Outputheader 18 3 2 2" xfId="2245"/>
    <cellStyle name="1Outputheader 18 3 3" xfId="2246"/>
    <cellStyle name="1Outputheader 18 3 3 2" xfId="2247"/>
    <cellStyle name="1Outputheader 18 4" xfId="2248"/>
    <cellStyle name="1Outputheader 18 4 2" xfId="2249"/>
    <cellStyle name="1Outputheader 18 5" xfId="2250"/>
    <cellStyle name="1Outputheader 18 5 2" xfId="2251"/>
    <cellStyle name="1Outputheader 19" xfId="2252"/>
    <cellStyle name="1Outputheader 19 2" xfId="2253"/>
    <cellStyle name="1Outputheader 19 2 2" xfId="2254"/>
    <cellStyle name="1Outputheader 19 2 2 2" xfId="2255"/>
    <cellStyle name="1Outputheader 19 2 3" xfId="2256"/>
    <cellStyle name="1Outputheader 19 2 3 2" xfId="2257"/>
    <cellStyle name="1Outputheader 19 3" xfId="2258"/>
    <cellStyle name="1Outputheader 19 3 2" xfId="2259"/>
    <cellStyle name="1Outputheader 19 3 2 2" xfId="2260"/>
    <cellStyle name="1Outputheader 19 3 3" xfId="2261"/>
    <cellStyle name="1Outputheader 19 3 3 2" xfId="2262"/>
    <cellStyle name="1Outputheader 19 4" xfId="2263"/>
    <cellStyle name="1Outputheader 19 4 2" xfId="2264"/>
    <cellStyle name="1Outputheader 19 5" xfId="2265"/>
    <cellStyle name="1Outputheader 19 5 2" xfId="2266"/>
    <cellStyle name="1Outputheader 2" xfId="2267"/>
    <cellStyle name="1Outputheader 2 2" xfId="2268"/>
    <cellStyle name="1Outputheader 2 2 2" xfId="2269"/>
    <cellStyle name="1Outputheader 2 2 2 2" xfId="2270"/>
    <cellStyle name="1Outputheader 2 2 2 2 2" xfId="2271"/>
    <cellStyle name="1Outputheader 2 2 2 3" xfId="2272"/>
    <cellStyle name="1Outputheader 2 2 2 3 2" xfId="2273"/>
    <cellStyle name="1Outputheader 2 2 3" xfId="2274"/>
    <cellStyle name="1Outputheader 2 2 3 2" xfId="2275"/>
    <cellStyle name="1Outputheader 2 2 3 2 2" xfId="2276"/>
    <cellStyle name="1Outputheader 2 2 3 3" xfId="2277"/>
    <cellStyle name="1Outputheader 2 2 3 3 2" xfId="2278"/>
    <cellStyle name="1Outputheader 2 2 4" xfId="2279"/>
    <cellStyle name="1Outputheader 2 2 4 2" xfId="2280"/>
    <cellStyle name="1Outputheader 2 2 5" xfId="2281"/>
    <cellStyle name="1Outputheader 2 2 5 2" xfId="2282"/>
    <cellStyle name="1Outputheader 2 3" xfId="2283"/>
    <cellStyle name="1Outputheader 2 3 2" xfId="2284"/>
    <cellStyle name="1Outputheader 2 3 2 2" xfId="2285"/>
    <cellStyle name="1Outputheader 2 3 2 2 2" xfId="2286"/>
    <cellStyle name="1Outputheader 2 3 2 3" xfId="2287"/>
    <cellStyle name="1Outputheader 2 3 2 3 2" xfId="2288"/>
    <cellStyle name="1Outputheader 2 3 3" xfId="2289"/>
    <cellStyle name="1Outputheader 2 3 3 2" xfId="2290"/>
    <cellStyle name="1Outputheader 2 3 3 2 2" xfId="2291"/>
    <cellStyle name="1Outputheader 2 3 3 3" xfId="2292"/>
    <cellStyle name="1Outputheader 2 3 3 3 2" xfId="2293"/>
    <cellStyle name="1Outputheader 2 3 4" xfId="2294"/>
    <cellStyle name="1Outputheader 2 3 4 2" xfId="2295"/>
    <cellStyle name="1Outputheader 2 3 5" xfId="2296"/>
    <cellStyle name="1Outputheader 2 3 5 2" xfId="2297"/>
    <cellStyle name="1Outputheader 2 4" xfId="2298"/>
    <cellStyle name="1Outputheader 2 4 2" xfId="2299"/>
    <cellStyle name="1Outputheader 2 4 2 2" xfId="2300"/>
    <cellStyle name="1Outputheader 2 4 2 2 2" xfId="2301"/>
    <cellStyle name="1Outputheader 2 4 2 3" xfId="2302"/>
    <cellStyle name="1Outputheader 2 4 2 3 2" xfId="2303"/>
    <cellStyle name="1Outputheader 2 4 3" xfId="2304"/>
    <cellStyle name="1Outputheader 2 4 3 2" xfId="2305"/>
    <cellStyle name="1Outputheader 2 4 3 2 2" xfId="2306"/>
    <cellStyle name="1Outputheader 2 4 3 3" xfId="2307"/>
    <cellStyle name="1Outputheader 2 4 3 3 2" xfId="2308"/>
    <cellStyle name="1Outputheader 2 4 4" xfId="2309"/>
    <cellStyle name="1Outputheader 2 4 4 2" xfId="2310"/>
    <cellStyle name="1Outputheader 2 4 5" xfId="2311"/>
    <cellStyle name="1Outputheader 2 4 5 2" xfId="2312"/>
    <cellStyle name="1Outputheader 2 5" xfId="2313"/>
    <cellStyle name="1Outputheader 2 5 2" xfId="2314"/>
    <cellStyle name="1Outputheader 2 5 2 2" xfId="2315"/>
    <cellStyle name="1Outputheader 2 5 3" xfId="2316"/>
    <cellStyle name="1Outputheader 2 5 3 2" xfId="2317"/>
    <cellStyle name="1Outputheader 2 6" xfId="2318"/>
    <cellStyle name="1Outputheader 2 6 2" xfId="2319"/>
    <cellStyle name="1Outputheader 2 6 2 2" xfId="2320"/>
    <cellStyle name="1Outputheader 2 6 3" xfId="2321"/>
    <cellStyle name="1Outputheader 2 6 3 2" xfId="2322"/>
    <cellStyle name="1Outputheader 2 7" xfId="2323"/>
    <cellStyle name="1Outputheader 2 7 2" xfId="2324"/>
    <cellStyle name="1Outputheader 2 8" xfId="2325"/>
    <cellStyle name="1Outputheader 2 8 2" xfId="2326"/>
    <cellStyle name="1Outputheader 20" xfId="2327"/>
    <cellStyle name="1Outputheader 20 2" xfId="2328"/>
    <cellStyle name="1Outputheader 20 2 2" xfId="2329"/>
    <cellStyle name="1Outputheader 20 3" xfId="2330"/>
    <cellStyle name="1Outputheader 20 3 2" xfId="2331"/>
    <cellStyle name="1Outputheader 21" xfId="2332"/>
    <cellStyle name="1Outputheader 21 2" xfId="2333"/>
    <cellStyle name="1Outputheader 21 2 2" xfId="2334"/>
    <cellStyle name="1Outputheader 21 3" xfId="2335"/>
    <cellStyle name="1Outputheader 21 3 2" xfId="2336"/>
    <cellStyle name="1Outputheader 22" xfId="2337"/>
    <cellStyle name="1Outputheader 22 2" xfId="2338"/>
    <cellStyle name="1Outputheader 23" xfId="2339"/>
    <cellStyle name="1Outputheader 23 2" xfId="2340"/>
    <cellStyle name="1Outputheader 3" xfId="2341"/>
    <cellStyle name="1Outputheader 3 2" xfId="2342"/>
    <cellStyle name="1Outputheader 3 2 2" xfId="2343"/>
    <cellStyle name="1Outputheader 3 2 2 2" xfId="2344"/>
    <cellStyle name="1Outputheader 3 2 2 2 2" xfId="2345"/>
    <cellStyle name="1Outputheader 3 2 2 3" xfId="2346"/>
    <cellStyle name="1Outputheader 3 2 2 3 2" xfId="2347"/>
    <cellStyle name="1Outputheader 3 2 3" xfId="2348"/>
    <cellStyle name="1Outputheader 3 2 3 2" xfId="2349"/>
    <cellStyle name="1Outputheader 3 2 3 2 2" xfId="2350"/>
    <cellStyle name="1Outputheader 3 2 3 3" xfId="2351"/>
    <cellStyle name="1Outputheader 3 2 3 3 2" xfId="2352"/>
    <cellStyle name="1Outputheader 3 2 4" xfId="2353"/>
    <cellStyle name="1Outputheader 3 2 4 2" xfId="2354"/>
    <cellStyle name="1Outputheader 3 2 5" xfId="2355"/>
    <cellStyle name="1Outputheader 3 2 5 2" xfId="2356"/>
    <cellStyle name="1Outputheader 3 3" xfId="2357"/>
    <cellStyle name="1Outputheader 3 3 2" xfId="2358"/>
    <cellStyle name="1Outputheader 3 3 2 2" xfId="2359"/>
    <cellStyle name="1Outputheader 3 3 2 2 2" xfId="2360"/>
    <cellStyle name="1Outputheader 3 3 2 3" xfId="2361"/>
    <cellStyle name="1Outputheader 3 3 2 3 2" xfId="2362"/>
    <cellStyle name="1Outputheader 3 3 3" xfId="2363"/>
    <cellStyle name="1Outputheader 3 3 3 2" xfId="2364"/>
    <cellStyle name="1Outputheader 3 3 3 2 2" xfId="2365"/>
    <cellStyle name="1Outputheader 3 3 3 3" xfId="2366"/>
    <cellStyle name="1Outputheader 3 3 3 3 2" xfId="2367"/>
    <cellStyle name="1Outputheader 3 3 4" xfId="2368"/>
    <cellStyle name="1Outputheader 3 3 4 2" xfId="2369"/>
    <cellStyle name="1Outputheader 3 3 5" xfId="2370"/>
    <cellStyle name="1Outputheader 3 3 5 2" xfId="2371"/>
    <cellStyle name="1Outputheader 3 4" xfId="2372"/>
    <cellStyle name="1Outputheader 3 4 2" xfId="2373"/>
    <cellStyle name="1Outputheader 3 4 2 2" xfId="2374"/>
    <cellStyle name="1Outputheader 3 4 2 2 2" xfId="2375"/>
    <cellStyle name="1Outputheader 3 4 2 3" xfId="2376"/>
    <cellStyle name="1Outputheader 3 4 2 3 2" xfId="2377"/>
    <cellStyle name="1Outputheader 3 4 3" xfId="2378"/>
    <cellStyle name="1Outputheader 3 4 3 2" xfId="2379"/>
    <cellStyle name="1Outputheader 3 4 3 2 2" xfId="2380"/>
    <cellStyle name="1Outputheader 3 4 3 3" xfId="2381"/>
    <cellStyle name="1Outputheader 3 4 3 3 2" xfId="2382"/>
    <cellStyle name="1Outputheader 3 4 4" xfId="2383"/>
    <cellStyle name="1Outputheader 3 4 4 2" xfId="2384"/>
    <cellStyle name="1Outputheader 3 4 5" xfId="2385"/>
    <cellStyle name="1Outputheader 3 4 5 2" xfId="2386"/>
    <cellStyle name="1Outputheader 3 5" xfId="2387"/>
    <cellStyle name="1Outputheader 3 5 2" xfId="2388"/>
    <cellStyle name="1Outputheader 3 5 2 2" xfId="2389"/>
    <cellStyle name="1Outputheader 3 5 3" xfId="2390"/>
    <cellStyle name="1Outputheader 3 5 3 2" xfId="2391"/>
    <cellStyle name="1Outputheader 3 6" xfId="2392"/>
    <cellStyle name="1Outputheader 3 6 2" xfId="2393"/>
    <cellStyle name="1Outputheader 3 6 2 2" xfId="2394"/>
    <cellStyle name="1Outputheader 3 6 3" xfId="2395"/>
    <cellStyle name="1Outputheader 3 6 3 2" xfId="2396"/>
    <cellStyle name="1Outputheader 3 7" xfId="2397"/>
    <cellStyle name="1Outputheader 3 7 2" xfId="2398"/>
    <cellStyle name="1Outputheader 3 8" xfId="2399"/>
    <cellStyle name="1Outputheader 3 8 2" xfId="2400"/>
    <cellStyle name="1Outputheader 4" xfId="2401"/>
    <cellStyle name="1Outputheader 4 2" xfId="2402"/>
    <cellStyle name="1Outputheader 4 2 2" xfId="2403"/>
    <cellStyle name="1Outputheader 4 2 2 2" xfId="2404"/>
    <cellStyle name="1Outputheader 4 2 2 2 2" xfId="2405"/>
    <cellStyle name="1Outputheader 4 2 2 3" xfId="2406"/>
    <cellStyle name="1Outputheader 4 2 2 3 2" xfId="2407"/>
    <cellStyle name="1Outputheader 4 2 3" xfId="2408"/>
    <cellStyle name="1Outputheader 4 2 3 2" xfId="2409"/>
    <cellStyle name="1Outputheader 4 2 3 2 2" xfId="2410"/>
    <cellStyle name="1Outputheader 4 2 3 3" xfId="2411"/>
    <cellStyle name="1Outputheader 4 2 3 3 2" xfId="2412"/>
    <cellStyle name="1Outputheader 4 2 4" xfId="2413"/>
    <cellStyle name="1Outputheader 4 2 4 2" xfId="2414"/>
    <cellStyle name="1Outputheader 4 2 5" xfId="2415"/>
    <cellStyle name="1Outputheader 4 2 5 2" xfId="2416"/>
    <cellStyle name="1Outputheader 4 3" xfId="2417"/>
    <cellStyle name="1Outputheader 4 3 2" xfId="2418"/>
    <cellStyle name="1Outputheader 4 3 2 2" xfId="2419"/>
    <cellStyle name="1Outputheader 4 3 2 2 2" xfId="2420"/>
    <cellStyle name="1Outputheader 4 3 2 3" xfId="2421"/>
    <cellStyle name="1Outputheader 4 3 2 3 2" xfId="2422"/>
    <cellStyle name="1Outputheader 4 3 3" xfId="2423"/>
    <cellStyle name="1Outputheader 4 3 3 2" xfId="2424"/>
    <cellStyle name="1Outputheader 4 3 3 2 2" xfId="2425"/>
    <cellStyle name="1Outputheader 4 3 3 3" xfId="2426"/>
    <cellStyle name="1Outputheader 4 3 3 3 2" xfId="2427"/>
    <cellStyle name="1Outputheader 4 3 4" xfId="2428"/>
    <cellStyle name="1Outputheader 4 3 4 2" xfId="2429"/>
    <cellStyle name="1Outputheader 4 3 5" xfId="2430"/>
    <cellStyle name="1Outputheader 4 3 5 2" xfId="2431"/>
    <cellStyle name="1Outputheader 4 4" xfId="2432"/>
    <cellStyle name="1Outputheader 4 4 2" xfId="2433"/>
    <cellStyle name="1Outputheader 4 4 2 2" xfId="2434"/>
    <cellStyle name="1Outputheader 4 4 2 2 2" xfId="2435"/>
    <cellStyle name="1Outputheader 4 4 2 3" xfId="2436"/>
    <cellStyle name="1Outputheader 4 4 2 3 2" xfId="2437"/>
    <cellStyle name="1Outputheader 4 4 3" xfId="2438"/>
    <cellStyle name="1Outputheader 4 4 3 2" xfId="2439"/>
    <cellStyle name="1Outputheader 4 4 3 2 2" xfId="2440"/>
    <cellStyle name="1Outputheader 4 4 3 3" xfId="2441"/>
    <cellStyle name="1Outputheader 4 4 3 3 2" xfId="2442"/>
    <cellStyle name="1Outputheader 4 4 4" xfId="2443"/>
    <cellStyle name="1Outputheader 4 4 4 2" xfId="2444"/>
    <cellStyle name="1Outputheader 4 4 5" xfId="2445"/>
    <cellStyle name="1Outputheader 4 4 5 2" xfId="2446"/>
    <cellStyle name="1Outputheader 4 5" xfId="2447"/>
    <cellStyle name="1Outputheader 4 5 2" xfId="2448"/>
    <cellStyle name="1Outputheader 4 5 2 2" xfId="2449"/>
    <cellStyle name="1Outputheader 4 5 3" xfId="2450"/>
    <cellStyle name="1Outputheader 4 5 3 2" xfId="2451"/>
    <cellStyle name="1Outputheader 4 6" xfId="2452"/>
    <cellStyle name="1Outputheader 4 6 2" xfId="2453"/>
    <cellStyle name="1Outputheader 4 6 2 2" xfId="2454"/>
    <cellStyle name="1Outputheader 4 6 3" xfId="2455"/>
    <cellStyle name="1Outputheader 4 6 3 2" xfId="2456"/>
    <cellStyle name="1Outputheader 4 7" xfId="2457"/>
    <cellStyle name="1Outputheader 4 7 2" xfId="2458"/>
    <cellStyle name="1Outputheader 4 8" xfId="2459"/>
    <cellStyle name="1Outputheader 4 8 2" xfId="2460"/>
    <cellStyle name="1Outputheader 5" xfId="2461"/>
    <cellStyle name="1Outputheader 5 2" xfId="2462"/>
    <cellStyle name="1Outputheader 5 2 2" xfId="2463"/>
    <cellStyle name="1Outputheader 5 2 2 2" xfId="2464"/>
    <cellStyle name="1Outputheader 5 2 2 2 2" xfId="2465"/>
    <cellStyle name="1Outputheader 5 2 2 3" xfId="2466"/>
    <cellStyle name="1Outputheader 5 2 2 3 2" xfId="2467"/>
    <cellStyle name="1Outputheader 5 2 3" xfId="2468"/>
    <cellStyle name="1Outputheader 5 2 3 2" xfId="2469"/>
    <cellStyle name="1Outputheader 5 2 3 2 2" xfId="2470"/>
    <cellStyle name="1Outputheader 5 2 3 3" xfId="2471"/>
    <cellStyle name="1Outputheader 5 2 3 3 2" xfId="2472"/>
    <cellStyle name="1Outputheader 5 2 4" xfId="2473"/>
    <cellStyle name="1Outputheader 5 2 4 2" xfId="2474"/>
    <cellStyle name="1Outputheader 5 2 5" xfId="2475"/>
    <cellStyle name="1Outputheader 5 2 5 2" xfId="2476"/>
    <cellStyle name="1Outputheader 5 3" xfId="2477"/>
    <cellStyle name="1Outputheader 5 3 2" xfId="2478"/>
    <cellStyle name="1Outputheader 5 3 2 2" xfId="2479"/>
    <cellStyle name="1Outputheader 5 3 2 2 2" xfId="2480"/>
    <cellStyle name="1Outputheader 5 3 2 3" xfId="2481"/>
    <cellStyle name="1Outputheader 5 3 2 3 2" xfId="2482"/>
    <cellStyle name="1Outputheader 5 3 3" xfId="2483"/>
    <cellStyle name="1Outputheader 5 3 3 2" xfId="2484"/>
    <cellStyle name="1Outputheader 5 3 3 2 2" xfId="2485"/>
    <cellStyle name="1Outputheader 5 3 3 3" xfId="2486"/>
    <cellStyle name="1Outputheader 5 3 3 3 2" xfId="2487"/>
    <cellStyle name="1Outputheader 5 3 4" xfId="2488"/>
    <cellStyle name="1Outputheader 5 3 4 2" xfId="2489"/>
    <cellStyle name="1Outputheader 5 3 5" xfId="2490"/>
    <cellStyle name="1Outputheader 5 3 5 2" xfId="2491"/>
    <cellStyle name="1Outputheader 5 4" xfId="2492"/>
    <cellStyle name="1Outputheader 5 4 2" xfId="2493"/>
    <cellStyle name="1Outputheader 5 4 2 2" xfId="2494"/>
    <cellStyle name="1Outputheader 5 4 2 2 2" xfId="2495"/>
    <cellStyle name="1Outputheader 5 4 2 3" xfId="2496"/>
    <cellStyle name="1Outputheader 5 4 2 3 2" xfId="2497"/>
    <cellStyle name="1Outputheader 5 4 3" xfId="2498"/>
    <cellStyle name="1Outputheader 5 4 3 2" xfId="2499"/>
    <cellStyle name="1Outputheader 5 4 3 2 2" xfId="2500"/>
    <cellStyle name="1Outputheader 5 4 3 3" xfId="2501"/>
    <cellStyle name="1Outputheader 5 4 3 3 2" xfId="2502"/>
    <cellStyle name="1Outputheader 5 4 4" xfId="2503"/>
    <cellStyle name="1Outputheader 5 4 4 2" xfId="2504"/>
    <cellStyle name="1Outputheader 5 4 5" xfId="2505"/>
    <cellStyle name="1Outputheader 5 4 5 2" xfId="2506"/>
    <cellStyle name="1Outputheader 5 5" xfId="2507"/>
    <cellStyle name="1Outputheader 5 5 2" xfId="2508"/>
    <cellStyle name="1Outputheader 5 5 2 2" xfId="2509"/>
    <cellStyle name="1Outputheader 5 5 3" xfId="2510"/>
    <cellStyle name="1Outputheader 5 5 3 2" xfId="2511"/>
    <cellStyle name="1Outputheader 5 6" xfId="2512"/>
    <cellStyle name="1Outputheader 5 6 2" xfId="2513"/>
    <cellStyle name="1Outputheader 5 6 2 2" xfId="2514"/>
    <cellStyle name="1Outputheader 5 6 3" xfId="2515"/>
    <cellStyle name="1Outputheader 5 6 3 2" xfId="2516"/>
    <cellStyle name="1Outputheader 5 7" xfId="2517"/>
    <cellStyle name="1Outputheader 5 7 2" xfId="2518"/>
    <cellStyle name="1Outputheader 5 8" xfId="2519"/>
    <cellStyle name="1Outputheader 5 8 2" xfId="2520"/>
    <cellStyle name="1Outputheader 6" xfId="2521"/>
    <cellStyle name="1Outputheader 6 2" xfId="2522"/>
    <cellStyle name="1Outputheader 6 2 2" xfId="2523"/>
    <cellStyle name="1Outputheader 6 2 2 2" xfId="2524"/>
    <cellStyle name="1Outputheader 6 2 2 2 2" xfId="2525"/>
    <cellStyle name="1Outputheader 6 2 2 3" xfId="2526"/>
    <cellStyle name="1Outputheader 6 2 2 3 2" xfId="2527"/>
    <cellStyle name="1Outputheader 6 2 3" xfId="2528"/>
    <cellStyle name="1Outputheader 6 2 3 2" xfId="2529"/>
    <cellStyle name="1Outputheader 6 2 3 2 2" xfId="2530"/>
    <cellStyle name="1Outputheader 6 2 3 3" xfId="2531"/>
    <cellStyle name="1Outputheader 6 2 3 3 2" xfId="2532"/>
    <cellStyle name="1Outputheader 6 2 4" xfId="2533"/>
    <cellStyle name="1Outputheader 6 2 4 2" xfId="2534"/>
    <cellStyle name="1Outputheader 6 2 5" xfId="2535"/>
    <cellStyle name="1Outputheader 6 2 5 2" xfId="2536"/>
    <cellStyle name="1Outputheader 6 3" xfId="2537"/>
    <cellStyle name="1Outputheader 6 3 2" xfId="2538"/>
    <cellStyle name="1Outputheader 6 3 2 2" xfId="2539"/>
    <cellStyle name="1Outputheader 6 3 2 2 2" xfId="2540"/>
    <cellStyle name="1Outputheader 6 3 2 3" xfId="2541"/>
    <cellStyle name="1Outputheader 6 3 2 3 2" xfId="2542"/>
    <cellStyle name="1Outputheader 6 3 3" xfId="2543"/>
    <cellStyle name="1Outputheader 6 3 3 2" xfId="2544"/>
    <cellStyle name="1Outputheader 6 3 3 2 2" xfId="2545"/>
    <cellStyle name="1Outputheader 6 3 3 3" xfId="2546"/>
    <cellStyle name="1Outputheader 6 3 3 3 2" xfId="2547"/>
    <cellStyle name="1Outputheader 6 3 4" xfId="2548"/>
    <cellStyle name="1Outputheader 6 3 4 2" xfId="2549"/>
    <cellStyle name="1Outputheader 6 3 5" xfId="2550"/>
    <cellStyle name="1Outputheader 6 3 5 2" xfId="2551"/>
    <cellStyle name="1Outputheader 6 4" xfId="2552"/>
    <cellStyle name="1Outputheader 6 4 2" xfId="2553"/>
    <cellStyle name="1Outputheader 6 4 2 2" xfId="2554"/>
    <cellStyle name="1Outputheader 6 4 2 2 2" xfId="2555"/>
    <cellStyle name="1Outputheader 6 4 2 3" xfId="2556"/>
    <cellStyle name="1Outputheader 6 4 2 3 2" xfId="2557"/>
    <cellStyle name="1Outputheader 6 4 3" xfId="2558"/>
    <cellStyle name="1Outputheader 6 4 3 2" xfId="2559"/>
    <cellStyle name="1Outputheader 6 4 3 2 2" xfId="2560"/>
    <cellStyle name="1Outputheader 6 4 3 3" xfId="2561"/>
    <cellStyle name="1Outputheader 6 4 3 3 2" xfId="2562"/>
    <cellStyle name="1Outputheader 6 4 4" xfId="2563"/>
    <cellStyle name="1Outputheader 6 4 4 2" xfId="2564"/>
    <cellStyle name="1Outputheader 6 4 5" xfId="2565"/>
    <cellStyle name="1Outputheader 6 4 5 2" xfId="2566"/>
    <cellStyle name="1Outputheader 6 5" xfId="2567"/>
    <cellStyle name="1Outputheader 6 5 2" xfId="2568"/>
    <cellStyle name="1Outputheader 6 5 2 2" xfId="2569"/>
    <cellStyle name="1Outputheader 6 5 3" xfId="2570"/>
    <cellStyle name="1Outputheader 6 5 3 2" xfId="2571"/>
    <cellStyle name="1Outputheader 6 6" xfId="2572"/>
    <cellStyle name="1Outputheader 6 6 2" xfId="2573"/>
    <cellStyle name="1Outputheader 6 6 2 2" xfId="2574"/>
    <cellStyle name="1Outputheader 6 6 3" xfId="2575"/>
    <cellStyle name="1Outputheader 6 6 3 2" xfId="2576"/>
    <cellStyle name="1Outputheader 6 7" xfId="2577"/>
    <cellStyle name="1Outputheader 6 7 2" xfId="2578"/>
    <cellStyle name="1Outputheader 6 8" xfId="2579"/>
    <cellStyle name="1Outputheader 6 8 2" xfId="2580"/>
    <cellStyle name="1Outputheader 7" xfId="2581"/>
    <cellStyle name="1Outputheader 7 2" xfId="2582"/>
    <cellStyle name="1Outputheader 7 2 2" xfId="2583"/>
    <cellStyle name="1Outputheader 7 2 2 2" xfId="2584"/>
    <cellStyle name="1Outputheader 7 2 2 2 2" xfId="2585"/>
    <cellStyle name="1Outputheader 7 2 2 3" xfId="2586"/>
    <cellStyle name="1Outputheader 7 2 2 3 2" xfId="2587"/>
    <cellStyle name="1Outputheader 7 2 3" xfId="2588"/>
    <cellStyle name="1Outputheader 7 2 3 2" xfId="2589"/>
    <cellStyle name="1Outputheader 7 2 3 2 2" xfId="2590"/>
    <cellStyle name="1Outputheader 7 2 3 3" xfId="2591"/>
    <cellStyle name="1Outputheader 7 2 3 3 2" xfId="2592"/>
    <cellStyle name="1Outputheader 7 2 4" xfId="2593"/>
    <cellStyle name="1Outputheader 7 2 4 2" xfId="2594"/>
    <cellStyle name="1Outputheader 7 2 5" xfId="2595"/>
    <cellStyle name="1Outputheader 7 2 5 2" xfId="2596"/>
    <cellStyle name="1Outputheader 7 3" xfId="2597"/>
    <cellStyle name="1Outputheader 7 3 2" xfId="2598"/>
    <cellStyle name="1Outputheader 7 3 2 2" xfId="2599"/>
    <cellStyle name="1Outputheader 7 3 2 2 2" xfId="2600"/>
    <cellStyle name="1Outputheader 7 3 2 3" xfId="2601"/>
    <cellStyle name="1Outputheader 7 3 2 3 2" xfId="2602"/>
    <cellStyle name="1Outputheader 7 3 3" xfId="2603"/>
    <cellStyle name="1Outputheader 7 3 3 2" xfId="2604"/>
    <cellStyle name="1Outputheader 7 3 3 2 2" xfId="2605"/>
    <cellStyle name="1Outputheader 7 3 3 3" xfId="2606"/>
    <cellStyle name="1Outputheader 7 3 3 3 2" xfId="2607"/>
    <cellStyle name="1Outputheader 7 3 4" xfId="2608"/>
    <cellStyle name="1Outputheader 7 3 4 2" xfId="2609"/>
    <cellStyle name="1Outputheader 7 3 5" xfId="2610"/>
    <cellStyle name="1Outputheader 7 3 5 2" xfId="2611"/>
    <cellStyle name="1Outputheader 7 4" xfId="2612"/>
    <cellStyle name="1Outputheader 7 4 2" xfId="2613"/>
    <cellStyle name="1Outputheader 7 4 2 2" xfId="2614"/>
    <cellStyle name="1Outputheader 7 4 2 2 2" xfId="2615"/>
    <cellStyle name="1Outputheader 7 4 2 3" xfId="2616"/>
    <cellStyle name="1Outputheader 7 4 2 3 2" xfId="2617"/>
    <cellStyle name="1Outputheader 7 4 3" xfId="2618"/>
    <cellStyle name="1Outputheader 7 4 3 2" xfId="2619"/>
    <cellStyle name="1Outputheader 7 4 3 2 2" xfId="2620"/>
    <cellStyle name="1Outputheader 7 4 3 3" xfId="2621"/>
    <cellStyle name="1Outputheader 7 4 3 3 2" xfId="2622"/>
    <cellStyle name="1Outputheader 7 4 4" xfId="2623"/>
    <cellStyle name="1Outputheader 7 4 4 2" xfId="2624"/>
    <cellStyle name="1Outputheader 7 4 5" xfId="2625"/>
    <cellStyle name="1Outputheader 7 4 5 2" xfId="2626"/>
    <cellStyle name="1Outputheader 7 5" xfId="2627"/>
    <cellStyle name="1Outputheader 7 5 2" xfId="2628"/>
    <cellStyle name="1Outputheader 7 5 2 2" xfId="2629"/>
    <cellStyle name="1Outputheader 7 5 3" xfId="2630"/>
    <cellStyle name="1Outputheader 7 5 3 2" xfId="2631"/>
    <cellStyle name="1Outputheader 7 6" xfId="2632"/>
    <cellStyle name="1Outputheader 7 6 2" xfId="2633"/>
    <cellStyle name="1Outputheader 7 6 2 2" xfId="2634"/>
    <cellStyle name="1Outputheader 7 6 3" xfId="2635"/>
    <cellStyle name="1Outputheader 7 6 3 2" xfId="2636"/>
    <cellStyle name="1Outputheader 7 7" xfId="2637"/>
    <cellStyle name="1Outputheader 7 7 2" xfId="2638"/>
    <cellStyle name="1Outputheader 7 8" xfId="2639"/>
    <cellStyle name="1Outputheader 7 8 2" xfId="2640"/>
    <cellStyle name="1Outputheader 8" xfId="2641"/>
    <cellStyle name="1Outputheader 8 2" xfId="2642"/>
    <cellStyle name="1Outputheader 8 2 2" xfId="2643"/>
    <cellStyle name="1Outputheader 8 2 2 2" xfId="2644"/>
    <cellStyle name="1Outputheader 8 2 2 2 2" xfId="2645"/>
    <cellStyle name="1Outputheader 8 2 2 3" xfId="2646"/>
    <cellStyle name="1Outputheader 8 2 2 3 2" xfId="2647"/>
    <cellStyle name="1Outputheader 8 2 3" xfId="2648"/>
    <cellStyle name="1Outputheader 8 2 3 2" xfId="2649"/>
    <cellStyle name="1Outputheader 8 2 3 2 2" xfId="2650"/>
    <cellStyle name="1Outputheader 8 2 3 3" xfId="2651"/>
    <cellStyle name="1Outputheader 8 2 3 3 2" xfId="2652"/>
    <cellStyle name="1Outputheader 8 2 4" xfId="2653"/>
    <cellStyle name="1Outputheader 8 2 4 2" xfId="2654"/>
    <cellStyle name="1Outputheader 8 2 5" xfId="2655"/>
    <cellStyle name="1Outputheader 8 2 5 2" xfId="2656"/>
    <cellStyle name="1Outputheader 8 3" xfId="2657"/>
    <cellStyle name="1Outputheader 8 3 2" xfId="2658"/>
    <cellStyle name="1Outputheader 8 3 2 2" xfId="2659"/>
    <cellStyle name="1Outputheader 8 3 2 2 2" xfId="2660"/>
    <cellStyle name="1Outputheader 8 3 2 3" xfId="2661"/>
    <cellStyle name="1Outputheader 8 3 2 3 2" xfId="2662"/>
    <cellStyle name="1Outputheader 8 3 3" xfId="2663"/>
    <cellStyle name="1Outputheader 8 3 3 2" xfId="2664"/>
    <cellStyle name="1Outputheader 8 3 3 2 2" xfId="2665"/>
    <cellStyle name="1Outputheader 8 3 3 3" xfId="2666"/>
    <cellStyle name="1Outputheader 8 3 3 3 2" xfId="2667"/>
    <cellStyle name="1Outputheader 8 3 4" xfId="2668"/>
    <cellStyle name="1Outputheader 8 3 4 2" xfId="2669"/>
    <cellStyle name="1Outputheader 8 3 5" xfId="2670"/>
    <cellStyle name="1Outputheader 8 3 5 2" xfId="2671"/>
    <cellStyle name="1Outputheader 8 4" xfId="2672"/>
    <cellStyle name="1Outputheader 8 4 2" xfId="2673"/>
    <cellStyle name="1Outputheader 8 4 2 2" xfId="2674"/>
    <cellStyle name="1Outputheader 8 4 2 2 2" xfId="2675"/>
    <cellStyle name="1Outputheader 8 4 2 3" xfId="2676"/>
    <cellStyle name="1Outputheader 8 4 2 3 2" xfId="2677"/>
    <cellStyle name="1Outputheader 8 4 3" xfId="2678"/>
    <cellStyle name="1Outputheader 8 4 3 2" xfId="2679"/>
    <cellStyle name="1Outputheader 8 4 3 2 2" xfId="2680"/>
    <cellStyle name="1Outputheader 8 4 3 3" xfId="2681"/>
    <cellStyle name="1Outputheader 8 4 3 3 2" xfId="2682"/>
    <cellStyle name="1Outputheader 8 4 4" xfId="2683"/>
    <cellStyle name="1Outputheader 8 4 4 2" xfId="2684"/>
    <cellStyle name="1Outputheader 8 4 5" xfId="2685"/>
    <cellStyle name="1Outputheader 8 4 5 2" xfId="2686"/>
    <cellStyle name="1Outputheader 8 5" xfId="2687"/>
    <cellStyle name="1Outputheader 8 5 2" xfId="2688"/>
    <cellStyle name="1Outputheader 8 5 2 2" xfId="2689"/>
    <cellStyle name="1Outputheader 8 5 3" xfId="2690"/>
    <cellStyle name="1Outputheader 8 5 3 2" xfId="2691"/>
    <cellStyle name="1Outputheader 8 6" xfId="2692"/>
    <cellStyle name="1Outputheader 8 6 2" xfId="2693"/>
    <cellStyle name="1Outputheader 8 6 2 2" xfId="2694"/>
    <cellStyle name="1Outputheader 8 6 3" xfId="2695"/>
    <cellStyle name="1Outputheader 8 6 3 2" xfId="2696"/>
    <cellStyle name="1Outputheader 8 7" xfId="2697"/>
    <cellStyle name="1Outputheader 8 7 2" xfId="2698"/>
    <cellStyle name="1Outputheader 8 8" xfId="2699"/>
    <cellStyle name="1Outputheader 8 8 2" xfId="2700"/>
    <cellStyle name="1Outputheader 9" xfId="2701"/>
    <cellStyle name="1Outputheader 9 2" xfId="2702"/>
    <cellStyle name="1Outputheader 9 2 2" xfId="2703"/>
    <cellStyle name="1Outputheader 9 2 2 2" xfId="2704"/>
    <cellStyle name="1Outputheader 9 2 2 2 2" xfId="2705"/>
    <cellStyle name="1Outputheader 9 2 2 3" xfId="2706"/>
    <cellStyle name="1Outputheader 9 2 2 3 2" xfId="2707"/>
    <cellStyle name="1Outputheader 9 2 3" xfId="2708"/>
    <cellStyle name="1Outputheader 9 2 3 2" xfId="2709"/>
    <cellStyle name="1Outputheader 9 2 3 2 2" xfId="2710"/>
    <cellStyle name="1Outputheader 9 2 3 3" xfId="2711"/>
    <cellStyle name="1Outputheader 9 2 3 3 2" xfId="2712"/>
    <cellStyle name="1Outputheader 9 2 4" xfId="2713"/>
    <cellStyle name="1Outputheader 9 2 4 2" xfId="2714"/>
    <cellStyle name="1Outputheader 9 2 5" xfId="2715"/>
    <cellStyle name="1Outputheader 9 2 5 2" xfId="2716"/>
    <cellStyle name="1Outputheader 9 3" xfId="2717"/>
    <cellStyle name="1Outputheader 9 3 2" xfId="2718"/>
    <cellStyle name="1Outputheader 9 3 2 2" xfId="2719"/>
    <cellStyle name="1Outputheader 9 3 2 2 2" xfId="2720"/>
    <cellStyle name="1Outputheader 9 3 2 3" xfId="2721"/>
    <cellStyle name="1Outputheader 9 3 2 3 2" xfId="2722"/>
    <cellStyle name="1Outputheader 9 3 3" xfId="2723"/>
    <cellStyle name="1Outputheader 9 3 3 2" xfId="2724"/>
    <cellStyle name="1Outputheader 9 3 3 2 2" xfId="2725"/>
    <cellStyle name="1Outputheader 9 3 3 3" xfId="2726"/>
    <cellStyle name="1Outputheader 9 3 3 3 2" xfId="2727"/>
    <cellStyle name="1Outputheader 9 3 4" xfId="2728"/>
    <cellStyle name="1Outputheader 9 3 4 2" xfId="2729"/>
    <cellStyle name="1Outputheader 9 3 5" xfId="2730"/>
    <cellStyle name="1Outputheader 9 3 5 2" xfId="2731"/>
    <cellStyle name="1Outputheader 9 4" xfId="2732"/>
    <cellStyle name="1Outputheader 9 4 2" xfId="2733"/>
    <cellStyle name="1Outputheader 9 4 2 2" xfId="2734"/>
    <cellStyle name="1Outputheader 9 4 2 2 2" xfId="2735"/>
    <cellStyle name="1Outputheader 9 4 2 3" xfId="2736"/>
    <cellStyle name="1Outputheader 9 4 2 3 2" xfId="2737"/>
    <cellStyle name="1Outputheader 9 4 3" xfId="2738"/>
    <cellStyle name="1Outputheader 9 4 3 2" xfId="2739"/>
    <cellStyle name="1Outputheader 9 4 3 2 2" xfId="2740"/>
    <cellStyle name="1Outputheader 9 4 3 3" xfId="2741"/>
    <cellStyle name="1Outputheader 9 4 3 3 2" xfId="2742"/>
    <cellStyle name="1Outputheader 9 4 4" xfId="2743"/>
    <cellStyle name="1Outputheader 9 4 4 2" xfId="2744"/>
    <cellStyle name="1Outputheader 9 4 5" xfId="2745"/>
    <cellStyle name="1Outputheader 9 4 5 2" xfId="2746"/>
    <cellStyle name="1Outputheader 9 5" xfId="2747"/>
    <cellStyle name="1Outputheader 9 5 2" xfId="2748"/>
    <cellStyle name="1Outputheader 9 5 2 2" xfId="2749"/>
    <cellStyle name="1Outputheader 9 5 3" xfId="2750"/>
    <cellStyle name="1Outputheader 9 5 3 2" xfId="2751"/>
    <cellStyle name="1Outputheader 9 6" xfId="2752"/>
    <cellStyle name="1Outputheader 9 6 2" xfId="2753"/>
    <cellStyle name="1Outputheader 9 6 2 2" xfId="2754"/>
    <cellStyle name="1Outputheader 9 6 3" xfId="2755"/>
    <cellStyle name="1Outputheader 9 6 3 2" xfId="2756"/>
    <cellStyle name="1Outputheader 9 7" xfId="2757"/>
    <cellStyle name="1Outputheader 9 7 2" xfId="2758"/>
    <cellStyle name="1Outputheader 9 8" xfId="2759"/>
    <cellStyle name="1Outputheader 9 8 2" xfId="2760"/>
    <cellStyle name="1Outputheader2" xfId="2761"/>
    <cellStyle name="1Outputheader2 2" xfId="2762"/>
    <cellStyle name="1Outputheader2 3" xfId="2763"/>
    <cellStyle name="1Outputheader2 4" xfId="2764"/>
    <cellStyle name="1Outputsubtitle" xfId="2765"/>
    <cellStyle name="1Outputsubtitle 2" xfId="2766"/>
    <cellStyle name="1Outputsubtitle 3" xfId="2767"/>
    <cellStyle name="1Outputsubtitle 4" xfId="2768"/>
    <cellStyle name="1Outputtitle" xfId="2769"/>
    <cellStyle name="1Outputtitle 2" xfId="2770"/>
    <cellStyle name="1Outputtitle 3" xfId="2771"/>
    <cellStyle name="1Outputtitle 4" xfId="2772"/>
    <cellStyle name="1Profileheader" xfId="2773"/>
    <cellStyle name="1Profileheader 2" xfId="2774"/>
    <cellStyle name="1Profileheader 3" xfId="2775"/>
    <cellStyle name="1Profileheader 4" xfId="2776"/>
    <cellStyle name="1Profilelowerbox" xfId="2777"/>
    <cellStyle name="1Profilelowerbox 2" xfId="2778"/>
    <cellStyle name="1Profilelowerbox 3" xfId="2779"/>
    <cellStyle name="1Profilelowerbox 4" xfId="2780"/>
    <cellStyle name="1Profilesubheader" xfId="2781"/>
    <cellStyle name="1Profilesubheader 2" xfId="2782"/>
    <cellStyle name="1Profilesubheader 3" xfId="2783"/>
    <cellStyle name="1Profilesubheader 4" xfId="2784"/>
    <cellStyle name="1Profiletitle" xfId="2785"/>
    <cellStyle name="1Profiletitle 2" xfId="2786"/>
    <cellStyle name="1Profiletitle 3" xfId="2787"/>
    <cellStyle name="1Profiletitle 4" xfId="2788"/>
    <cellStyle name="1Profiletopbox" xfId="2789"/>
    <cellStyle name="1Profiletopbox 2" xfId="2790"/>
    <cellStyle name="1Profiletopbox 3" xfId="2791"/>
    <cellStyle name="1Profiletopbox 4" xfId="2792"/>
    <cellStyle name="20% - Accent1" xfId="2793"/>
    <cellStyle name="20% - Accent1 10" xfId="2794"/>
    <cellStyle name="20% - Accent1 11" xfId="2795"/>
    <cellStyle name="20% - Accent1 12" xfId="2796"/>
    <cellStyle name="20% - Accent1 13" xfId="2797"/>
    <cellStyle name="20% - Accent1 14" xfId="2798"/>
    <cellStyle name="20% - Accent1 15" xfId="2799"/>
    <cellStyle name="20% - Accent1 16" xfId="2800"/>
    <cellStyle name="20% - Accent1 17" xfId="2801"/>
    <cellStyle name="20% - Accent1 18" xfId="2802"/>
    <cellStyle name="20% - Accent1 19" xfId="2803"/>
    <cellStyle name="20% - Accent1 2" xfId="2804"/>
    <cellStyle name="20% - Accent1 20" xfId="2805"/>
    <cellStyle name="20% - Accent1 21" xfId="2806"/>
    <cellStyle name="20% - Accent1 22" xfId="2807"/>
    <cellStyle name="20% - Accent1 23" xfId="2808"/>
    <cellStyle name="20% - Accent1 24" xfId="2809"/>
    <cellStyle name="20% - Accent1 25" xfId="2810"/>
    <cellStyle name="20% - Accent1 26" xfId="2811"/>
    <cellStyle name="20% - Accent1 27" xfId="2812"/>
    <cellStyle name="20% - Accent1 28" xfId="2813"/>
    <cellStyle name="20% - Accent1 29" xfId="2814"/>
    <cellStyle name="20% - Accent1 3" xfId="2815"/>
    <cellStyle name="20% - Accent1 30" xfId="2816"/>
    <cellStyle name="20% - Accent1 31" xfId="2817"/>
    <cellStyle name="20% - Accent1 32" xfId="2818"/>
    <cellStyle name="20% - Accent1 33" xfId="2819"/>
    <cellStyle name="20% - Accent1 34" xfId="2820"/>
    <cellStyle name="20% - Accent1 35" xfId="2821"/>
    <cellStyle name="20% - Accent1 36" xfId="2822"/>
    <cellStyle name="20% - Accent1 37" xfId="2823"/>
    <cellStyle name="20% - Accent1 38" xfId="2824"/>
    <cellStyle name="20% - Accent1 4" xfId="2825"/>
    <cellStyle name="20% - Accent1 5" xfId="2826"/>
    <cellStyle name="20% - Accent1 6" xfId="2827"/>
    <cellStyle name="20% - Accent1 7" xfId="2828"/>
    <cellStyle name="20% - Accent1 8" xfId="2829"/>
    <cellStyle name="20% - Accent1 9" xfId="2830"/>
    <cellStyle name="20% - Accent2" xfId="2831"/>
    <cellStyle name="20% - Accent2 10" xfId="2832"/>
    <cellStyle name="20% - Accent2 11" xfId="2833"/>
    <cellStyle name="20% - Accent2 12" xfId="2834"/>
    <cellStyle name="20% - Accent2 13" xfId="2835"/>
    <cellStyle name="20% - Accent2 14" xfId="2836"/>
    <cellStyle name="20% - Accent2 15" xfId="2837"/>
    <cellStyle name="20% - Accent2 16" xfId="2838"/>
    <cellStyle name="20% - Accent2 17" xfId="2839"/>
    <cellStyle name="20% - Accent2 18" xfId="2840"/>
    <cellStyle name="20% - Accent2 19" xfId="2841"/>
    <cellStyle name="20% - Accent2 2" xfId="2842"/>
    <cellStyle name="20% - Accent2 20" xfId="2843"/>
    <cellStyle name="20% - Accent2 21" xfId="2844"/>
    <cellStyle name="20% - Accent2 22" xfId="2845"/>
    <cellStyle name="20% - Accent2 23" xfId="2846"/>
    <cellStyle name="20% - Accent2 24" xfId="2847"/>
    <cellStyle name="20% - Accent2 25" xfId="2848"/>
    <cellStyle name="20% - Accent2 26" xfId="2849"/>
    <cellStyle name="20% - Accent2 27" xfId="2850"/>
    <cellStyle name="20% - Accent2 28" xfId="2851"/>
    <cellStyle name="20% - Accent2 29" xfId="2852"/>
    <cellStyle name="20% - Accent2 3" xfId="2853"/>
    <cellStyle name="20% - Accent2 30" xfId="2854"/>
    <cellStyle name="20% - Accent2 31" xfId="2855"/>
    <cellStyle name="20% - Accent2 32" xfId="2856"/>
    <cellStyle name="20% - Accent2 33" xfId="2857"/>
    <cellStyle name="20% - Accent2 34" xfId="2858"/>
    <cellStyle name="20% - Accent2 35" xfId="2859"/>
    <cellStyle name="20% - Accent2 36" xfId="2860"/>
    <cellStyle name="20% - Accent2 37" xfId="2861"/>
    <cellStyle name="20% - Accent2 38" xfId="2862"/>
    <cellStyle name="20% - Accent2 4" xfId="2863"/>
    <cellStyle name="20% - Accent2 5" xfId="2864"/>
    <cellStyle name="20% - Accent2 6" xfId="2865"/>
    <cellStyle name="20% - Accent2 7" xfId="2866"/>
    <cellStyle name="20% - Accent2 8" xfId="2867"/>
    <cellStyle name="20% - Accent2 9" xfId="2868"/>
    <cellStyle name="20% - Accent3" xfId="2869"/>
    <cellStyle name="20% - Accent3 10" xfId="2870"/>
    <cellStyle name="20% - Accent3 11" xfId="2871"/>
    <cellStyle name="20% - Accent3 12" xfId="2872"/>
    <cellStyle name="20% - Accent3 13" xfId="2873"/>
    <cellStyle name="20% - Accent3 14" xfId="2874"/>
    <cellStyle name="20% - Accent3 15" xfId="2875"/>
    <cellStyle name="20% - Accent3 16" xfId="2876"/>
    <cellStyle name="20% - Accent3 17" xfId="2877"/>
    <cellStyle name="20% - Accent3 18" xfId="2878"/>
    <cellStyle name="20% - Accent3 19" xfId="2879"/>
    <cellStyle name="20% - Accent3 2" xfId="2880"/>
    <cellStyle name="20% - Accent3 20" xfId="2881"/>
    <cellStyle name="20% - Accent3 21" xfId="2882"/>
    <cellStyle name="20% - Accent3 22" xfId="2883"/>
    <cellStyle name="20% - Accent3 23" xfId="2884"/>
    <cellStyle name="20% - Accent3 24" xfId="2885"/>
    <cellStyle name="20% - Accent3 25" xfId="2886"/>
    <cellStyle name="20% - Accent3 26" xfId="2887"/>
    <cellStyle name="20% - Accent3 27" xfId="2888"/>
    <cellStyle name="20% - Accent3 28" xfId="2889"/>
    <cellStyle name="20% - Accent3 29" xfId="2890"/>
    <cellStyle name="20% - Accent3 3" xfId="2891"/>
    <cellStyle name="20% - Accent3 30" xfId="2892"/>
    <cellStyle name="20% - Accent3 31" xfId="2893"/>
    <cellStyle name="20% - Accent3 32" xfId="2894"/>
    <cellStyle name="20% - Accent3 33" xfId="2895"/>
    <cellStyle name="20% - Accent3 34" xfId="2896"/>
    <cellStyle name="20% - Accent3 35" xfId="2897"/>
    <cellStyle name="20% - Accent3 36" xfId="2898"/>
    <cellStyle name="20% - Accent3 37" xfId="2899"/>
    <cellStyle name="20% - Accent3 38" xfId="2900"/>
    <cellStyle name="20% - Accent3 4" xfId="2901"/>
    <cellStyle name="20% - Accent3 5" xfId="2902"/>
    <cellStyle name="20% - Accent3 6" xfId="2903"/>
    <cellStyle name="20% - Accent3 7" xfId="2904"/>
    <cellStyle name="20% - Accent3 8" xfId="2905"/>
    <cellStyle name="20% - Accent3 9" xfId="2906"/>
    <cellStyle name="20% - Accent4" xfId="2907"/>
    <cellStyle name="20% - Accent4 10" xfId="2908"/>
    <cellStyle name="20% - Accent4 11" xfId="2909"/>
    <cellStyle name="20% - Accent4 12" xfId="2910"/>
    <cellStyle name="20% - Accent4 13" xfId="2911"/>
    <cellStyle name="20% - Accent4 14" xfId="2912"/>
    <cellStyle name="20% - Accent4 15" xfId="2913"/>
    <cellStyle name="20% - Accent4 16" xfId="2914"/>
    <cellStyle name="20% - Accent4 17" xfId="2915"/>
    <cellStyle name="20% - Accent4 18" xfId="2916"/>
    <cellStyle name="20% - Accent4 19" xfId="2917"/>
    <cellStyle name="20% - Accent4 2" xfId="2918"/>
    <cellStyle name="20% - Accent4 20" xfId="2919"/>
    <cellStyle name="20% - Accent4 21" xfId="2920"/>
    <cellStyle name="20% - Accent4 22" xfId="2921"/>
    <cellStyle name="20% - Accent4 23" xfId="2922"/>
    <cellStyle name="20% - Accent4 24" xfId="2923"/>
    <cellStyle name="20% - Accent4 25" xfId="2924"/>
    <cellStyle name="20% - Accent4 26" xfId="2925"/>
    <cellStyle name="20% - Accent4 27" xfId="2926"/>
    <cellStyle name="20% - Accent4 28" xfId="2927"/>
    <cellStyle name="20% - Accent4 29" xfId="2928"/>
    <cellStyle name="20% - Accent4 3" xfId="2929"/>
    <cellStyle name="20% - Accent4 30" xfId="2930"/>
    <cellStyle name="20% - Accent4 31" xfId="2931"/>
    <cellStyle name="20% - Accent4 32" xfId="2932"/>
    <cellStyle name="20% - Accent4 33" xfId="2933"/>
    <cellStyle name="20% - Accent4 34" xfId="2934"/>
    <cellStyle name="20% - Accent4 35" xfId="2935"/>
    <cellStyle name="20% - Accent4 36" xfId="2936"/>
    <cellStyle name="20% - Accent4 37" xfId="2937"/>
    <cellStyle name="20% - Accent4 38" xfId="2938"/>
    <cellStyle name="20% - Accent4 4" xfId="2939"/>
    <cellStyle name="20% - Accent4 5" xfId="2940"/>
    <cellStyle name="20% - Accent4 6" xfId="2941"/>
    <cellStyle name="20% - Accent4 7" xfId="2942"/>
    <cellStyle name="20% - Accent4 8" xfId="2943"/>
    <cellStyle name="20% - Accent4 9" xfId="2944"/>
    <cellStyle name="20% - Accent5" xfId="2945"/>
    <cellStyle name="20% - Accent5 10" xfId="2946"/>
    <cellStyle name="20% - Accent5 11" xfId="2947"/>
    <cellStyle name="20% - Accent5 12" xfId="2948"/>
    <cellStyle name="20% - Accent5 13" xfId="2949"/>
    <cellStyle name="20% - Accent5 14" xfId="2950"/>
    <cellStyle name="20% - Accent5 15" xfId="2951"/>
    <cellStyle name="20% - Accent5 16" xfId="2952"/>
    <cellStyle name="20% - Accent5 17" xfId="2953"/>
    <cellStyle name="20% - Accent5 18" xfId="2954"/>
    <cellStyle name="20% - Accent5 19" xfId="2955"/>
    <cellStyle name="20% - Accent5 2" xfId="2956"/>
    <cellStyle name="20% - Accent5 20" xfId="2957"/>
    <cellStyle name="20% - Accent5 21" xfId="2958"/>
    <cellStyle name="20% - Accent5 22" xfId="2959"/>
    <cellStyle name="20% - Accent5 23" xfId="2960"/>
    <cellStyle name="20% - Accent5 24" xfId="2961"/>
    <cellStyle name="20% - Accent5 25" xfId="2962"/>
    <cellStyle name="20% - Accent5 26" xfId="2963"/>
    <cellStyle name="20% - Accent5 27" xfId="2964"/>
    <cellStyle name="20% - Accent5 28" xfId="2965"/>
    <cellStyle name="20% - Accent5 29" xfId="2966"/>
    <cellStyle name="20% - Accent5 3" xfId="2967"/>
    <cellStyle name="20% - Accent5 30" xfId="2968"/>
    <cellStyle name="20% - Accent5 31" xfId="2969"/>
    <cellStyle name="20% - Accent5 32" xfId="2970"/>
    <cellStyle name="20% - Accent5 33" xfId="2971"/>
    <cellStyle name="20% - Accent5 34" xfId="2972"/>
    <cellStyle name="20% - Accent5 35" xfId="2973"/>
    <cellStyle name="20% - Accent5 36" xfId="2974"/>
    <cellStyle name="20% - Accent5 37" xfId="2975"/>
    <cellStyle name="20% - Accent5 38" xfId="2976"/>
    <cellStyle name="20% - Accent5 4" xfId="2977"/>
    <cellStyle name="20% - Accent5 5" xfId="2978"/>
    <cellStyle name="20% - Accent5 6" xfId="2979"/>
    <cellStyle name="20% - Accent5 7" xfId="2980"/>
    <cellStyle name="20% - Accent5 8" xfId="2981"/>
    <cellStyle name="20% - Accent5 9" xfId="2982"/>
    <cellStyle name="20% - Accent6" xfId="2983"/>
    <cellStyle name="20% - Accent6 10" xfId="2984"/>
    <cellStyle name="20% - Accent6 10 2" xfId="2985"/>
    <cellStyle name="20% - Accent6 11" xfId="2986"/>
    <cellStyle name="20% - Accent6 11 2" xfId="2987"/>
    <cellStyle name="20% - Accent6 12" xfId="2988"/>
    <cellStyle name="20% - Accent6 13" xfId="2989"/>
    <cellStyle name="20% - Accent6 14" xfId="2990"/>
    <cellStyle name="20% - Accent6 15" xfId="2991"/>
    <cellStyle name="20% - Accent6 16" xfId="2992"/>
    <cellStyle name="20% - Accent6 17" xfId="2993"/>
    <cellStyle name="20% - Accent6 18" xfId="2994"/>
    <cellStyle name="20% - Accent6 19" xfId="2995"/>
    <cellStyle name="20% - Accent6 2" xfId="2996"/>
    <cellStyle name="20% - Accent6 2 2" xfId="2997"/>
    <cellStyle name="20% - Accent6 20" xfId="2998"/>
    <cellStyle name="20% - Accent6 21" xfId="2999"/>
    <cellStyle name="20% - Accent6 22" xfId="3000"/>
    <cellStyle name="20% - Accent6 23" xfId="3001"/>
    <cellStyle name="20% - Accent6 24" xfId="3002"/>
    <cellStyle name="20% - Accent6 25" xfId="3003"/>
    <cellStyle name="20% - Accent6 26" xfId="3004"/>
    <cellStyle name="20% - Accent6 27" xfId="3005"/>
    <cellStyle name="20% - Accent6 28" xfId="3006"/>
    <cellStyle name="20% - Accent6 29" xfId="3007"/>
    <cellStyle name="20% - Accent6 3" xfId="3008"/>
    <cellStyle name="20% - Accent6 3 2" xfId="3009"/>
    <cellStyle name="20% - Accent6 3 2 2" xfId="3010"/>
    <cellStyle name="20% - Accent6 3 2 2 2" xfId="3011"/>
    <cellStyle name="20% - Accent6 3 2 3" xfId="3012"/>
    <cellStyle name="20% - Accent6 3 3" xfId="3013"/>
    <cellStyle name="20% - Accent6 3 3 2" xfId="3014"/>
    <cellStyle name="20% - Accent6 3 3 2 2" xfId="3015"/>
    <cellStyle name="20% - Accent6 3 3 3" xfId="3016"/>
    <cellStyle name="20% - Accent6 3 4" xfId="3017"/>
    <cellStyle name="20% - Accent6 30" xfId="3018"/>
    <cellStyle name="20% - Accent6 31" xfId="3019"/>
    <cellStyle name="20% - Accent6 32" xfId="3020"/>
    <cellStyle name="20% - Accent6 33" xfId="3021"/>
    <cellStyle name="20% - Accent6 34" xfId="3022"/>
    <cellStyle name="20% - Accent6 35" xfId="3023"/>
    <cellStyle name="20% - Accent6 36" xfId="3024"/>
    <cellStyle name="20% - Accent6 37" xfId="3025"/>
    <cellStyle name="20% - Accent6 38" xfId="3026"/>
    <cellStyle name="20% - Accent6 39" xfId="3027"/>
    <cellStyle name="20% - Accent6 4" xfId="3028"/>
    <cellStyle name="20% - Accent6 4 2" xfId="3029"/>
    <cellStyle name="20% - Accent6 4 2 2" xfId="3030"/>
    <cellStyle name="20% - Accent6 4 2 2 2" xfId="3031"/>
    <cellStyle name="20% - Accent6 4 2 3" xfId="3032"/>
    <cellStyle name="20% - Accent6 4 3" xfId="3033"/>
    <cellStyle name="20% - Accent6 4 3 2" xfId="3034"/>
    <cellStyle name="20% - Accent6 4 4" xfId="3035"/>
    <cellStyle name="20% - Accent6 4 4 2" xfId="3036"/>
    <cellStyle name="20% - Accent6 4 5" xfId="3037"/>
    <cellStyle name="20% - Accent6 4 6" xfId="3038"/>
    <cellStyle name="20% - Accent6 4 6 2" xfId="3039"/>
    <cellStyle name="20% - Accent6 40" xfId="3040"/>
    <cellStyle name="20% - Accent6 41" xfId="3041"/>
    <cellStyle name="20% - Accent6 41 2" xfId="3042"/>
    <cellStyle name="20% - Accent6 41 2 2" xfId="3043"/>
    <cellStyle name="20% - Accent6 42" xfId="3044"/>
    <cellStyle name="20% - Accent6 5" xfId="3045"/>
    <cellStyle name="20% - Accent6 5 2" xfId="3046"/>
    <cellStyle name="20% - Accent6 5 2 2" xfId="3047"/>
    <cellStyle name="20% - Accent6 5 2 2 2" xfId="3048"/>
    <cellStyle name="20% - Accent6 5 2 3" xfId="3049"/>
    <cellStyle name="20% - Accent6 5 3" xfId="3050"/>
    <cellStyle name="20% - Accent6 5 3 2" xfId="3051"/>
    <cellStyle name="20% - Accent6 5 3 2 2" xfId="3052"/>
    <cellStyle name="20% - Accent6 5 3 3" xfId="3053"/>
    <cellStyle name="20% - Accent6 5 4" xfId="3054"/>
    <cellStyle name="20% - Accent6 5 4 2" xfId="3055"/>
    <cellStyle name="20% - Accent6 5 4 2 2" xfId="3056"/>
    <cellStyle name="20% - Accent6 5 4 3" xfId="3057"/>
    <cellStyle name="20% - Accent6 5 5" xfId="3058"/>
    <cellStyle name="20% - Accent6 5 6" xfId="3059"/>
    <cellStyle name="20% - Accent6 5 7" xfId="3060"/>
    <cellStyle name="20% - Accent6 6" xfId="3061"/>
    <cellStyle name="20% - Accent6 6 2" xfId="3062"/>
    <cellStyle name="20% - Accent6 6 2 2" xfId="3063"/>
    <cellStyle name="20% - Accent6 6 3" xfId="3064"/>
    <cellStyle name="20% - Accent6 6 3 2" xfId="3065"/>
    <cellStyle name="20% - Accent6 6 4" xfId="3066"/>
    <cellStyle name="20% - Accent6 7" xfId="3067"/>
    <cellStyle name="20% - Accent6 7 2" xfId="3068"/>
    <cellStyle name="20% - Accent6 7 2 2" xfId="3069"/>
    <cellStyle name="20% - Accent6 7 3" xfId="3070"/>
    <cellStyle name="20% - Accent6 8" xfId="3071"/>
    <cellStyle name="20% - Accent6 8 2" xfId="3072"/>
    <cellStyle name="20% - Accent6 8 2 2" xfId="3073"/>
    <cellStyle name="20% - Accent6 8 3" xfId="3074"/>
    <cellStyle name="20% - Accent6 9" xfId="3075"/>
    <cellStyle name="20% - Accent6 9 2" xfId="3076"/>
    <cellStyle name="20% - Accent6 9 2 2" xfId="3077"/>
    <cellStyle name="20% - Accent6 9 3" xfId="3078"/>
    <cellStyle name="20% - Акцент1 10" xfId="3079"/>
    <cellStyle name="20% - Акцент1 100" xfId="3080"/>
    <cellStyle name="20% - Акцент1 100 2" xfId="3081"/>
    <cellStyle name="20% - Акцент1 101" xfId="3082"/>
    <cellStyle name="20% - Акцент1 101 2" xfId="3083"/>
    <cellStyle name="20% - Акцент1 102" xfId="3084"/>
    <cellStyle name="20% - Акцент1 102 2" xfId="3085"/>
    <cellStyle name="20% - Акцент1 103" xfId="3086"/>
    <cellStyle name="20% - Акцент1 103 2" xfId="3087"/>
    <cellStyle name="20% - Акцент1 104" xfId="3088"/>
    <cellStyle name="20% - Акцент1 104 2" xfId="3089"/>
    <cellStyle name="20% - Акцент1 105" xfId="3090"/>
    <cellStyle name="20% - Акцент1 105 2" xfId="3091"/>
    <cellStyle name="20% - Акцент1 106" xfId="3092"/>
    <cellStyle name="20% - Акцент1 106 2" xfId="3093"/>
    <cellStyle name="20% - Акцент1 107" xfId="3094"/>
    <cellStyle name="20% - Акцент1 107 2" xfId="3095"/>
    <cellStyle name="20% - Акцент1 108" xfId="3096"/>
    <cellStyle name="20% - Акцент1 108 2" xfId="3097"/>
    <cellStyle name="20% - Акцент1 109" xfId="3098"/>
    <cellStyle name="20% - Акцент1 109 2" xfId="3099"/>
    <cellStyle name="20% - Акцент1 11" xfId="3100"/>
    <cellStyle name="20% - Акцент1 110" xfId="3101"/>
    <cellStyle name="20% - Акцент1 110 2" xfId="3102"/>
    <cellStyle name="20% - Акцент1 111" xfId="3103"/>
    <cellStyle name="20% - Акцент1 111 2" xfId="3104"/>
    <cellStyle name="20% - Акцент1 112" xfId="3105"/>
    <cellStyle name="20% - Акцент1 112 2" xfId="3106"/>
    <cellStyle name="20% - Акцент1 113" xfId="3107"/>
    <cellStyle name="20% - Акцент1 113 2" xfId="3108"/>
    <cellStyle name="20% - Акцент1 114" xfId="3109"/>
    <cellStyle name="20% - Акцент1 114 2" xfId="3110"/>
    <cellStyle name="20% - Акцент1 115" xfId="3111"/>
    <cellStyle name="20% - Акцент1 115 2" xfId="3112"/>
    <cellStyle name="20% - Акцент1 116" xfId="3113"/>
    <cellStyle name="20% - Акцент1 116 2" xfId="3114"/>
    <cellStyle name="20% - Акцент1 117" xfId="3115"/>
    <cellStyle name="20% - Акцент1 117 2" xfId="3116"/>
    <cellStyle name="20% - Акцент1 118" xfId="3117"/>
    <cellStyle name="20% - Акцент1 118 2" xfId="3118"/>
    <cellStyle name="20% - Акцент1 119" xfId="3119"/>
    <cellStyle name="20% - Акцент1 119 2" xfId="3120"/>
    <cellStyle name="20% - Акцент1 12" xfId="3121"/>
    <cellStyle name="20% - Акцент1 120" xfId="3122"/>
    <cellStyle name="20% - Акцент1 120 2" xfId="3123"/>
    <cellStyle name="20% - Акцент1 121" xfId="3124"/>
    <cellStyle name="20% - Акцент1 121 2" xfId="3125"/>
    <cellStyle name="20% - Акцент1 122" xfId="3126"/>
    <cellStyle name="20% - Акцент1 122 2" xfId="3127"/>
    <cellStyle name="20% - Акцент1 123" xfId="3128"/>
    <cellStyle name="20% - Акцент1 123 2" xfId="3129"/>
    <cellStyle name="20% - Акцент1 124" xfId="3130"/>
    <cellStyle name="20% - Акцент1 124 2" xfId="3131"/>
    <cellStyle name="20% - Акцент1 125" xfId="3132"/>
    <cellStyle name="20% - Акцент1 125 2" xfId="3133"/>
    <cellStyle name="20% - Акцент1 126" xfId="3134"/>
    <cellStyle name="20% - Акцент1 126 2" xfId="3135"/>
    <cellStyle name="20% - Акцент1 127" xfId="3136"/>
    <cellStyle name="20% - Акцент1 127 2" xfId="3137"/>
    <cellStyle name="20% - Акцент1 128" xfId="3138"/>
    <cellStyle name="20% - Акцент1 128 2" xfId="3139"/>
    <cellStyle name="20% - Акцент1 129" xfId="3140"/>
    <cellStyle name="20% - Акцент1 129 2" xfId="3141"/>
    <cellStyle name="20% - Акцент1 13" xfId="3142"/>
    <cellStyle name="20% - Акцент1 130" xfId="3143"/>
    <cellStyle name="20% - Акцент1 130 2" xfId="3144"/>
    <cellStyle name="20% - Акцент1 131" xfId="3145"/>
    <cellStyle name="20% - Акцент1 131 2" xfId="3146"/>
    <cellStyle name="20% - Акцент1 132" xfId="3147"/>
    <cellStyle name="20% - Акцент1 132 2" xfId="3148"/>
    <cellStyle name="20% - Акцент1 133" xfId="3149"/>
    <cellStyle name="20% - Акцент1 133 2" xfId="3150"/>
    <cellStyle name="20% - Акцент1 134" xfId="3151"/>
    <cellStyle name="20% - Акцент1 134 2" xfId="3152"/>
    <cellStyle name="20% - Акцент1 135" xfId="3153"/>
    <cellStyle name="20% - Акцент1 135 2" xfId="3154"/>
    <cellStyle name="20% - Акцент1 136" xfId="3155"/>
    <cellStyle name="20% - Акцент1 136 2" xfId="3156"/>
    <cellStyle name="20% - Акцент1 137" xfId="3157"/>
    <cellStyle name="20% - Акцент1 137 2" xfId="3158"/>
    <cellStyle name="20% - Акцент1 138" xfId="3159"/>
    <cellStyle name="20% - Акцент1 138 2" xfId="3160"/>
    <cellStyle name="20% - Акцент1 139" xfId="3161"/>
    <cellStyle name="20% - Акцент1 139 2" xfId="3162"/>
    <cellStyle name="20% - Акцент1 14" xfId="3163"/>
    <cellStyle name="20% - Акцент1 140" xfId="3164"/>
    <cellStyle name="20% - Акцент1 140 2" xfId="3165"/>
    <cellStyle name="20% - Акцент1 141" xfId="3166"/>
    <cellStyle name="20% - Акцент1 141 2" xfId="3167"/>
    <cellStyle name="20% - Акцент1 142" xfId="3168"/>
    <cellStyle name="20% - Акцент1 142 2" xfId="3169"/>
    <cellStyle name="20% - Акцент1 143" xfId="3170"/>
    <cellStyle name="20% - Акцент1 143 2" xfId="3171"/>
    <cellStyle name="20% - Акцент1 144" xfId="3172"/>
    <cellStyle name="20% - Акцент1 144 2" xfId="3173"/>
    <cellStyle name="20% - Акцент1 145" xfId="3174"/>
    <cellStyle name="20% - Акцент1 145 2" xfId="3175"/>
    <cellStyle name="20% - Акцент1 146" xfId="3176"/>
    <cellStyle name="20% - Акцент1 146 2" xfId="3177"/>
    <cellStyle name="20% - Акцент1 147" xfId="3178"/>
    <cellStyle name="20% - Акцент1 147 2" xfId="3179"/>
    <cellStyle name="20% - Акцент1 148" xfId="3180"/>
    <cellStyle name="20% - Акцент1 148 2" xfId="3181"/>
    <cellStyle name="20% - Акцент1 149" xfId="3182"/>
    <cellStyle name="20% - Акцент1 149 2" xfId="3183"/>
    <cellStyle name="20% - Акцент1 15" xfId="3184"/>
    <cellStyle name="20% - Акцент1 150" xfId="3185"/>
    <cellStyle name="20% - Акцент1 150 2" xfId="3186"/>
    <cellStyle name="20% - Акцент1 151" xfId="3187"/>
    <cellStyle name="20% - Акцент1 151 2" xfId="3188"/>
    <cellStyle name="20% - Акцент1 152" xfId="3189"/>
    <cellStyle name="20% - Акцент1 152 2" xfId="3190"/>
    <cellStyle name="20% - Акцент1 153" xfId="3191"/>
    <cellStyle name="20% - Акцент1 153 2" xfId="3192"/>
    <cellStyle name="20% - Акцент1 154" xfId="3193"/>
    <cellStyle name="20% - Акцент1 154 2" xfId="3194"/>
    <cellStyle name="20% - Акцент1 155" xfId="3195"/>
    <cellStyle name="20% - Акцент1 155 2" xfId="3196"/>
    <cellStyle name="20% - Акцент1 156" xfId="3197"/>
    <cellStyle name="20% - Акцент1 156 2" xfId="3198"/>
    <cellStyle name="20% - Акцент1 157" xfId="3199"/>
    <cellStyle name="20% - Акцент1 157 2" xfId="3200"/>
    <cellStyle name="20% - Акцент1 158" xfId="3201"/>
    <cellStyle name="20% - Акцент1 158 2" xfId="3202"/>
    <cellStyle name="20% - Акцент1 159" xfId="3203"/>
    <cellStyle name="20% - Акцент1 159 2" xfId="3204"/>
    <cellStyle name="20% - Акцент1 16" xfId="3205"/>
    <cellStyle name="20% - Акцент1 160" xfId="3206"/>
    <cellStyle name="20% - Акцент1 160 2" xfId="3207"/>
    <cellStyle name="20% - Акцент1 161" xfId="3208"/>
    <cellStyle name="20% - Акцент1 161 2" xfId="3209"/>
    <cellStyle name="20% - Акцент1 162" xfId="3210"/>
    <cellStyle name="20% - Акцент1 162 2" xfId="3211"/>
    <cellStyle name="20% - Акцент1 163" xfId="3212"/>
    <cellStyle name="20% - Акцент1 163 2" xfId="3213"/>
    <cellStyle name="20% - Акцент1 164" xfId="3214"/>
    <cellStyle name="20% - Акцент1 164 2" xfId="3215"/>
    <cellStyle name="20% - Акцент1 165" xfId="3216"/>
    <cellStyle name="20% - Акцент1 165 2" xfId="3217"/>
    <cellStyle name="20% - Акцент1 166" xfId="3218"/>
    <cellStyle name="20% - Акцент1 166 2" xfId="3219"/>
    <cellStyle name="20% - Акцент1 167" xfId="3220"/>
    <cellStyle name="20% - Акцент1 167 2" xfId="3221"/>
    <cellStyle name="20% - Акцент1 168" xfId="3222"/>
    <cellStyle name="20% - Акцент1 168 2" xfId="3223"/>
    <cellStyle name="20% - Акцент1 169" xfId="3224"/>
    <cellStyle name="20% - Акцент1 169 2" xfId="3225"/>
    <cellStyle name="20% - Акцент1 17" xfId="3226"/>
    <cellStyle name="20% - Акцент1 170" xfId="3227"/>
    <cellStyle name="20% - Акцент1 170 2" xfId="3228"/>
    <cellStyle name="20% - Акцент1 171" xfId="3229"/>
    <cellStyle name="20% - Акцент1 171 2" xfId="3230"/>
    <cellStyle name="20% - Акцент1 172" xfId="3231"/>
    <cellStyle name="20% - Акцент1 172 2" xfId="3232"/>
    <cellStyle name="20% - Акцент1 173" xfId="3233"/>
    <cellStyle name="20% - Акцент1 173 2" xfId="3234"/>
    <cellStyle name="20% - Акцент1 174" xfId="3235"/>
    <cellStyle name="20% - Акцент1 174 2" xfId="3236"/>
    <cellStyle name="20% - Акцент1 175" xfId="3237"/>
    <cellStyle name="20% - Акцент1 175 2" xfId="3238"/>
    <cellStyle name="20% - Акцент1 176" xfId="3239"/>
    <cellStyle name="20% - Акцент1 176 2" xfId="3240"/>
    <cellStyle name="20% - Акцент1 177" xfId="3241"/>
    <cellStyle name="20% - Акцент1 177 2" xfId="3242"/>
    <cellStyle name="20% - Акцент1 178" xfId="3243"/>
    <cellStyle name="20% - Акцент1 178 2" xfId="3244"/>
    <cellStyle name="20% - Акцент1 179" xfId="3245"/>
    <cellStyle name="20% - Акцент1 179 2" xfId="3246"/>
    <cellStyle name="20% - Акцент1 18" xfId="3247"/>
    <cellStyle name="20% - Акцент1 180" xfId="3248"/>
    <cellStyle name="20% - Акцент1 180 2" xfId="3249"/>
    <cellStyle name="20% - Акцент1 181" xfId="3250"/>
    <cellStyle name="20% - Акцент1 181 2" xfId="3251"/>
    <cellStyle name="20% - Акцент1 182" xfId="3252"/>
    <cellStyle name="20% - Акцент1 182 2" xfId="3253"/>
    <cellStyle name="20% - Акцент1 183" xfId="3254"/>
    <cellStyle name="20% - Акцент1 183 2" xfId="3255"/>
    <cellStyle name="20% - Акцент1 184" xfId="3256"/>
    <cellStyle name="20% - Акцент1 184 2" xfId="3257"/>
    <cellStyle name="20% - Акцент1 185" xfId="3258"/>
    <cellStyle name="20% - Акцент1 185 2" xfId="3259"/>
    <cellStyle name="20% - Акцент1 186" xfId="3260"/>
    <cellStyle name="20% - Акцент1 186 2" xfId="3261"/>
    <cellStyle name="20% - Акцент1 187" xfId="3262"/>
    <cellStyle name="20% - Акцент1 187 2" xfId="3263"/>
    <cellStyle name="20% - Акцент1 188" xfId="3264"/>
    <cellStyle name="20% - Акцент1 188 2" xfId="3265"/>
    <cellStyle name="20% - Акцент1 189" xfId="3266"/>
    <cellStyle name="20% - Акцент1 189 2" xfId="3267"/>
    <cellStyle name="20% - Акцент1 19" xfId="3268"/>
    <cellStyle name="20% - Акцент1 190" xfId="3269"/>
    <cellStyle name="20% - Акцент1 190 2" xfId="3270"/>
    <cellStyle name="20% - Акцент1 191" xfId="3271"/>
    <cellStyle name="20% - Акцент1 191 2" xfId="3272"/>
    <cellStyle name="20% - Акцент1 192" xfId="3273"/>
    <cellStyle name="20% - Акцент1 192 2" xfId="3274"/>
    <cellStyle name="20% - Акцент1 193" xfId="3275"/>
    <cellStyle name="20% - Акцент1 193 2" xfId="3276"/>
    <cellStyle name="20% - Акцент1 194" xfId="3277"/>
    <cellStyle name="20% - Акцент1 194 2" xfId="3278"/>
    <cellStyle name="20% - Акцент1 195" xfId="3279"/>
    <cellStyle name="20% - Акцент1 195 2" xfId="3280"/>
    <cellStyle name="20% - Акцент1 196" xfId="3281"/>
    <cellStyle name="20% - Акцент1 196 2" xfId="3282"/>
    <cellStyle name="20% - Акцент1 197" xfId="3283"/>
    <cellStyle name="20% - Акцент1 197 2" xfId="3284"/>
    <cellStyle name="20% - Акцент1 198" xfId="3285"/>
    <cellStyle name="20% - Акцент1 198 2" xfId="3286"/>
    <cellStyle name="20% - Акцент1 199" xfId="3287"/>
    <cellStyle name="20% - Акцент1 199 2" xfId="3288"/>
    <cellStyle name="20% - Акцент1 2" xfId="3289"/>
    <cellStyle name="20% - Акцент1 2 2" xfId="3290"/>
    <cellStyle name="20% - Акцент1 2 2 2" xfId="3291"/>
    <cellStyle name="20% - Акцент1 2 3" xfId="3292"/>
    <cellStyle name="20% - Акцент1 2 4" xfId="3293"/>
    <cellStyle name="20% - Акцент1 2 5" xfId="3294"/>
    <cellStyle name="20% - Акцент1 2 6" xfId="3295"/>
    <cellStyle name="20% - Акцент1 2 7" xfId="3296"/>
    <cellStyle name="20% - Акцент1 20" xfId="3297"/>
    <cellStyle name="20% - Акцент1 20 2" xfId="3298"/>
    <cellStyle name="20% - Акцент1 200" xfId="3299"/>
    <cellStyle name="20% - Акцент1 200 2" xfId="3300"/>
    <cellStyle name="20% - Акцент1 201" xfId="3301"/>
    <cellStyle name="20% - Акцент1 201 2" xfId="3302"/>
    <cellStyle name="20% - Акцент1 202" xfId="3303"/>
    <cellStyle name="20% - Акцент1 202 2" xfId="3304"/>
    <cellStyle name="20% - Акцент1 203" xfId="3305"/>
    <cellStyle name="20% - Акцент1 203 2" xfId="3306"/>
    <cellStyle name="20% - Акцент1 204" xfId="3307"/>
    <cellStyle name="20% - Акцент1 204 2" xfId="3308"/>
    <cellStyle name="20% - Акцент1 205" xfId="3309"/>
    <cellStyle name="20% - Акцент1 205 2" xfId="3310"/>
    <cellStyle name="20% - Акцент1 206" xfId="3311"/>
    <cellStyle name="20% - Акцент1 206 2" xfId="3312"/>
    <cellStyle name="20% - Акцент1 207" xfId="3313"/>
    <cellStyle name="20% - Акцент1 207 2" xfId="3314"/>
    <cellStyle name="20% - Акцент1 208" xfId="3315"/>
    <cellStyle name="20% - Акцент1 208 2" xfId="3316"/>
    <cellStyle name="20% - Акцент1 209" xfId="3317"/>
    <cellStyle name="20% - Акцент1 209 2" xfId="3318"/>
    <cellStyle name="20% - Акцент1 21" xfId="3319"/>
    <cellStyle name="20% - Акцент1 21 2" xfId="3320"/>
    <cellStyle name="20% - Акцент1 210" xfId="3321"/>
    <cellStyle name="20% - Акцент1 210 2" xfId="3322"/>
    <cellStyle name="20% - Акцент1 211" xfId="3323"/>
    <cellStyle name="20% - Акцент1 211 2" xfId="3324"/>
    <cellStyle name="20% - Акцент1 212" xfId="3325"/>
    <cellStyle name="20% - Акцент1 212 2" xfId="3326"/>
    <cellStyle name="20% - Акцент1 213" xfId="3327"/>
    <cellStyle name="20% - Акцент1 213 2" xfId="3328"/>
    <cellStyle name="20% - Акцент1 214" xfId="3329"/>
    <cellStyle name="20% - Акцент1 214 2" xfId="3330"/>
    <cellStyle name="20% - Акцент1 215" xfId="3331"/>
    <cellStyle name="20% - Акцент1 215 2" xfId="3332"/>
    <cellStyle name="20% - Акцент1 216" xfId="3333"/>
    <cellStyle name="20% - Акцент1 216 2" xfId="3334"/>
    <cellStyle name="20% - Акцент1 217" xfId="3335"/>
    <cellStyle name="20% - Акцент1 217 2" xfId="3336"/>
    <cellStyle name="20% - Акцент1 217 3" xfId="3337"/>
    <cellStyle name="20% - Акцент1 218" xfId="3338"/>
    <cellStyle name="20% - Акцент1 219" xfId="3339"/>
    <cellStyle name="20% - Акцент1 22" xfId="3340"/>
    <cellStyle name="20% - Акцент1 22 2" xfId="3341"/>
    <cellStyle name="20% - Акцент1 220" xfId="3342"/>
    <cellStyle name="20% - Акцент1 221" xfId="3343"/>
    <cellStyle name="20% - Акцент1 222" xfId="3344"/>
    <cellStyle name="20% - Акцент1 223" xfId="3345"/>
    <cellStyle name="20% - Акцент1 224" xfId="3346"/>
    <cellStyle name="20% - Акцент1 225" xfId="3347"/>
    <cellStyle name="20% - Акцент1 226" xfId="3348"/>
    <cellStyle name="20% - Акцент1 227" xfId="3349"/>
    <cellStyle name="20% - Акцент1 228" xfId="3350"/>
    <cellStyle name="20% - Акцент1 229" xfId="3351"/>
    <cellStyle name="20% - Акцент1 23" xfId="3352"/>
    <cellStyle name="20% - Акцент1 23 2" xfId="3353"/>
    <cellStyle name="20% - Акцент1 230" xfId="3354"/>
    <cellStyle name="20% - Акцент1 231" xfId="3355"/>
    <cellStyle name="20% - Акцент1 232" xfId="3356"/>
    <cellStyle name="20% - Акцент1 233" xfId="3357"/>
    <cellStyle name="20% - Акцент1 234" xfId="3358"/>
    <cellStyle name="20% - Акцент1 235" xfId="3359"/>
    <cellStyle name="20% - Акцент1 236" xfId="3360"/>
    <cellStyle name="20% - Акцент1 237" xfId="3361"/>
    <cellStyle name="20% - Акцент1 238" xfId="3362"/>
    <cellStyle name="20% - Акцент1 239" xfId="3363"/>
    <cellStyle name="20% - Акцент1 24" xfId="3364"/>
    <cellStyle name="20% - Акцент1 24 2" xfId="3365"/>
    <cellStyle name="20% - Акцент1 240" xfId="3366"/>
    <cellStyle name="20% - Акцент1 241" xfId="3367"/>
    <cellStyle name="20% - Акцент1 242" xfId="3368"/>
    <cellStyle name="20% - Акцент1 243" xfId="3369"/>
    <cellStyle name="20% - Акцент1 244" xfId="3370"/>
    <cellStyle name="20% - Акцент1 245" xfId="3371"/>
    <cellStyle name="20% - Акцент1 246" xfId="3372"/>
    <cellStyle name="20% - Акцент1 247" xfId="3373"/>
    <cellStyle name="20% - Акцент1 248" xfId="3374"/>
    <cellStyle name="20% - Акцент1 249" xfId="3375"/>
    <cellStyle name="20% - Акцент1 25" xfId="3376"/>
    <cellStyle name="20% - Акцент1 25 2" xfId="3377"/>
    <cellStyle name="20% - Акцент1 250" xfId="3378"/>
    <cellStyle name="20% - Акцент1 251" xfId="3379"/>
    <cellStyle name="20% - Акцент1 252" xfId="3380"/>
    <cellStyle name="20% - Акцент1 253" xfId="3381"/>
    <cellStyle name="20% - Акцент1 254" xfId="3382"/>
    <cellStyle name="20% - Акцент1 255" xfId="3383"/>
    <cellStyle name="20% - Акцент1 26" xfId="3384"/>
    <cellStyle name="20% - Акцент1 26 2" xfId="3385"/>
    <cellStyle name="20% - Акцент1 27" xfId="3386"/>
    <cellStyle name="20% - Акцент1 27 2" xfId="3387"/>
    <cellStyle name="20% - Акцент1 28" xfId="3388"/>
    <cellStyle name="20% - Акцент1 28 2" xfId="3389"/>
    <cellStyle name="20% - Акцент1 29" xfId="3390"/>
    <cellStyle name="20% - Акцент1 29 2" xfId="3391"/>
    <cellStyle name="20% - Акцент1 3" xfId="3392"/>
    <cellStyle name="20% - Акцент1 30" xfId="3393"/>
    <cellStyle name="20% - Акцент1 30 2" xfId="3394"/>
    <cellStyle name="20% - Акцент1 31" xfId="3395"/>
    <cellStyle name="20% - Акцент1 31 2" xfId="3396"/>
    <cellStyle name="20% - Акцент1 32" xfId="3397"/>
    <cellStyle name="20% - Акцент1 32 2" xfId="3398"/>
    <cellStyle name="20% - Акцент1 33" xfId="3399"/>
    <cellStyle name="20% - Акцент1 33 2" xfId="3400"/>
    <cellStyle name="20% - Акцент1 34" xfId="3401"/>
    <cellStyle name="20% - Акцент1 34 2" xfId="3402"/>
    <cellStyle name="20% - Акцент1 35" xfId="3403"/>
    <cellStyle name="20% - Акцент1 35 2" xfId="3404"/>
    <cellStyle name="20% - Акцент1 36" xfId="3405"/>
    <cellStyle name="20% - Акцент1 36 2" xfId="3406"/>
    <cellStyle name="20% - Акцент1 37" xfId="3407"/>
    <cellStyle name="20% - Акцент1 37 2" xfId="3408"/>
    <cellStyle name="20% - Акцент1 38" xfId="3409"/>
    <cellStyle name="20% - Акцент1 38 2" xfId="3410"/>
    <cellStyle name="20% - Акцент1 39" xfId="3411"/>
    <cellStyle name="20% - Акцент1 39 2" xfId="3412"/>
    <cellStyle name="20% - Акцент1 4" xfId="3413"/>
    <cellStyle name="20% - Акцент1 40" xfId="3414"/>
    <cellStyle name="20% - Акцент1 40 2" xfId="3415"/>
    <cellStyle name="20% - Акцент1 41" xfId="3416"/>
    <cellStyle name="20% - Акцент1 41 2" xfId="3417"/>
    <cellStyle name="20% - Акцент1 42" xfId="3418"/>
    <cellStyle name="20% - Акцент1 42 2" xfId="3419"/>
    <cellStyle name="20% - Акцент1 43" xfId="3420"/>
    <cellStyle name="20% - Акцент1 43 2" xfId="3421"/>
    <cellStyle name="20% - Акцент1 44" xfId="3422"/>
    <cellStyle name="20% - Акцент1 44 2" xfId="3423"/>
    <cellStyle name="20% - Акцент1 45" xfId="3424"/>
    <cellStyle name="20% - Акцент1 45 2" xfId="3425"/>
    <cellStyle name="20% - Акцент1 46" xfId="3426"/>
    <cellStyle name="20% - Акцент1 46 2" xfId="3427"/>
    <cellStyle name="20% - Акцент1 47" xfId="3428"/>
    <cellStyle name="20% - Акцент1 47 2" xfId="3429"/>
    <cellStyle name="20% - Акцент1 48" xfId="3430"/>
    <cellStyle name="20% - Акцент1 48 2" xfId="3431"/>
    <cellStyle name="20% - Акцент1 49" xfId="3432"/>
    <cellStyle name="20% - Акцент1 49 2" xfId="3433"/>
    <cellStyle name="20% - Акцент1 5" xfId="3434"/>
    <cellStyle name="20% - Акцент1 50" xfId="3435"/>
    <cellStyle name="20% - Акцент1 50 2" xfId="3436"/>
    <cellStyle name="20% - Акцент1 51" xfId="3437"/>
    <cellStyle name="20% - Акцент1 51 2" xfId="3438"/>
    <cellStyle name="20% - Акцент1 52" xfId="3439"/>
    <cellStyle name="20% - Акцент1 52 2" xfId="3440"/>
    <cellStyle name="20% - Акцент1 53" xfId="3441"/>
    <cellStyle name="20% - Акцент1 53 2" xfId="3442"/>
    <cellStyle name="20% - Акцент1 54" xfId="3443"/>
    <cellStyle name="20% - Акцент1 54 2" xfId="3444"/>
    <cellStyle name="20% - Акцент1 55" xfId="3445"/>
    <cellStyle name="20% - Акцент1 55 2" xfId="3446"/>
    <cellStyle name="20% - Акцент1 56" xfId="3447"/>
    <cellStyle name="20% - Акцент1 56 2" xfId="3448"/>
    <cellStyle name="20% - Акцент1 57" xfId="3449"/>
    <cellStyle name="20% - Акцент1 57 2" xfId="3450"/>
    <cellStyle name="20% - Акцент1 58" xfId="3451"/>
    <cellStyle name="20% - Акцент1 58 2" xfId="3452"/>
    <cellStyle name="20% - Акцент1 59" xfId="3453"/>
    <cellStyle name="20% - Акцент1 59 2" xfId="3454"/>
    <cellStyle name="20% - Акцент1 6" xfId="3455"/>
    <cellStyle name="20% - Акцент1 60" xfId="3456"/>
    <cellStyle name="20% - Акцент1 60 2" xfId="3457"/>
    <cellStyle name="20% - Акцент1 61" xfId="3458"/>
    <cellStyle name="20% - Акцент1 61 2" xfId="3459"/>
    <cellStyle name="20% - Акцент1 62" xfId="3460"/>
    <cellStyle name="20% - Акцент1 62 2" xfId="3461"/>
    <cellStyle name="20% - Акцент1 63" xfId="3462"/>
    <cellStyle name="20% - Акцент1 63 2" xfId="3463"/>
    <cellStyle name="20% - Акцент1 64" xfId="3464"/>
    <cellStyle name="20% - Акцент1 64 2" xfId="3465"/>
    <cellStyle name="20% - Акцент1 65" xfId="3466"/>
    <cellStyle name="20% - Акцент1 65 2" xfId="3467"/>
    <cellStyle name="20% - Акцент1 66" xfId="3468"/>
    <cellStyle name="20% - Акцент1 66 2" xfId="3469"/>
    <cellStyle name="20% - Акцент1 67" xfId="3470"/>
    <cellStyle name="20% - Акцент1 67 2" xfId="3471"/>
    <cellStyle name="20% - Акцент1 68" xfId="3472"/>
    <cellStyle name="20% - Акцент1 68 2" xfId="3473"/>
    <cellStyle name="20% - Акцент1 69" xfId="3474"/>
    <cellStyle name="20% - Акцент1 69 2" xfId="3475"/>
    <cellStyle name="20% - Акцент1 7" xfId="3476"/>
    <cellStyle name="20% - Акцент1 70" xfId="3477"/>
    <cellStyle name="20% - Акцент1 70 2" xfId="3478"/>
    <cellStyle name="20% - Акцент1 71" xfId="3479"/>
    <cellStyle name="20% - Акцент1 71 2" xfId="3480"/>
    <cellStyle name="20% - Акцент1 72" xfId="3481"/>
    <cellStyle name="20% - Акцент1 72 2" xfId="3482"/>
    <cellStyle name="20% - Акцент1 73" xfId="3483"/>
    <cellStyle name="20% - Акцент1 73 2" xfId="3484"/>
    <cellStyle name="20% - Акцент1 74" xfId="3485"/>
    <cellStyle name="20% - Акцент1 74 2" xfId="3486"/>
    <cellStyle name="20% - Акцент1 75" xfId="3487"/>
    <cellStyle name="20% - Акцент1 75 2" xfId="3488"/>
    <cellStyle name="20% - Акцент1 76" xfId="3489"/>
    <cellStyle name="20% - Акцент1 76 2" xfId="3490"/>
    <cellStyle name="20% - Акцент1 77" xfId="3491"/>
    <cellStyle name="20% - Акцент1 77 2" xfId="3492"/>
    <cellStyle name="20% - Акцент1 78" xfId="3493"/>
    <cellStyle name="20% - Акцент1 78 2" xfId="3494"/>
    <cellStyle name="20% - Акцент1 79" xfId="3495"/>
    <cellStyle name="20% - Акцент1 79 2" xfId="3496"/>
    <cellStyle name="20% - Акцент1 8" xfId="3497"/>
    <cellStyle name="20% - Акцент1 80" xfId="3498"/>
    <cellStyle name="20% - Акцент1 80 2" xfId="3499"/>
    <cellStyle name="20% - Акцент1 81" xfId="3500"/>
    <cellStyle name="20% - Акцент1 81 2" xfId="3501"/>
    <cellStyle name="20% - Акцент1 82" xfId="3502"/>
    <cellStyle name="20% - Акцент1 82 2" xfId="3503"/>
    <cellStyle name="20% - Акцент1 83" xfId="3504"/>
    <cellStyle name="20% - Акцент1 83 2" xfId="3505"/>
    <cellStyle name="20% - Акцент1 84" xfId="3506"/>
    <cellStyle name="20% - Акцент1 84 2" xfId="3507"/>
    <cellStyle name="20% - Акцент1 85" xfId="3508"/>
    <cellStyle name="20% - Акцент1 85 2" xfId="3509"/>
    <cellStyle name="20% - Акцент1 86" xfId="3510"/>
    <cellStyle name="20% - Акцент1 86 2" xfId="3511"/>
    <cellStyle name="20% - Акцент1 87" xfId="3512"/>
    <cellStyle name="20% - Акцент1 87 2" xfId="3513"/>
    <cellStyle name="20% - Акцент1 88" xfId="3514"/>
    <cellStyle name="20% - Акцент1 88 2" xfId="3515"/>
    <cellStyle name="20% - Акцент1 89" xfId="3516"/>
    <cellStyle name="20% - Акцент1 89 2" xfId="3517"/>
    <cellStyle name="20% - Акцент1 9" xfId="3518"/>
    <cellStyle name="20% - Акцент1 90" xfId="3519"/>
    <cellStyle name="20% - Акцент1 90 2" xfId="3520"/>
    <cellStyle name="20% - Акцент1 91" xfId="3521"/>
    <cellStyle name="20% - Акцент1 91 2" xfId="3522"/>
    <cellStyle name="20% - Акцент1 92" xfId="3523"/>
    <cellStyle name="20% - Акцент1 92 2" xfId="3524"/>
    <cellStyle name="20% - Акцент1 93" xfId="3525"/>
    <cellStyle name="20% - Акцент1 93 2" xfId="3526"/>
    <cellStyle name="20% - Акцент1 94" xfId="3527"/>
    <cellStyle name="20% - Акцент1 94 2" xfId="3528"/>
    <cellStyle name="20% - Акцент1 95" xfId="3529"/>
    <cellStyle name="20% - Акцент1 95 2" xfId="3530"/>
    <cellStyle name="20% - Акцент1 96" xfId="3531"/>
    <cellStyle name="20% - Акцент1 96 2" xfId="3532"/>
    <cellStyle name="20% - Акцент1 97" xfId="3533"/>
    <cellStyle name="20% - Акцент1 97 2" xfId="3534"/>
    <cellStyle name="20% - Акцент1 98" xfId="3535"/>
    <cellStyle name="20% - Акцент1 98 2" xfId="3536"/>
    <cellStyle name="20% - Акцент1 99" xfId="3537"/>
    <cellStyle name="20% - Акцент1 99 2" xfId="3538"/>
    <cellStyle name="20% - Акцент2 10" xfId="3539"/>
    <cellStyle name="20% - Акцент2 100" xfId="3540"/>
    <cellStyle name="20% - Акцент2 100 2" xfId="3541"/>
    <cellStyle name="20% - Акцент2 101" xfId="3542"/>
    <cellStyle name="20% - Акцент2 101 2" xfId="3543"/>
    <cellStyle name="20% - Акцент2 102" xfId="3544"/>
    <cellStyle name="20% - Акцент2 102 2" xfId="3545"/>
    <cellStyle name="20% - Акцент2 103" xfId="3546"/>
    <cellStyle name="20% - Акцент2 103 2" xfId="3547"/>
    <cellStyle name="20% - Акцент2 104" xfId="3548"/>
    <cellStyle name="20% - Акцент2 104 2" xfId="3549"/>
    <cellStyle name="20% - Акцент2 105" xfId="3550"/>
    <cellStyle name="20% - Акцент2 105 2" xfId="3551"/>
    <cellStyle name="20% - Акцент2 106" xfId="3552"/>
    <cellStyle name="20% - Акцент2 106 2" xfId="3553"/>
    <cellStyle name="20% - Акцент2 107" xfId="3554"/>
    <cellStyle name="20% - Акцент2 107 2" xfId="3555"/>
    <cellStyle name="20% - Акцент2 108" xfId="3556"/>
    <cellStyle name="20% - Акцент2 108 2" xfId="3557"/>
    <cellStyle name="20% - Акцент2 109" xfId="3558"/>
    <cellStyle name="20% - Акцент2 109 2" xfId="3559"/>
    <cellStyle name="20% - Акцент2 11" xfId="3560"/>
    <cellStyle name="20% - Акцент2 110" xfId="3561"/>
    <cellStyle name="20% - Акцент2 110 2" xfId="3562"/>
    <cellStyle name="20% - Акцент2 111" xfId="3563"/>
    <cellStyle name="20% - Акцент2 111 2" xfId="3564"/>
    <cellStyle name="20% - Акцент2 112" xfId="3565"/>
    <cellStyle name="20% - Акцент2 112 2" xfId="3566"/>
    <cellStyle name="20% - Акцент2 113" xfId="3567"/>
    <cellStyle name="20% - Акцент2 113 2" xfId="3568"/>
    <cellStyle name="20% - Акцент2 114" xfId="3569"/>
    <cellStyle name="20% - Акцент2 114 2" xfId="3570"/>
    <cellStyle name="20% - Акцент2 115" xfId="3571"/>
    <cellStyle name="20% - Акцент2 115 2" xfId="3572"/>
    <cellStyle name="20% - Акцент2 116" xfId="3573"/>
    <cellStyle name="20% - Акцент2 116 2" xfId="3574"/>
    <cellStyle name="20% - Акцент2 117" xfId="3575"/>
    <cellStyle name="20% - Акцент2 117 2" xfId="3576"/>
    <cellStyle name="20% - Акцент2 118" xfId="3577"/>
    <cellStyle name="20% - Акцент2 118 2" xfId="3578"/>
    <cellStyle name="20% - Акцент2 119" xfId="3579"/>
    <cellStyle name="20% - Акцент2 119 2" xfId="3580"/>
    <cellStyle name="20% - Акцент2 12" xfId="3581"/>
    <cellStyle name="20% - Акцент2 120" xfId="3582"/>
    <cellStyle name="20% - Акцент2 120 2" xfId="3583"/>
    <cellStyle name="20% - Акцент2 121" xfId="3584"/>
    <cellStyle name="20% - Акцент2 121 2" xfId="3585"/>
    <cellStyle name="20% - Акцент2 122" xfId="3586"/>
    <cellStyle name="20% - Акцент2 122 2" xfId="3587"/>
    <cellStyle name="20% - Акцент2 123" xfId="3588"/>
    <cellStyle name="20% - Акцент2 123 2" xfId="3589"/>
    <cellStyle name="20% - Акцент2 124" xfId="3590"/>
    <cellStyle name="20% - Акцент2 124 2" xfId="3591"/>
    <cellStyle name="20% - Акцент2 125" xfId="3592"/>
    <cellStyle name="20% - Акцент2 125 2" xfId="3593"/>
    <cellStyle name="20% - Акцент2 126" xfId="3594"/>
    <cellStyle name="20% - Акцент2 126 2" xfId="3595"/>
    <cellStyle name="20% - Акцент2 127" xfId="3596"/>
    <cellStyle name="20% - Акцент2 127 2" xfId="3597"/>
    <cellStyle name="20% - Акцент2 128" xfId="3598"/>
    <cellStyle name="20% - Акцент2 128 2" xfId="3599"/>
    <cellStyle name="20% - Акцент2 129" xfId="3600"/>
    <cellStyle name="20% - Акцент2 129 2" xfId="3601"/>
    <cellStyle name="20% - Акцент2 13" xfId="3602"/>
    <cellStyle name="20% - Акцент2 130" xfId="3603"/>
    <cellStyle name="20% - Акцент2 130 2" xfId="3604"/>
    <cellStyle name="20% - Акцент2 131" xfId="3605"/>
    <cellStyle name="20% - Акцент2 131 2" xfId="3606"/>
    <cellStyle name="20% - Акцент2 132" xfId="3607"/>
    <cellStyle name="20% - Акцент2 132 2" xfId="3608"/>
    <cellStyle name="20% - Акцент2 133" xfId="3609"/>
    <cellStyle name="20% - Акцент2 133 2" xfId="3610"/>
    <cellStyle name="20% - Акцент2 134" xfId="3611"/>
    <cellStyle name="20% - Акцент2 134 2" xfId="3612"/>
    <cellStyle name="20% - Акцент2 135" xfId="3613"/>
    <cellStyle name="20% - Акцент2 135 2" xfId="3614"/>
    <cellStyle name="20% - Акцент2 136" xfId="3615"/>
    <cellStyle name="20% - Акцент2 136 2" xfId="3616"/>
    <cellStyle name="20% - Акцент2 137" xfId="3617"/>
    <cellStyle name="20% - Акцент2 137 2" xfId="3618"/>
    <cellStyle name="20% - Акцент2 138" xfId="3619"/>
    <cellStyle name="20% - Акцент2 138 2" xfId="3620"/>
    <cellStyle name="20% - Акцент2 139" xfId="3621"/>
    <cellStyle name="20% - Акцент2 139 2" xfId="3622"/>
    <cellStyle name="20% - Акцент2 14" xfId="3623"/>
    <cellStyle name="20% - Акцент2 140" xfId="3624"/>
    <cellStyle name="20% - Акцент2 140 2" xfId="3625"/>
    <cellStyle name="20% - Акцент2 141" xfId="3626"/>
    <cellStyle name="20% - Акцент2 141 2" xfId="3627"/>
    <cellStyle name="20% - Акцент2 142" xfId="3628"/>
    <cellStyle name="20% - Акцент2 142 2" xfId="3629"/>
    <cellStyle name="20% - Акцент2 143" xfId="3630"/>
    <cellStyle name="20% - Акцент2 143 2" xfId="3631"/>
    <cellStyle name="20% - Акцент2 144" xfId="3632"/>
    <cellStyle name="20% - Акцент2 144 2" xfId="3633"/>
    <cellStyle name="20% - Акцент2 145" xfId="3634"/>
    <cellStyle name="20% - Акцент2 145 2" xfId="3635"/>
    <cellStyle name="20% - Акцент2 146" xfId="3636"/>
    <cellStyle name="20% - Акцент2 146 2" xfId="3637"/>
    <cellStyle name="20% - Акцент2 147" xfId="3638"/>
    <cellStyle name="20% - Акцент2 147 2" xfId="3639"/>
    <cellStyle name="20% - Акцент2 148" xfId="3640"/>
    <cellStyle name="20% - Акцент2 148 2" xfId="3641"/>
    <cellStyle name="20% - Акцент2 149" xfId="3642"/>
    <cellStyle name="20% - Акцент2 149 2" xfId="3643"/>
    <cellStyle name="20% - Акцент2 15" xfId="3644"/>
    <cellStyle name="20% - Акцент2 150" xfId="3645"/>
    <cellStyle name="20% - Акцент2 150 2" xfId="3646"/>
    <cellStyle name="20% - Акцент2 151" xfId="3647"/>
    <cellStyle name="20% - Акцент2 151 2" xfId="3648"/>
    <cellStyle name="20% - Акцент2 152" xfId="3649"/>
    <cellStyle name="20% - Акцент2 152 2" xfId="3650"/>
    <cellStyle name="20% - Акцент2 153" xfId="3651"/>
    <cellStyle name="20% - Акцент2 153 2" xfId="3652"/>
    <cellStyle name="20% - Акцент2 154" xfId="3653"/>
    <cellStyle name="20% - Акцент2 154 2" xfId="3654"/>
    <cellStyle name="20% - Акцент2 155" xfId="3655"/>
    <cellStyle name="20% - Акцент2 155 2" xfId="3656"/>
    <cellStyle name="20% - Акцент2 156" xfId="3657"/>
    <cellStyle name="20% - Акцент2 156 2" xfId="3658"/>
    <cellStyle name="20% - Акцент2 157" xfId="3659"/>
    <cellStyle name="20% - Акцент2 157 2" xfId="3660"/>
    <cellStyle name="20% - Акцент2 158" xfId="3661"/>
    <cellStyle name="20% - Акцент2 158 2" xfId="3662"/>
    <cellStyle name="20% - Акцент2 159" xfId="3663"/>
    <cellStyle name="20% - Акцент2 159 2" xfId="3664"/>
    <cellStyle name="20% - Акцент2 16" xfId="3665"/>
    <cellStyle name="20% - Акцент2 160" xfId="3666"/>
    <cellStyle name="20% - Акцент2 160 2" xfId="3667"/>
    <cellStyle name="20% - Акцент2 161" xfId="3668"/>
    <cellStyle name="20% - Акцент2 161 2" xfId="3669"/>
    <cellStyle name="20% - Акцент2 162" xfId="3670"/>
    <cellStyle name="20% - Акцент2 162 2" xfId="3671"/>
    <cellStyle name="20% - Акцент2 163" xfId="3672"/>
    <cellStyle name="20% - Акцент2 163 2" xfId="3673"/>
    <cellStyle name="20% - Акцент2 164" xfId="3674"/>
    <cellStyle name="20% - Акцент2 164 2" xfId="3675"/>
    <cellStyle name="20% - Акцент2 165" xfId="3676"/>
    <cellStyle name="20% - Акцент2 165 2" xfId="3677"/>
    <cellStyle name="20% - Акцент2 166" xfId="3678"/>
    <cellStyle name="20% - Акцент2 166 2" xfId="3679"/>
    <cellStyle name="20% - Акцент2 167" xfId="3680"/>
    <cellStyle name="20% - Акцент2 167 2" xfId="3681"/>
    <cellStyle name="20% - Акцент2 168" xfId="3682"/>
    <cellStyle name="20% - Акцент2 168 2" xfId="3683"/>
    <cellStyle name="20% - Акцент2 169" xfId="3684"/>
    <cellStyle name="20% - Акцент2 169 2" xfId="3685"/>
    <cellStyle name="20% - Акцент2 17" xfId="3686"/>
    <cellStyle name="20% - Акцент2 170" xfId="3687"/>
    <cellStyle name="20% - Акцент2 170 2" xfId="3688"/>
    <cellStyle name="20% - Акцент2 171" xfId="3689"/>
    <cellStyle name="20% - Акцент2 171 2" xfId="3690"/>
    <cellStyle name="20% - Акцент2 172" xfId="3691"/>
    <cellStyle name="20% - Акцент2 172 2" xfId="3692"/>
    <cellStyle name="20% - Акцент2 173" xfId="3693"/>
    <cellStyle name="20% - Акцент2 173 2" xfId="3694"/>
    <cellStyle name="20% - Акцент2 174" xfId="3695"/>
    <cellStyle name="20% - Акцент2 174 2" xfId="3696"/>
    <cellStyle name="20% - Акцент2 175" xfId="3697"/>
    <cellStyle name="20% - Акцент2 175 2" xfId="3698"/>
    <cellStyle name="20% - Акцент2 176" xfId="3699"/>
    <cellStyle name="20% - Акцент2 176 2" xfId="3700"/>
    <cellStyle name="20% - Акцент2 177" xfId="3701"/>
    <cellStyle name="20% - Акцент2 177 2" xfId="3702"/>
    <cellStyle name="20% - Акцент2 178" xfId="3703"/>
    <cellStyle name="20% - Акцент2 178 2" xfId="3704"/>
    <cellStyle name="20% - Акцент2 179" xfId="3705"/>
    <cellStyle name="20% - Акцент2 179 2" xfId="3706"/>
    <cellStyle name="20% - Акцент2 18" xfId="3707"/>
    <cellStyle name="20% - Акцент2 180" xfId="3708"/>
    <cellStyle name="20% - Акцент2 180 2" xfId="3709"/>
    <cellStyle name="20% - Акцент2 181" xfId="3710"/>
    <cellStyle name="20% - Акцент2 181 2" xfId="3711"/>
    <cellStyle name="20% - Акцент2 182" xfId="3712"/>
    <cellStyle name="20% - Акцент2 182 2" xfId="3713"/>
    <cellStyle name="20% - Акцент2 183" xfId="3714"/>
    <cellStyle name="20% - Акцент2 183 2" xfId="3715"/>
    <cellStyle name="20% - Акцент2 184" xfId="3716"/>
    <cellStyle name="20% - Акцент2 184 2" xfId="3717"/>
    <cellStyle name="20% - Акцент2 185" xfId="3718"/>
    <cellStyle name="20% - Акцент2 185 2" xfId="3719"/>
    <cellStyle name="20% - Акцент2 186" xfId="3720"/>
    <cellStyle name="20% - Акцент2 186 2" xfId="3721"/>
    <cellStyle name="20% - Акцент2 187" xfId="3722"/>
    <cellStyle name="20% - Акцент2 187 2" xfId="3723"/>
    <cellStyle name="20% - Акцент2 188" xfId="3724"/>
    <cellStyle name="20% - Акцент2 188 2" xfId="3725"/>
    <cellStyle name="20% - Акцент2 189" xfId="3726"/>
    <cellStyle name="20% - Акцент2 189 2" xfId="3727"/>
    <cellStyle name="20% - Акцент2 19" xfId="3728"/>
    <cellStyle name="20% - Акцент2 190" xfId="3729"/>
    <cellStyle name="20% - Акцент2 190 2" xfId="3730"/>
    <cellStyle name="20% - Акцент2 191" xfId="3731"/>
    <cellStyle name="20% - Акцент2 191 2" xfId="3732"/>
    <cellStyle name="20% - Акцент2 192" xfId="3733"/>
    <cellStyle name="20% - Акцент2 192 2" xfId="3734"/>
    <cellStyle name="20% - Акцент2 193" xfId="3735"/>
    <cellStyle name="20% - Акцент2 193 2" xfId="3736"/>
    <cellStyle name="20% - Акцент2 194" xfId="3737"/>
    <cellStyle name="20% - Акцент2 194 2" xfId="3738"/>
    <cellStyle name="20% - Акцент2 195" xfId="3739"/>
    <cellStyle name="20% - Акцент2 195 2" xfId="3740"/>
    <cellStyle name="20% - Акцент2 196" xfId="3741"/>
    <cellStyle name="20% - Акцент2 196 2" xfId="3742"/>
    <cellStyle name="20% - Акцент2 197" xfId="3743"/>
    <cellStyle name="20% - Акцент2 197 2" xfId="3744"/>
    <cellStyle name="20% - Акцент2 198" xfId="3745"/>
    <cellStyle name="20% - Акцент2 198 2" xfId="3746"/>
    <cellStyle name="20% - Акцент2 199" xfId="3747"/>
    <cellStyle name="20% - Акцент2 199 2" xfId="3748"/>
    <cellStyle name="20% - Акцент2 2" xfId="3749"/>
    <cellStyle name="20% - Акцент2 2 2" xfId="3750"/>
    <cellStyle name="20% - Акцент2 2 2 2" xfId="3751"/>
    <cellStyle name="20% - Акцент2 2 3" xfId="3752"/>
    <cellStyle name="20% - Акцент2 2 4" xfId="3753"/>
    <cellStyle name="20% - Акцент2 2 5" xfId="3754"/>
    <cellStyle name="20% - Акцент2 2 6" xfId="3755"/>
    <cellStyle name="20% - Акцент2 2 7" xfId="3756"/>
    <cellStyle name="20% - Акцент2 20" xfId="3757"/>
    <cellStyle name="20% - Акцент2 20 2" xfId="3758"/>
    <cellStyle name="20% - Акцент2 200" xfId="3759"/>
    <cellStyle name="20% - Акцент2 200 2" xfId="3760"/>
    <cellStyle name="20% - Акцент2 201" xfId="3761"/>
    <cellStyle name="20% - Акцент2 201 2" xfId="3762"/>
    <cellStyle name="20% - Акцент2 202" xfId="3763"/>
    <cellStyle name="20% - Акцент2 202 2" xfId="3764"/>
    <cellStyle name="20% - Акцент2 203" xfId="3765"/>
    <cellStyle name="20% - Акцент2 203 2" xfId="3766"/>
    <cellStyle name="20% - Акцент2 204" xfId="3767"/>
    <cellStyle name="20% - Акцент2 204 2" xfId="3768"/>
    <cellStyle name="20% - Акцент2 205" xfId="3769"/>
    <cellStyle name="20% - Акцент2 205 2" xfId="3770"/>
    <cellStyle name="20% - Акцент2 206" xfId="3771"/>
    <cellStyle name="20% - Акцент2 206 2" xfId="3772"/>
    <cellStyle name="20% - Акцент2 207" xfId="3773"/>
    <cellStyle name="20% - Акцент2 207 2" xfId="3774"/>
    <cellStyle name="20% - Акцент2 208" xfId="3775"/>
    <cellStyle name="20% - Акцент2 208 2" xfId="3776"/>
    <cellStyle name="20% - Акцент2 209" xfId="3777"/>
    <cellStyle name="20% - Акцент2 209 2" xfId="3778"/>
    <cellStyle name="20% - Акцент2 21" xfId="3779"/>
    <cellStyle name="20% - Акцент2 21 2" xfId="3780"/>
    <cellStyle name="20% - Акцент2 210" xfId="3781"/>
    <cellStyle name="20% - Акцент2 210 2" xfId="3782"/>
    <cellStyle name="20% - Акцент2 211" xfId="3783"/>
    <cellStyle name="20% - Акцент2 211 2" xfId="3784"/>
    <cellStyle name="20% - Акцент2 212" xfId="3785"/>
    <cellStyle name="20% - Акцент2 212 2" xfId="3786"/>
    <cellStyle name="20% - Акцент2 213" xfId="3787"/>
    <cellStyle name="20% - Акцент2 213 2" xfId="3788"/>
    <cellStyle name="20% - Акцент2 214" xfId="3789"/>
    <cellStyle name="20% - Акцент2 214 2" xfId="3790"/>
    <cellStyle name="20% - Акцент2 215" xfId="3791"/>
    <cellStyle name="20% - Акцент2 215 2" xfId="3792"/>
    <cellStyle name="20% - Акцент2 216" xfId="3793"/>
    <cellStyle name="20% - Акцент2 216 2" xfId="3794"/>
    <cellStyle name="20% - Акцент2 217" xfId="3795"/>
    <cellStyle name="20% - Акцент2 217 2" xfId="3796"/>
    <cellStyle name="20% - Акцент2 217 3" xfId="3797"/>
    <cellStyle name="20% - Акцент2 218" xfId="3798"/>
    <cellStyle name="20% - Акцент2 219" xfId="3799"/>
    <cellStyle name="20% - Акцент2 22" xfId="3800"/>
    <cellStyle name="20% - Акцент2 22 2" xfId="3801"/>
    <cellStyle name="20% - Акцент2 220" xfId="3802"/>
    <cellStyle name="20% - Акцент2 221" xfId="3803"/>
    <cellStyle name="20% - Акцент2 222" xfId="3804"/>
    <cellStyle name="20% - Акцент2 223" xfId="3805"/>
    <cellStyle name="20% - Акцент2 224" xfId="3806"/>
    <cellStyle name="20% - Акцент2 225" xfId="3807"/>
    <cellStyle name="20% - Акцент2 226" xfId="3808"/>
    <cellStyle name="20% - Акцент2 227" xfId="3809"/>
    <cellStyle name="20% - Акцент2 228" xfId="3810"/>
    <cellStyle name="20% - Акцент2 229" xfId="3811"/>
    <cellStyle name="20% - Акцент2 23" xfId="3812"/>
    <cellStyle name="20% - Акцент2 23 2" xfId="3813"/>
    <cellStyle name="20% - Акцент2 230" xfId="3814"/>
    <cellStyle name="20% - Акцент2 231" xfId="3815"/>
    <cellStyle name="20% - Акцент2 232" xfId="3816"/>
    <cellStyle name="20% - Акцент2 233" xfId="3817"/>
    <cellStyle name="20% - Акцент2 234" xfId="3818"/>
    <cellStyle name="20% - Акцент2 235" xfId="3819"/>
    <cellStyle name="20% - Акцент2 236" xfId="3820"/>
    <cellStyle name="20% - Акцент2 237" xfId="3821"/>
    <cellStyle name="20% - Акцент2 238" xfId="3822"/>
    <cellStyle name="20% - Акцент2 239" xfId="3823"/>
    <cellStyle name="20% - Акцент2 24" xfId="3824"/>
    <cellStyle name="20% - Акцент2 24 2" xfId="3825"/>
    <cellStyle name="20% - Акцент2 240" xfId="3826"/>
    <cellStyle name="20% - Акцент2 241" xfId="3827"/>
    <cellStyle name="20% - Акцент2 242" xfId="3828"/>
    <cellStyle name="20% - Акцент2 243" xfId="3829"/>
    <cellStyle name="20% - Акцент2 244" xfId="3830"/>
    <cellStyle name="20% - Акцент2 245" xfId="3831"/>
    <cellStyle name="20% - Акцент2 246" xfId="3832"/>
    <cellStyle name="20% - Акцент2 247" xfId="3833"/>
    <cellStyle name="20% - Акцент2 248" xfId="3834"/>
    <cellStyle name="20% - Акцент2 249" xfId="3835"/>
    <cellStyle name="20% - Акцент2 25" xfId="3836"/>
    <cellStyle name="20% - Акцент2 25 2" xfId="3837"/>
    <cellStyle name="20% - Акцент2 250" xfId="3838"/>
    <cellStyle name="20% - Акцент2 251" xfId="3839"/>
    <cellStyle name="20% - Акцент2 252" xfId="3840"/>
    <cellStyle name="20% - Акцент2 253" xfId="3841"/>
    <cellStyle name="20% - Акцент2 254" xfId="3842"/>
    <cellStyle name="20% - Акцент2 255" xfId="3843"/>
    <cellStyle name="20% - Акцент2 26" xfId="3844"/>
    <cellStyle name="20% - Акцент2 26 2" xfId="3845"/>
    <cellStyle name="20% - Акцент2 27" xfId="3846"/>
    <cellStyle name="20% - Акцент2 27 2" xfId="3847"/>
    <cellStyle name="20% - Акцент2 28" xfId="3848"/>
    <cellStyle name="20% - Акцент2 28 2" xfId="3849"/>
    <cellStyle name="20% - Акцент2 29" xfId="3850"/>
    <cellStyle name="20% - Акцент2 29 2" xfId="3851"/>
    <cellStyle name="20% - Акцент2 3" xfId="3852"/>
    <cellStyle name="20% - Акцент2 30" xfId="3853"/>
    <cellStyle name="20% - Акцент2 30 2" xfId="3854"/>
    <cellStyle name="20% - Акцент2 31" xfId="3855"/>
    <cellStyle name="20% - Акцент2 31 2" xfId="3856"/>
    <cellStyle name="20% - Акцент2 32" xfId="3857"/>
    <cellStyle name="20% - Акцент2 32 2" xfId="3858"/>
    <cellStyle name="20% - Акцент2 33" xfId="3859"/>
    <cellStyle name="20% - Акцент2 33 2" xfId="3860"/>
    <cellStyle name="20% - Акцент2 34" xfId="3861"/>
    <cellStyle name="20% - Акцент2 34 2" xfId="3862"/>
    <cellStyle name="20% - Акцент2 35" xfId="3863"/>
    <cellStyle name="20% - Акцент2 35 2" xfId="3864"/>
    <cellStyle name="20% - Акцент2 36" xfId="3865"/>
    <cellStyle name="20% - Акцент2 36 2" xfId="3866"/>
    <cellStyle name="20% - Акцент2 37" xfId="3867"/>
    <cellStyle name="20% - Акцент2 37 2" xfId="3868"/>
    <cellStyle name="20% - Акцент2 38" xfId="3869"/>
    <cellStyle name="20% - Акцент2 38 2" xfId="3870"/>
    <cellStyle name="20% - Акцент2 39" xfId="3871"/>
    <cellStyle name="20% - Акцент2 39 2" xfId="3872"/>
    <cellStyle name="20% - Акцент2 4" xfId="3873"/>
    <cellStyle name="20% - Акцент2 40" xfId="3874"/>
    <cellStyle name="20% - Акцент2 40 2" xfId="3875"/>
    <cellStyle name="20% - Акцент2 41" xfId="3876"/>
    <cellStyle name="20% - Акцент2 41 2" xfId="3877"/>
    <cellStyle name="20% - Акцент2 42" xfId="3878"/>
    <cellStyle name="20% - Акцент2 42 2" xfId="3879"/>
    <cellStyle name="20% - Акцент2 43" xfId="3880"/>
    <cellStyle name="20% - Акцент2 43 2" xfId="3881"/>
    <cellStyle name="20% - Акцент2 44" xfId="3882"/>
    <cellStyle name="20% - Акцент2 44 2" xfId="3883"/>
    <cellStyle name="20% - Акцент2 45" xfId="3884"/>
    <cellStyle name="20% - Акцент2 45 2" xfId="3885"/>
    <cellStyle name="20% - Акцент2 46" xfId="3886"/>
    <cellStyle name="20% - Акцент2 46 2" xfId="3887"/>
    <cellStyle name="20% - Акцент2 47" xfId="3888"/>
    <cellStyle name="20% - Акцент2 47 2" xfId="3889"/>
    <cellStyle name="20% - Акцент2 48" xfId="3890"/>
    <cellStyle name="20% - Акцент2 48 2" xfId="3891"/>
    <cellStyle name="20% - Акцент2 49" xfId="3892"/>
    <cellStyle name="20% - Акцент2 49 2" xfId="3893"/>
    <cellStyle name="20% - Акцент2 5" xfId="3894"/>
    <cellStyle name="20% - Акцент2 50" xfId="3895"/>
    <cellStyle name="20% - Акцент2 50 2" xfId="3896"/>
    <cellStyle name="20% - Акцент2 51" xfId="3897"/>
    <cellStyle name="20% - Акцент2 51 2" xfId="3898"/>
    <cellStyle name="20% - Акцент2 52" xfId="3899"/>
    <cellStyle name="20% - Акцент2 52 2" xfId="3900"/>
    <cellStyle name="20% - Акцент2 53" xfId="3901"/>
    <cellStyle name="20% - Акцент2 53 2" xfId="3902"/>
    <cellStyle name="20% - Акцент2 54" xfId="3903"/>
    <cellStyle name="20% - Акцент2 54 2" xfId="3904"/>
    <cellStyle name="20% - Акцент2 55" xfId="3905"/>
    <cellStyle name="20% - Акцент2 55 2" xfId="3906"/>
    <cellStyle name="20% - Акцент2 56" xfId="3907"/>
    <cellStyle name="20% - Акцент2 56 2" xfId="3908"/>
    <cellStyle name="20% - Акцент2 57" xfId="3909"/>
    <cellStyle name="20% - Акцент2 57 2" xfId="3910"/>
    <cellStyle name="20% - Акцент2 58" xfId="3911"/>
    <cellStyle name="20% - Акцент2 58 2" xfId="3912"/>
    <cellStyle name="20% - Акцент2 59" xfId="3913"/>
    <cellStyle name="20% - Акцент2 59 2" xfId="3914"/>
    <cellStyle name="20% - Акцент2 6" xfId="3915"/>
    <cellStyle name="20% - Акцент2 60" xfId="3916"/>
    <cellStyle name="20% - Акцент2 60 2" xfId="3917"/>
    <cellStyle name="20% - Акцент2 61" xfId="3918"/>
    <cellStyle name="20% - Акцент2 61 2" xfId="3919"/>
    <cellStyle name="20% - Акцент2 62" xfId="3920"/>
    <cellStyle name="20% - Акцент2 62 2" xfId="3921"/>
    <cellStyle name="20% - Акцент2 63" xfId="3922"/>
    <cellStyle name="20% - Акцент2 63 2" xfId="3923"/>
    <cellStyle name="20% - Акцент2 64" xfId="3924"/>
    <cellStyle name="20% - Акцент2 64 2" xfId="3925"/>
    <cellStyle name="20% - Акцент2 65" xfId="3926"/>
    <cellStyle name="20% - Акцент2 65 2" xfId="3927"/>
    <cellStyle name="20% - Акцент2 66" xfId="3928"/>
    <cellStyle name="20% - Акцент2 66 2" xfId="3929"/>
    <cellStyle name="20% - Акцент2 67" xfId="3930"/>
    <cellStyle name="20% - Акцент2 67 2" xfId="3931"/>
    <cellStyle name="20% - Акцент2 68" xfId="3932"/>
    <cellStyle name="20% - Акцент2 68 2" xfId="3933"/>
    <cellStyle name="20% - Акцент2 69" xfId="3934"/>
    <cellStyle name="20% - Акцент2 69 2" xfId="3935"/>
    <cellStyle name="20% - Акцент2 7" xfId="3936"/>
    <cellStyle name="20% - Акцент2 70" xfId="3937"/>
    <cellStyle name="20% - Акцент2 70 2" xfId="3938"/>
    <cellStyle name="20% - Акцент2 71" xfId="3939"/>
    <cellStyle name="20% - Акцент2 71 2" xfId="3940"/>
    <cellStyle name="20% - Акцент2 72" xfId="3941"/>
    <cellStyle name="20% - Акцент2 72 2" xfId="3942"/>
    <cellStyle name="20% - Акцент2 73" xfId="3943"/>
    <cellStyle name="20% - Акцент2 73 2" xfId="3944"/>
    <cellStyle name="20% - Акцент2 74" xfId="3945"/>
    <cellStyle name="20% - Акцент2 74 2" xfId="3946"/>
    <cellStyle name="20% - Акцент2 75" xfId="3947"/>
    <cellStyle name="20% - Акцент2 75 2" xfId="3948"/>
    <cellStyle name="20% - Акцент2 76" xfId="3949"/>
    <cellStyle name="20% - Акцент2 76 2" xfId="3950"/>
    <cellStyle name="20% - Акцент2 77" xfId="3951"/>
    <cellStyle name="20% - Акцент2 77 2" xfId="3952"/>
    <cellStyle name="20% - Акцент2 78" xfId="3953"/>
    <cellStyle name="20% - Акцент2 78 2" xfId="3954"/>
    <cellStyle name="20% - Акцент2 79" xfId="3955"/>
    <cellStyle name="20% - Акцент2 79 2" xfId="3956"/>
    <cellStyle name="20% - Акцент2 8" xfId="3957"/>
    <cellStyle name="20% - Акцент2 80" xfId="3958"/>
    <cellStyle name="20% - Акцент2 80 2" xfId="3959"/>
    <cellStyle name="20% - Акцент2 81" xfId="3960"/>
    <cellStyle name="20% - Акцент2 81 2" xfId="3961"/>
    <cellStyle name="20% - Акцент2 82" xfId="3962"/>
    <cellStyle name="20% - Акцент2 82 2" xfId="3963"/>
    <cellStyle name="20% - Акцент2 83" xfId="3964"/>
    <cellStyle name="20% - Акцент2 83 2" xfId="3965"/>
    <cellStyle name="20% - Акцент2 84" xfId="3966"/>
    <cellStyle name="20% - Акцент2 84 2" xfId="3967"/>
    <cellStyle name="20% - Акцент2 85" xfId="3968"/>
    <cellStyle name="20% - Акцент2 85 2" xfId="3969"/>
    <cellStyle name="20% - Акцент2 86" xfId="3970"/>
    <cellStyle name="20% - Акцент2 86 2" xfId="3971"/>
    <cellStyle name="20% - Акцент2 87" xfId="3972"/>
    <cellStyle name="20% - Акцент2 87 2" xfId="3973"/>
    <cellStyle name="20% - Акцент2 88" xfId="3974"/>
    <cellStyle name="20% - Акцент2 88 2" xfId="3975"/>
    <cellStyle name="20% - Акцент2 89" xfId="3976"/>
    <cellStyle name="20% - Акцент2 89 2" xfId="3977"/>
    <cellStyle name="20% - Акцент2 9" xfId="3978"/>
    <cellStyle name="20% - Акцент2 90" xfId="3979"/>
    <cellStyle name="20% - Акцент2 90 2" xfId="3980"/>
    <cellStyle name="20% - Акцент2 91" xfId="3981"/>
    <cellStyle name="20% - Акцент2 91 2" xfId="3982"/>
    <cellStyle name="20% - Акцент2 92" xfId="3983"/>
    <cellStyle name="20% - Акцент2 92 2" xfId="3984"/>
    <cellStyle name="20% - Акцент2 93" xfId="3985"/>
    <cellStyle name="20% - Акцент2 93 2" xfId="3986"/>
    <cellStyle name="20% - Акцент2 94" xfId="3987"/>
    <cellStyle name="20% - Акцент2 94 2" xfId="3988"/>
    <cellStyle name="20% - Акцент2 95" xfId="3989"/>
    <cellStyle name="20% - Акцент2 95 2" xfId="3990"/>
    <cellStyle name="20% - Акцент2 96" xfId="3991"/>
    <cellStyle name="20% - Акцент2 96 2" xfId="3992"/>
    <cellStyle name="20% - Акцент2 97" xfId="3993"/>
    <cellStyle name="20% - Акцент2 97 2" xfId="3994"/>
    <cellStyle name="20% - Акцент2 98" xfId="3995"/>
    <cellStyle name="20% - Акцент2 98 2" xfId="3996"/>
    <cellStyle name="20% - Акцент2 99" xfId="3997"/>
    <cellStyle name="20% - Акцент2 99 2" xfId="3998"/>
    <cellStyle name="20% - Акцент3 10" xfId="3999"/>
    <cellStyle name="20% - Акцент3 100" xfId="4000"/>
    <cellStyle name="20% - Акцент3 100 2" xfId="4001"/>
    <cellStyle name="20% - Акцент3 101" xfId="4002"/>
    <cellStyle name="20% - Акцент3 101 2" xfId="4003"/>
    <cellStyle name="20% - Акцент3 102" xfId="4004"/>
    <cellStyle name="20% - Акцент3 102 2" xfId="4005"/>
    <cellStyle name="20% - Акцент3 103" xfId="4006"/>
    <cellStyle name="20% - Акцент3 103 2" xfId="4007"/>
    <cellStyle name="20% - Акцент3 104" xfId="4008"/>
    <cellStyle name="20% - Акцент3 104 2" xfId="4009"/>
    <cellStyle name="20% - Акцент3 105" xfId="4010"/>
    <cellStyle name="20% - Акцент3 105 2" xfId="4011"/>
    <cellStyle name="20% - Акцент3 106" xfId="4012"/>
    <cellStyle name="20% - Акцент3 106 2" xfId="4013"/>
    <cellStyle name="20% - Акцент3 107" xfId="4014"/>
    <cellStyle name="20% - Акцент3 107 2" xfId="4015"/>
    <cellStyle name="20% - Акцент3 108" xfId="4016"/>
    <cellStyle name="20% - Акцент3 108 2" xfId="4017"/>
    <cellStyle name="20% - Акцент3 109" xfId="4018"/>
    <cellStyle name="20% - Акцент3 109 2" xfId="4019"/>
    <cellStyle name="20% - Акцент3 11" xfId="4020"/>
    <cellStyle name="20% - Акцент3 110" xfId="4021"/>
    <cellStyle name="20% - Акцент3 110 2" xfId="4022"/>
    <cellStyle name="20% - Акцент3 111" xfId="4023"/>
    <cellStyle name="20% - Акцент3 111 2" xfId="4024"/>
    <cellStyle name="20% - Акцент3 112" xfId="4025"/>
    <cellStyle name="20% - Акцент3 112 2" xfId="4026"/>
    <cellStyle name="20% - Акцент3 113" xfId="4027"/>
    <cellStyle name="20% - Акцент3 113 2" xfId="4028"/>
    <cellStyle name="20% - Акцент3 114" xfId="4029"/>
    <cellStyle name="20% - Акцент3 114 2" xfId="4030"/>
    <cellStyle name="20% - Акцент3 115" xfId="4031"/>
    <cellStyle name="20% - Акцент3 115 2" xfId="4032"/>
    <cellStyle name="20% - Акцент3 116" xfId="4033"/>
    <cellStyle name="20% - Акцент3 116 2" xfId="4034"/>
    <cellStyle name="20% - Акцент3 117" xfId="4035"/>
    <cellStyle name="20% - Акцент3 117 2" xfId="4036"/>
    <cellStyle name="20% - Акцент3 118" xfId="4037"/>
    <cellStyle name="20% - Акцент3 118 2" xfId="4038"/>
    <cellStyle name="20% - Акцент3 119" xfId="4039"/>
    <cellStyle name="20% - Акцент3 119 2" xfId="4040"/>
    <cellStyle name="20% - Акцент3 12" xfId="4041"/>
    <cellStyle name="20% - Акцент3 120" xfId="4042"/>
    <cellStyle name="20% - Акцент3 120 2" xfId="4043"/>
    <cellStyle name="20% - Акцент3 121" xfId="4044"/>
    <cellStyle name="20% - Акцент3 121 2" xfId="4045"/>
    <cellStyle name="20% - Акцент3 122" xfId="4046"/>
    <cellStyle name="20% - Акцент3 122 2" xfId="4047"/>
    <cellStyle name="20% - Акцент3 123" xfId="4048"/>
    <cellStyle name="20% - Акцент3 123 2" xfId="4049"/>
    <cellStyle name="20% - Акцент3 124" xfId="4050"/>
    <cellStyle name="20% - Акцент3 124 2" xfId="4051"/>
    <cellStyle name="20% - Акцент3 125" xfId="4052"/>
    <cellStyle name="20% - Акцент3 125 2" xfId="4053"/>
    <cellStyle name="20% - Акцент3 126" xfId="4054"/>
    <cellStyle name="20% - Акцент3 126 2" xfId="4055"/>
    <cellStyle name="20% - Акцент3 127" xfId="4056"/>
    <cellStyle name="20% - Акцент3 127 2" xfId="4057"/>
    <cellStyle name="20% - Акцент3 128" xfId="4058"/>
    <cellStyle name="20% - Акцент3 128 2" xfId="4059"/>
    <cellStyle name="20% - Акцент3 129" xfId="4060"/>
    <cellStyle name="20% - Акцент3 129 2" xfId="4061"/>
    <cellStyle name="20% - Акцент3 13" xfId="4062"/>
    <cellStyle name="20% - Акцент3 130" xfId="4063"/>
    <cellStyle name="20% - Акцент3 130 2" xfId="4064"/>
    <cellStyle name="20% - Акцент3 131" xfId="4065"/>
    <cellStyle name="20% - Акцент3 131 2" xfId="4066"/>
    <cellStyle name="20% - Акцент3 132" xfId="4067"/>
    <cellStyle name="20% - Акцент3 132 2" xfId="4068"/>
    <cellStyle name="20% - Акцент3 133" xfId="4069"/>
    <cellStyle name="20% - Акцент3 133 2" xfId="4070"/>
    <cellStyle name="20% - Акцент3 134" xfId="4071"/>
    <cellStyle name="20% - Акцент3 134 2" xfId="4072"/>
    <cellStyle name="20% - Акцент3 135" xfId="4073"/>
    <cellStyle name="20% - Акцент3 135 2" xfId="4074"/>
    <cellStyle name="20% - Акцент3 136" xfId="4075"/>
    <cellStyle name="20% - Акцент3 136 2" xfId="4076"/>
    <cellStyle name="20% - Акцент3 137" xfId="4077"/>
    <cellStyle name="20% - Акцент3 137 2" xfId="4078"/>
    <cellStyle name="20% - Акцент3 138" xfId="4079"/>
    <cellStyle name="20% - Акцент3 138 2" xfId="4080"/>
    <cellStyle name="20% - Акцент3 139" xfId="4081"/>
    <cellStyle name="20% - Акцент3 139 2" xfId="4082"/>
    <cellStyle name="20% - Акцент3 14" xfId="4083"/>
    <cellStyle name="20% - Акцент3 140" xfId="4084"/>
    <cellStyle name="20% - Акцент3 140 2" xfId="4085"/>
    <cellStyle name="20% - Акцент3 141" xfId="4086"/>
    <cellStyle name="20% - Акцент3 141 2" xfId="4087"/>
    <cellStyle name="20% - Акцент3 142" xfId="4088"/>
    <cellStyle name="20% - Акцент3 142 2" xfId="4089"/>
    <cellStyle name="20% - Акцент3 143" xfId="4090"/>
    <cellStyle name="20% - Акцент3 143 2" xfId="4091"/>
    <cellStyle name="20% - Акцент3 144" xfId="4092"/>
    <cellStyle name="20% - Акцент3 144 2" xfId="4093"/>
    <cellStyle name="20% - Акцент3 145" xfId="4094"/>
    <cellStyle name="20% - Акцент3 145 2" xfId="4095"/>
    <cellStyle name="20% - Акцент3 146" xfId="4096"/>
    <cellStyle name="20% - Акцент3 146 2" xfId="4097"/>
    <cellStyle name="20% - Акцент3 147" xfId="4098"/>
    <cellStyle name="20% - Акцент3 147 2" xfId="4099"/>
    <cellStyle name="20% - Акцент3 148" xfId="4100"/>
    <cellStyle name="20% - Акцент3 148 2" xfId="4101"/>
    <cellStyle name="20% - Акцент3 149" xfId="4102"/>
    <cellStyle name="20% - Акцент3 149 2" xfId="4103"/>
    <cellStyle name="20% - Акцент3 15" xfId="4104"/>
    <cellStyle name="20% - Акцент3 150" xfId="4105"/>
    <cellStyle name="20% - Акцент3 150 2" xfId="4106"/>
    <cellStyle name="20% - Акцент3 151" xfId="4107"/>
    <cellStyle name="20% - Акцент3 151 2" xfId="4108"/>
    <cellStyle name="20% - Акцент3 152" xfId="4109"/>
    <cellStyle name="20% - Акцент3 152 2" xfId="4110"/>
    <cellStyle name="20% - Акцент3 153" xfId="4111"/>
    <cellStyle name="20% - Акцент3 153 2" xfId="4112"/>
    <cellStyle name="20% - Акцент3 154" xfId="4113"/>
    <cellStyle name="20% - Акцент3 154 2" xfId="4114"/>
    <cellStyle name="20% - Акцент3 155" xfId="4115"/>
    <cellStyle name="20% - Акцент3 155 2" xfId="4116"/>
    <cellStyle name="20% - Акцент3 156" xfId="4117"/>
    <cellStyle name="20% - Акцент3 156 2" xfId="4118"/>
    <cellStyle name="20% - Акцент3 157" xfId="4119"/>
    <cellStyle name="20% - Акцент3 157 2" xfId="4120"/>
    <cellStyle name="20% - Акцент3 158" xfId="4121"/>
    <cellStyle name="20% - Акцент3 158 2" xfId="4122"/>
    <cellStyle name="20% - Акцент3 159" xfId="4123"/>
    <cellStyle name="20% - Акцент3 159 2" xfId="4124"/>
    <cellStyle name="20% - Акцент3 16" xfId="4125"/>
    <cellStyle name="20% - Акцент3 160" xfId="4126"/>
    <cellStyle name="20% - Акцент3 160 2" xfId="4127"/>
    <cellStyle name="20% - Акцент3 161" xfId="4128"/>
    <cellStyle name="20% - Акцент3 161 2" xfId="4129"/>
    <cellStyle name="20% - Акцент3 162" xfId="4130"/>
    <cellStyle name="20% - Акцент3 162 2" xfId="4131"/>
    <cellStyle name="20% - Акцент3 163" xfId="4132"/>
    <cellStyle name="20% - Акцент3 163 2" xfId="4133"/>
    <cellStyle name="20% - Акцент3 164" xfId="4134"/>
    <cellStyle name="20% - Акцент3 164 2" xfId="4135"/>
    <cellStyle name="20% - Акцент3 165" xfId="4136"/>
    <cellStyle name="20% - Акцент3 165 2" xfId="4137"/>
    <cellStyle name="20% - Акцент3 166" xfId="4138"/>
    <cellStyle name="20% - Акцент3 166 2" xfId="4139"/>
    <cellStyle name="20% - Акцент3 167" xfId="4140"/>
    <cellStyle name="20% - Акцент3 167 2" xfId="4141"/>
    <cellStyle name="20% - Акцент3 168" xfId="4142"/>
    <cellStyle name="20% - Акцент3 168 2" xfId="4143"/>
    <cellStyle name="20% - Акцент3 169" xfId="4144"/>
    <cellStyle name="20% - Акцент3 169 2" xfId="4145"/>
    <cellStyle name="20% - Акцент3 17" xfId="4146"/>
    <cellStyle name="20% - Акцент3 170" xfId="4147"/>
    <cellStyle name="20% - Акцент3 170 2" xfId="4148"/>
    <cellStyle name="20% - Акцент3 171" xfId="4149"/>
    <cellStyle name="20% - Акцент3 171 2" xfId="4150"/>
    <cellStyle name="20% - Акцент3 172" xfId="4151"/>
    <cellStyle name="20% - Акцент3 172 2" xfId="4152"/>
    <cellStyle name="20% - Акцент3 173" xfId="4153"/>
    <cellStyle name="20% - Акцент3 173 2" xfId="4154"/>
    <cellStyle name="20% - Акцент3 174" xfId="4155"/>
    <cellStyle name="20% - Акцент3 174 2" xfId="4156"/>
    <cellStyle name="20% - Акцент3 175" xfId="4157"/>
    <cellStyle name="20% - Акцент3 175 2" xfId="4158"/>
    <cellStyle name="20% - Акцент3 176" xfId="4159"/>
    <cellStyle name="20% - Акцент3 176 2" xfId="4160"/>
    <cellStyle name="20% - Акцент3 177" xfId="4161"/>
    <cellStyle name="20% - Акцент3 177 2" xfId="4162"/>
    <cellStyle name="20% - Акцент3 178" xfId="4163"/>
    <cellStyle name="20% - Акцент3 178 2" xfId="4164"/>
    <cellStyle name="20% - Акцент3 179" xfId="4165"/>
    <cellStyle name="20% - Акцент3 179 2" xfId="4166"/>
    <cellStyle name="20% - Акцент3 18" xfId="4167"/>
    <cellStyle name="20% - Акцент3 180" xfId="4168"/>
    <cellStyle name="20% - Акцент3 180 2" xfId="4169"/>
    <cellStyle name="20% - Акцент3 181" xfId="4170"/>
    <cellStyle name="20% - Акцент3 181 2" xfId="4171"/>
    <cellStyle name="20% - Акцент3 182" xfId="4172"/>
    <cellStyle name="20% - Акцент3 182 2" xfId="4173"/>
    <cellStyle name="20% - Акцент3 183" xfId="4174"/>
    <cellStyle name="20% - Акцент3 183 2" xfId="4175"/>
    <cellStyle name="20% - Акцент3 184" xfId="4176"/>
    <cellStyle name="20% - Акцент3 184 2" xfId="4177"/>
    <cellStyle name="20% - Акцент3 185" xfId="4178"/>
    <cellStyle name="20% - Акцент3 185 2" xfId="4179"/>
    <cellStyle name="20% - Акцент3 186" xfId="4180"/>
    <cellStyle name="20% - Акцент3 186 2" xfId="4181"/>
    <cellStyle name="20% - Акцент3 187" xfId="4182"/>
    <cellStyle name="20% - Акцент3 187 2" xfId="4183"/>
    <cellStyle name="20% - Акцент3 188" xfId="4184"/>
    <cellStyle name="20% - Акцент3 188 2" xfId="4185"/>
    <cellStyle name="20% - Акцент3 189" xfId="4186"/>
    <cellStyle name="20% - Акцент3 189 2" xfId="4187"/>
    <cellStyle name="20% - Акцент3 19" xfId="4188"/>
    <cellStyle name="20% - Акцент3 190" xfId="4189"/>
    <cellStyle name="20% - Акцент3 190 2" xfId="4190"/>
    <cellStyle name="20% - Акцент3 191" xfId="4191"/>
    <cellStyle name="20% - Акцент3 191 2" xfId="4192"/>
    <cellStyle name="20% - Акцент3 192" xfId="4193"/>
    <cellStyle name="20% - Акцент3 192 2" xfId="4194"/>
    <cellStyle name="20% - Акцент3 193" xfId="4195"/>
    <cellStyle name="20% - Акцент3 193 2" xfId="4196"/>
    <cellStyle name="20% - Акцент3 194" xfId="4197"/>
    <cellStyle name="20% - Акцент3 194 2" xfId="4198"/>
    <cellStyle name="20% - Акцент3 195" xfId="4199"/>
    <cellStyle name="20% - Акцент3 195 2" xfId="4200"/>
    <cellStyle name="20% - Акцент3 196" xfId="4201"/>
    <cellStyle name="20% - Акцент3 196 2" xfId="4202"/>
    <cellStyle name="20% - Акцент3 197" xfId="4203"/>
    <cellStyle name="20% - Акцент3 197 2" xfId="4204"/>
    <cellStyle name="20% - Акцент3 198" xfId="4205"/>
    <cellStyle name="20% - Акцент3 198 2" xfId="4206"/>
    <cellStyle name="20% - Акцент3 199" xfId="4207"/>
    <cellStyle name="20% - Акцент3 199 2" xfId="4208"/>
    <cellStyle name="20% - Акцент3 2" xfId="4209"/>
    <cellStyle name="20% - Акцент3 2 2" xfId="4210"/>
    <cellStyle name="20% - Акцент3 2 2 2" xfId="4211"/>
    <cellStyle name="20% - Акцент3 2 3" xfId="4212"/>
    <cellStyle name="20% - Акцент3 2 4" xfId="4213"/>
    <cellStyle name="20% - Акцент3 2 5" xfId="4214"/>
    <cellStyle name="20% - Акцент3 2 6" xfId="4215"/>
    <cellStyle name="20% - Акцент3 2 7" xfId="4216"/>
    <cellStyle name="20% - Акцент3 20" xfId="4217"/>
    <cellStyle name="20% - Акцент3 20 2" xfId="4218"/>
    <cellStyle name="20% - Акцент3 200" xfId="4219"/>
    <cellStyle name="20% - Акцент3 200 2" xfId="4220"/>
    <cellStyle name="20% - Акцент3 201" xfId="4221"/>
    <cellStyle name="20% - Акцент3 201 2" xfId="4222"/>
    <cellStyle name="20% - Акцент3 202" xfId="4223"/>
    <cellStyle name="20% - Акцент3 202 2" xfId="4224"/>
    <cellStyle name="20% - Акцент3 203" xfId="4225"/>
    <cellStyle name="20% - Акцент3 203 2" xfId="4226"/>
    <cellStyle name="20% - Акцент3 204" xfId="4227"/>
    <cellStyle name="20% - Акцент3 204 2" xfId="4228"/>
    <cellStyle name="20% - Акцент3 205" xfId="4229"/>
    <cellStyle name="20% - Акцент3 205 2" xfId="4230"/>
    <cellStyle name="20% - Акцент3 206" xfId="4231"/>
    <cellStyle name="20% - Акцент3 206 2" xfId="4232"/>
    <cellStyle name="20% - Акцент3 207" xfId="4233"/>
    <cellStyle name="20% - Акцент3 207 2" xfId="4234"/>
    <cellStyle name="20% - Акцент3 208" xfId="4235"/>
    <cellStyle name="20% - Акцент3 208 2" xfId="4236"/>
    <cellStyle name="20% - Акцент3 209" xfId="4237"/>
    <cellStyle name="20% - Акцент3 209 2" xfId="4238"/>
    <cellStyle name="20% - Акцент3 21" xfId="4239"/>
    <cellStyle name="20% - Акцент3 21 2" xfId="4240"/>
    <cellStyle name="20% - Акцент3 210" xfId="4241"/>
    <cellStyle name="20% - Акцент3 210 2" xfId="4242"/>
    <cellStyle name="20% - Акцент3 211" xfId="4243"/>
    <cellStyle name="20% - Акцент3 211 2" xfId="4244"/>
    <cellStyle name="20% - Акцент3 212" xfId="4245"/>
    <cellStyle name="20% - Акцент3 212 2" xfId="4246"/>
    <cellStyle name="20% - Акцент3 213" xfId="4247"/>
    <cellStyle name="20% - Акцент3 213 2" xfId="4248"/>
    <cellStyle name="20% - Акцент3 214" xfId="4249"/>
    <cellStyle name="20% - Акцент3 214 2" xfId="4250"/>
    <cellStyle name="20% - Акцент3 215" xfId="4251"/>
    <cellStyle name="20% - Акцент3 215 2" xfId="4252"/>
    <cellStyle name="20% - Акцент3 216" xfId="4253"/>
    <cellStyle name="20% - Акцент3 216 2" xfId="4254"/>
    <cellStyle name="20% - Акцент3 217" xfId="4255"/>
    <cellStyle name="20% - Акцент3 217 2" xfId="4256"/>
    <cellStyle name="20% - Акцент3 217 3" xfId="4257"/>
    <cellStyle name="20% - Акцент3 218" xfId="4258"/>
    <cellStyle name="20% - Акцент3 219" xfId="4259"/>
    <cellStyle name="20% - Акцент3 22" xfId="4260"/>
    <cellStyle name="20% - Акцент3 22 2" xfId="4261"/>
    <cellStyle name="20% - Акцент3 220" xfId="4262"/>
    <cellStyle name="20% - Акцент3 221" xfId="4263"/>
    <cellStyle name="20% - Акцент3 222" xfId="4264"/>
    <cellStyle name="20% - Акцент3 223" xfId="4265"/>
    <cellStyle name="20% - Акцент3 224" xfId="4266"/>
    <cellStyle name="20% - Акцент3 225" xfId="4267"/>
    <cellStyle name="20% - Акцент3 226" xfId="4268"/>
    <cellStyle name="20% - Акцент3 227" xfId="4269"/>
    <cellStyle name="20% - Акцент3 228" xfId="4270"/>
    <cellStyle name="20% - Акцент3 229" xfId="4271"/>
    <cellStyle name="20% - Акцент3 23" xfId="4272"/>
    <cellStyle name="20% - Акцент3 23 2" xfId="4273"/>
    <cellStyle name="20% - Акцент3 230" xfId="4274"/>
    <cellStyle name="20% - Акцент3 231" xfId="4275"/>
    <cellStyle name="20% - Акцент3 232" xfId="4276"/>
    <cellStyle name="20% - Акцент3 233" xfId="4277"/>
    <cellStyle name="20% - Акцент3 234" xfId="4278"/>
    <cellStyle name="20% - Акцент3 235" xfId="4279"/>
    <cellStyle name="20% - Акцент3 236" xfId="4280"/>
    <cellStyle name="20% - Акцент3 237" xfId="4281"/>
    <cellStyle name="20% - Акцент3 238" xfId="4282"/>
    <cellStyle name="20% - Акцент3 239" xfId="4283"/>
    <cellStyle name="20% - Акцент3 24" xfId="4284"/>
    <cellStyle name="20% - Акцент3 24 2" xfId="4285"/>
    <cellStyle name="20% - Акцент3 240" xfId="4286"/>
    <cellStyle name="20% - Акцент3 241" xfId="4287"/>
    <cellStyle name="20% - Акцент3 242" xfId="4288"/>
    <cellStyle name="20% - Акцент3 243" xfId="4289"/>
    <cellStyle name="20% - Акцент3 244" xfId="4290"/>
    <cellStyle name="20% - Акцент3 245" xfId="4291"/>
    <cellStyle name="20% - Акцент3 246" xfId="4292"/>
    <cellStyle name="20% - Акцент3 247" xfId="4293"/>
    <cellStyle name="20% - Акцент3 248" xfId="4294"/>
    <cellStyle name="20% - Акцент3 249" xfId="4295"/>
    <cellStyle name="20% - Акцент3 25" xfId="4296"/>
    <cellStyle name="20% - Акцент3 25 2" xfId="4297"/>
    <cellStyle name="20% - Акцент3 250" xfId="4298"/>
    <cellStyle name="20% - Акцент3 251" xfId="4299"/>
    <cellStyle name="20% - Акцент3 252" xfId="4300"/>
    <cellStyle name="20% - Акцент3 253" xfId="4301"/>
    <cellStyle name="20% - Акцент3 254" xfId="4302"/>
    <cellStyle name="20% - Акцент3 255" xfId="4303"/>
    <cellStyle name="20% - Акцент3 26" xfId="4304"/>
    <cellStyle name="20% - Акцент3 26 2" xfId="4305"/>
    <cellStyle name="20% - Акцент3 27" xfId="4306"/>
    <cellStyle name="20% - Акцент3 27 2" xfId="4307"/>
    <cellStyle name="20% - Акцент3 28" xfId="4308"/>
    <cellStyle name="20% - Акцент3 28 2" xfId="4309"/>
    <cellStyle name="20% - Акцент3 29" xfId="4310"/>
    <cellStyle name="20% - Акцент3 29 2" xfId="4311"/>
    <cellStyle name="20% - Акцент3 3" xfId="4312"/>
    <cellStyle name="20% - Акцент3 30" xfId="4313"/>
    <cellStyle name="20% - Акцент3 30 2" xfId="4314"/>
    <cellStyle name="20% - Акцент3 31" xfId="4315"/>
    <cellStyle name="20% - Акцент3 31 2" xfId="4316"/>
    <cellStyle name="20% - Акцент3 32" xfId="4317"/>
    <cellStyle name="20% - Акцент3 32 2" xfId="4318"/>
    <cellStyle name="20% - Акцент3 33" xfId="4319"/>
    <cellStyle name="20% - Акцент3 33 2" xfId="4320"/>
    <cellStyle name="20% - Акцент3 34" xfId="4321"/>
    <cellStyle name="20% - Акцент3 34 2" xfId="4322"/>
    <cellStyle name="20% - Акцент3 35" xfId="4323"/>
    <cellStyle name="20% - Акцент3 35 2" xfId="4324"/>
    <cellStyle name="20% - Акцент3 36" xfId="4325"/>
    <cellStyle name="20% - Акцент3 36 2" xfId="4326"/>
    <cellStyle name="20% - Акцент3 37" xfId="4327"/>
    <cellStyle name="20% - Акцент3 37 2" xfId="4328"/>
    <cellStyle name="20% - Акцент3 38" xfId="4329"/>
    <cellStyle name="20% - Акцент3 38 2" xfId="4330"/>
    <cellStyle name="20% - Акцент3 39" xfId="4331"/>
    <cellStyle name="20% - Акцент3 39 2" xfId="4332"/>
    <cellStyle name="20% - Акцент3 4" xfId="4333"/>
    <cellStyle name="20% - Акцент3 40" xfId="4334"/>
    <cellStyle name="20% - Акцент3 40 2" xfId="4335"/>
    <cellStyle name="20% - Акцент3 41" xfId="4336"/>
    <cellStyle name="20% - Акцент3 41 2" xfId="4337"/>
    <cellStyle name="20% - Акцент3 42" xfId="4338"/>
    <cellStyle name="20% - Акцент3 42 2" xfId="4339"/>
    <cellStyle name="20% - Акцент3 43" xfId="4340"/>
    <cellStyle name="20% - Акцент3 43 2" xfId="4341"/>
    <cellStyle name="20% - Акцент3 44" xfId="4342"/>
    <cellStyle name="20% - Акцент3 44 2" xfId="4343"/>
    <cellStyle name="20% - Акцент3 45" xfId="4344"/>
    <cellStyle name="20% - Акцент3 45 2" xfId="4345"/>
    <cellStyle name="20% - Акцент3 46" xfId="4346"/>
    <cellStyle name="20% - Акцент3 46 2" xfId="4347"/>
    <cellStyle name="20% - Акцент3 47" xfId="4348"/>
    <cellStyle name="20% - Акцент3 47 2" xfId="4349"/>
    <cellStyle name="20% - Акцент3 48" xfId="4350"/>
    <cellStyle name="20% - Акцент3 48 2" xfId="4351"/>
    <cellStyle name="20% - Акцент3 49" xfId="4352"/>
    <cellStyle name="20% - Акцент3 49 2" xfId="4353"/>
    <cellStyle name="20% - Акцент3 5" xfId="4354"/>
    <cellStyle name="20% - Акцент3 50" xfId="4355"/>
    <cellStyle name="20% - Акцент3 50 2" xfId="4356"/>
    <cellStyle name="20% - Акцент3 51" xfId="4357"/>
    <cellStyle name="20% - Акцент3 51 2" xfId="4358"/>
    <cellStyle name="20% - Акцент3 52" xfId="4359"/>
    <cellStyle name="20% - Акцент3 52 2" xfId="4360"/>
    <cellStyle name="20% - Акцент3 53" xfId="4361"/>
    <cellStyle name="20% - Акцент3 53 2" xfId="4362"/>
    <cellStyle name="20% - Акцент3 54" xfId="4363"/>
    <cellStyle name="20% - Акцент3 54 2" xfId="4364"/>
    <cellStyle name="20% - Акцент3 55" xfId="4365"/>
    <cellStyle name="20% - Акцент3 55 2" xfId="4366"/>
    <cellStyle name="20% - Акцент3 56" xfId="4367"/>
    <cellStyle name="20% - Акцент3 56 2" xfId="4368"/>
    <cellStyle name="20% - Акцент3 57" xfId="4369"/>
    <cellStyle name="20% - Акцент3 57 2" xfId="4370"/>
    <cellStyle name="20% - Акцент3 58" xfId="4371"/>
    <cellStyle name="20% - Акцент3 58 2" xfId="4372"/>
    <cellStyle name="20% - Акцент3 59" xfId="4373"/>
    <cellStyle name="20% - Акцент3 59 2" xfId="4374"/>
    <cellStyle name="20% - Акцент3 6" xfId="4375"/>
    <cellStyle name="20% - Акцент3 60" xfId="4376"/>
    <cellStyle name="20% - Акцент3 60 2" xfId="4377"/>
    <cellStyle name="20% - Акцент3 61" xfId="4378"/>
    <cellStyle name="20% - Акцент3 61 2" xfId="4379"/>
    <cellStyle name="20% - Акцент3 62" xfId="4380"/>
    <cellStyle name="20% - Акцент3 62 2" xfId="4381"/>
    <cellStyle name="20% - Акцент3 63" xfId="4382"/>
    <cellStyle name="20% - Акцент3 63 2" xfId="4383"/>
    <cellStyle name="20% - Акцент3 64" xfId="4384"/>
    <cellStyle name="20% - Акцент3 64 2" xfId="4385"/>
    <cellStyle name="20% - Акцент3 65" xfId="4386"/>
    <cellStyle name="20% - Акцент3 65 2" xfId="4387"/>
    <cellStyle name="20% - Акцент3 66" xfId="4388"/>
    <cellStyle name="20% - Акцент3 66 2" xfId="4389"/>
    <cellStyle name="20% - Акцент3 67" xfId="4390"/>
    <cellStyle name="20% - Акцент3 67 2" xfId="4391"/>
    <cellStyle name="20% - Акцент3 68" xfId="4392"/>
    <cellStyle name="20% - Акцент3 68 2" xfId="4393"/>
    <cellStyle name="20% - Акцент3 69" xfId="4394"/>
    <cellStyle name="20% - Акцент3 69 2" xfId="4395"/>
    <cellStyle name="20% - Акцент3 7" xfId="4396"/>
    <cellStyle name="20% - Акцент3 70" xfId="4397"/>
    <cellStyle name="20% - Акцент3 70 2" xfId="4398"/>
    <cellStyle name="20% - Акцент3 71" xfId="4399"/>
    <cellStyle name="20% - Акцент3 71 2" xfId="4400"/>
    <cellStyle name="20% - Акцент3 72" xfId="4401"/>
    <cellStyle name="20% - Акцент3 72 2" xfId="4402"/>
    <cellStyle name="20% - Акцент3 73" xfId="4403"/>
    <cellStyle name="20% - Акцент3 73 2" xfId="4404"/>
    <cellStyle name="20% - Акцент3 74" xfId="4405"/>
    <cellStyle name="20% - Акцент3 74 2" xfId="4406"/>
    <cellStyle name="20% - Акцент3 75" xfId="4407"/>
    <cellStyle name="20% - Акцент3 75 2" xfId="4408"/>
    <cellStyle name="20% - Акцент3 76" xfId="4409"/>
    <cellStyle name="20% - Акцент3 76 2" xfId="4410"/>
    <cellStyle name="20% - Акцент3 77" xfId="4411"/>
    <cellStyle name="20% - Акцент3 77 2" xfId="4412"/>
    <cellStyle name="20% - Акцент3 78" xfId="4413"/>
    <cellStyle name="20% - Акцент3 78 2" xfId="4414"/>
    <cellStyle name="20% - Акцент3 79" xfId="4415"/>
    <cellStyle name="20% - Акцент3 79 2" xfId="4416"/>
    <cellStyle name="20% - Акцент3 8" xfId="4417"/>
    <cellStyle name="20% - Акцент3 80" xfId="4418"/>
    <cellStyle name="20% - Акцент3 80 2" xfId="4419"/>
    <cellStyle name="20% - Акцент3 81" xfId="4420"/>
    <cellStyle name="20% - Акцент3 81 2" xfId="4421"/>
    <cellStyle name="20% - Акцент3 82" xfId="4422"/>
    <cellStyle name="20% - Акцент3 82 2" xfId="4423"/>
    <cellStyle name="20% - Акцент3 83" xfId="4424"/>
    <cellStyle name="20% - Акцент3 83 2" xfId="4425"/>
    <cellStyle name="20% - Акцент3 84" xfId="4426"/>
    <cellStyle name="20% - Акцент3 84 2" xfId="4427"/>
    <cellStyle name="20% - Акцент3 85" xfId="4428"/>
    <cellStyle name="20% - Акцент3 85 2" xfId="4429"/>
    <cellStyle name="20% - Акцент3 86" xfId="4430"/>
    <cellStyle name="20% - Акцент3 86 2" xfId="4431"/>
    <cellStyle name="20% - Акцент3 87" xfId="4432"/>
    <cellStyle name="20% - Акцент3 87 2" xfId="4433"/>
    <cellStyle name="20% - Акцент3 88" xfId="4434"/>
    <cellStyle name="20% - Акцент3 88 2" xfId="4435"/>
    <cellStyle name="20% - Акцент3 89" xfId="4436"/>
    <cellStyle name="20% - Акцент3 89 2" xfId="4437"/>
    <cellStyle name="20% - Акцент3 9" xfId="4438"/>
    <cellStyle name="20% - Акцент3 90" xfId="4439"/>
    <cellStyle name="20% - Акцент3 90 2" xfId="4440"/>
    <cellStyle name="20% - Акцент3 91" xfId="4441"/>
    <cellStyle name="20% - Акцент3 91 2" xfId="4442"/>
    <cellStyle name="20% - Акцент3 92" xfId="4443"/>
    <cellStyle name="20% - Акцент3 92 2" xfId="4444"/>
    <cellStyle name="20% - Акцент3 93" xfId="4445"/>
    <cellStyle name="20% - Акцент3 93 2" xfId="4446"/>
    <cellStyle name="20% - Акцент3 94" xfId="4447"/>
    <cellStyle name="20% - Акцент3 94 2" xfId="4448"/>
    <cellStyle name="20% - Акцент3 95" xfId="4449"/>
    <cellStyle name="20% - Акцент3 95 2" xfId="4450"/>
    <cellStyle name="20% - Акцент3 96" xfId="4451"/>
    <cellStyle name="20% - Акцент3 96 2" xfId="4452"/>
    <cellStyle name="20% - Акцент3 97" xfId="4453"/>
    <cellStyle name="20% - Акцент3 97 2" xfId="4454"/>
    <cellStyle name="20% - Акцент3 98" xfId="4455"/>
    <cellStyle name="20% - Акцент3 98 2" xfId="4456"/>
    <cellStyle name="20% - Акцент3 99" xfId="4457"/>
    <cellStyle name="20% - Акцент3 99 2" xfId="4458"/>
    <cellStyle name="20% - Акцент4 10" xfId="4459"/>
    <cellStyle name="20% - Акцент4 100" xfId="4460"/>
    <cellStyle name="20% - Акцент4 100 2" xfId="4461"/>
    <cellStyle name="20% - Акцент4 101" xfId="4462"/>
    <cellStyle name="20% - Акцент4 101 2" xfId="4463"/>
    <cellStyle name="20% - Акцент4 102" xfId="4464"/>
    <cellStyle name="20% - Акцент4 102 2" xfId="4465"/>
    <cellStyle name="20% - Акцент4 103" xfId="4466"/>
    <cellStyle name="20% - Акцент4 103 2" xfId="4467"/>
    <cellStyle name="20% - Акцент4 104" xfId="4468"/>
    <cellStyle name="20% - Акцент4 104 2" xfId="4469"/>
    <cellStyle name="20% - Акцент4 105" xfId="4470"/>
    <cellStyle name="20% - Акцент4 105 2" xfId="4471"/>
    <cellStyle name="20% - Акцент4 106" xfId="4472"/>
    <cellStyle name="20% - Акцент4 106 2" xfId="4473"/>
    <cellStyle name="20% - Акцент4 107" xfId="4474"/>
    <cellStyle name="20% - Акцент4 107 2" xfId="4475"/>
    <cellStyle name="20% - Акцент4 108" xfId="4476"/>
    <cellStyle name="20% - Акцент4 108 2" xfId="4477"/>
    <cellStyle name="20% - Акцент4 109" xfId="4478"/>
    <cellStyle name="20% - Акцент4 109 2" xfId="4479"/>
    <cellStyle name="20% - Акцент4 11" xfId="4480"/>
    <cellStyle name="20% - Акцент4 110" xfId="4481"/>
    <cellStyle name="20% - Акцент4 110 2" xfId="4482"/>
    <cellStyle name="20% - Акцент4 111" xfId="4483"/>
    <cellStyle name="20% - Акцент4 111 2" xfId="4484"/>
    <cellStyle name="20% - Акцент4 112" xfId="4485"/>
    <cellStyle name="20% - Акцент4 112 2" xfId="4486"/>
    <cellStyle name="20% - Акцент4 113" xfId="4487"/>
    <cellStyle name="20% - Акцент4 113 2" xfId="4488"/>
    <cellStyle name="20% - Акцент4 114" xfId="4489"/>
    <cellStyle name="20% - Акцент4 114 2" xfId="4490"/>
    <cellStyle name="20% - Акцент4 115" xfId="4491"/>
    <cellStyle name="20% - Акцент4 115 2" xfId="4492"/>
    <cellStyle name="20% - Акцент4 116" xfId="4493"/>
    <cellStyle name="20% - Акцент4 116 2" xfId="4494"/>
    <cellStyle name="20% - Акцент4 117" xfId="4495"/>
    <cellStyle name="20% - Акцент4 117 2" xfId="4496"/>
    <cellStyle name="20% - Акцент4 118" xfId="4497"/>
    <cellStyle name="20% - Акцент4 118 2" xfId="4498"/>
    <cellStyle name="20% - Акцент4 119" xfId="4499"/>
    <cellStyle name="20% - Акцент4 119 2" xfId="4500"/>
    <cellStyle name="20% - Акцент4 12" xfId="4501"/>
    <cellStyle name="20% - Акцент4 120" xfId="4502"/>
    <cellStyle name="20% - Акцент4 120 2" xfId="4503"/>
    <cellStyle name="20% - Акцент4 121" xfId="4504"/>
    <cellStyle name="20% - Акцент4 121 2" xfId="4505"/>
    <cellStyle name="20% - Акцент4 122" xfId="4506"/>
    <cellStyle name="20% - Акцент4 122 2" xfId="4507"/>
    <cellStyle name="20% - Акцент4 123" xfId="4508"/>
    <cellStyle name="20% - Акцент4 123 2" xfId="4509"/>
    <cellStyle name="20% - Акцент4 124" xfId="4510"/>
    <cellStyle name="20% - Акцент4 124 2" xfId="4511"/>
    <cellStyle name="20% - Акцент4 125" xfId="4512"/>
    <cellStyle name="20% - Акцент4 125 2" xfId="4513"/>
    <cellStyle name="20% - Акцент4 126" xfId="4514"/>
    <cellStyle name="20% - Акцент4 126 2" xfId="4515"/>
    <cellStyle name="20% - Акцент4 127" xfId="4516"/>
    <cellStyle name="20% - Акцент4 127 2" xfId="4517"/>
    <cellStyle name="20% - Акцент4 128" xfId="4518"/>
    <cellStyle name="20% - Акцент4 128 2" xfId="4519"/>
    <cellStyle name="20% - Акцент4 129" xfId="4520"/>
    <cellStyle name="20% - Акцент4 129 2" xfId="4521"/>
    <cellStyle name="20% - Акцент4 13" xfId="4522"/>
    <cellStyle name="20% - Акцент4 130" xfId="4523"/>
    <cellStyle name="20% - Акцент4 130 2" xfId="4524"/>
    <cellStyle name="20% - Акцент4 131" xfId="4525"/>
    <cellStyle name="20% - Акцент4 131 2" xfId="4526"/>
    <cellStyle name="20% - Акцент4 132" xfId="4527"/>
    <cellStyle name="20% - Акцент4 132 2" xfId="4528"/>
    <cellStyle name="20% - Акцент4 133" xfId="4529"/>
    <cellStyle name="20% - Акцент4 133 2" xfId="4530"/>
    <cellStyle name="20% - Акцент4 134" xfId="4531"/>
    <cellStyle name="20% - Акцент4 134 2" xfId="4532"/>
    <cellStyle name="20% - Акцент4 135" xfId="4533"/>
    <cellStyle name="20% - Акцент4 135 2" xfId="4534"/>
    <cellStyle name="20% - Акцент4 136" xfId="4535"/>
    <cellStyle name="20% - Акцент4 136 2" xfId="4536"/>
    <cellStyle name="20% - Акцент4 137" xfId="4537"/>
    <cellStyle name="20% - Акцент4 137 2" xfId="4538"/>
    <cellStyle name="20% - Акцент4 138" xfId="4539"/>
    <cellStyle name="20% - Акцент4 138 2" xfId="4540"/>
    <cellStyle name="20% - Акцент4 139" xfId="4541"/>
    <cellStyle name="20% - Акцент4 139 2" xfId="4542"/>
    <cellStyle name="20% - Акцент4 14" xfId="4543"/>
    <cellStyle name="20% - Акцент4 140" xfId="4544"/>
    <cellStyle name="20% - Акцент4 140 2" xfId="4545"/>
    <cellStyle name="20% - Акцент4 141" xfId="4546"/>
    <cellStyle name="20% - Акцент4 141 2" xfId="4547"/>
    <cellStyle name="20% - Акцент4 142" xfId="4548"/>
    <cellStyle name="20% - Акцент4 142 2" xfId="4549"/>
    <cellStyle name="20% - Акцент4 143" xfId="4550"/>
    <cellStyle name="20% - Акцент4 143 2" xfId="4551"/>
    <cellStyle name="20% - Акцент4 144" xfId="4552"/>
    <cellStyle name="20% - Акцент4 144 2" xfId="4553"/>
    <cellStyle name="20% - Акцент4 145" xfId="4554"/>
    <cellStyle name="20% - Акцент4 145 2" xfId="4555"/>
    <cellStyle name="20% - Акцент4 146" xfId="4556"/>
    <cellStyle name="20% - Акцент4 146 2" xfId="4557"/>
    <cellStyle name="20% - Акцент4 147" xfId="4558"/>
    <cellStyle name="20% - Акцент4 147 2" xfId="4559"/>
    <cellStyle name="20% - Акцент4 148" xfId="4560"/>
    <cellStyle name="20% - Акцент4 148 2" xfId="4561"/>
    <cellStyle name="20% - Акцент4 149" xfId="4562"/>
    <cellStyle name="20% - Акцент4 149 2" xfId="4563"/>
    <cellStyle name="20% - Акцент4 15" xfId="4564"/>
    <cellStyle name="20% - Акцент4 150" xfId="4565"/>
    <cellStyle name="20% - Акцент4 150 2" xfId="4566"/>
    <cellStyle name="20% - Акцент4 151" xfId="4567"/>
    <cellStyle name="20% - Акцент4 151 2" xfId="4568"/>
    <cellStyle name="20% - Акцент4 152" xfId="4569"/>
    <cellStyle name="20% - Акцент4 152 2" xfId="4570"/>
    <cellStyle name="20% - Акцент4 153" xfId="4571"/>
    <cellStyle name="20% - Акцент4 153 2" xfId="4572"/>
    <cellStyle name="20% - Акцент4 154" xfId="4573"/>
    <cellStyle name="20% - Акцент4 154 2" xfId="4574"/>
    <cellStyle name="20% - Акцент4 155" xfId="4575"/>
    <cellStyle name="20% - Акцент4 155 2" xfId="4576"/>
    <cellStyle name="20% - Акцент4 156" xfId="4577"/>
    <cellStyle name="20% - Акцент4 156 2" xfId="4578"/>
    <cellStyle name="20% - Акцент4 157" xfId="4579"/>
    <cellStyle name="20% - Акцент4 157 2" xfId="4580"/>
    <cellStyle name="20% - Акцент4 158" xfId="4581"/>
    <cellStyle name="20% - Акцент4 158 2" xfId="4582"/>
    <cellStyle name="20% - Акцент4 159" xfId="4583"/>
    <cellStyle name="20% - Акцент4 159 2" xfId="4584"/>
    <cellStyle name="20% - Акцент4 16" xfId="4585"/>
    <cellStyle name="20% - Акцент4 160" xfId="4586"/>
    <cellStyle name="20% - Акцент4 160 2" xfId="4587"/>
    <cellStyle name="20% - Акцент4 161" xfId="4588"/>
    <cellStyle name="20% - Акцент4 161 2" xfId="4589"/>
    <cellStyle name="20% - Акцент4 162" xfId="4590"/>
    <cellStyle name="20% - Акцент4 162 2" xfId="4591"/>
    <cellStyle name="20% - Акцент4 163" xfId="4592"/>
    <cellStyle name="20% - Акцент4 163 2" xfId="4593"/>
    <cellStyle name="20% - Акцент4 164" xfId="4594"/>
    <cellStyle name="20% - Акцент4 164 2" xfId="4595"/>
    <cellStyle name="20% - Акцент4 165" xfId="4596"/>
    <cellStyle name="20% - Акцент4 165 2" xfId="4597"/>
    <cellStyle name="20% - Акцент4 166" xfId="4598"/>
    <cellStyle name="20% - Акцент4 166 2" xfId="4599"/>
    <cellStyle name="20% - Акцент4 167" xfId="4600"/>
    <cellStyle name="20% - Акцент4 167 2" xfId="4601"/>
    <cellStyle name="20% - Акцент4 168" xfId="4602"/>
    <cellStyle name="20% - Акцент4 168 2" xfId="4603"/>
    <cellStyle name="20% - Акцент4 169" xfId="4604"/>
    <cellStyle name="20% - Акцент4 169 2" xfId="4605"/>
    <cellStyle name="20% - Акцент4 17" xfId="4606"/>
    <cellStyle name="20% - Акцент4 170" xfId="4607"/>
    <cellStyle name="20% - Акцент4 170 2" xfId="4608"/>
    <cellStyle name="20% - Акцент4 171" xfId="4609"/>
    <cellStyle name="20% - Акцент4 171 2" xfId="4610"/>
    <cellStyle name="20% - Акцент4 172" xfId="4611"/>
    <cellStyle name="20% - Акцент4 172 2" xfId="4612"/>
    <cellStyle name="20% - Акцент4 173" xfId="4613"/>
    <cellStyle name="20% - Акцент4 173 2" xfId="4614"/>
    <cellStyle name="20% - Акцент4 174" xfId="4615"/>
    <cellStyle name="20% - Акцент4 174 2" xfId="4616"/>
    <cellStyle name="20% - Акцент4 175" xfId="4617"/>
    <cellStyle name="20% - Акцент4 175 2" xfId="4618"/>
    <cellStyle name="20% - Акцент4 176" xfId="4619"/>
    <cellStyle name="20% - Акцент4 176 2" xfId="4620"/>
    <cellStyle name="20% - Акцент4 177" xfId="4621"/>
    <cellStyle name="20% - Акцент4 177 2" xfId="4622"/>
    <cellStyle name="20% - Акцент4 178" xfId="4623"/>
    <cellStyle name="20% - Акцент4 178 2" xfId="4624"/>
    <cellStyle name="20% - Акцент4 179" xfId="4625"/>
    <cellStyle name="20% - Акцент4 179 2" xfId="4626"/>
    <cellStyle name="20% - Акцент4 18" xfId="4627"/>
    <cellStyle name="20% - Акцент4 180" xfId="4628"/>
    <cellStyle name="20% - Акцент4 180 2" xfId="4629"/>
    <cellStyle name="20% - Акцент4 181" xfId="4630"/>
    <cellStyle name="20% - Акцент4 181 2" xfId="4631"/>
    <cellStyle name="20% - Акцент4 182" xfId="4632"/>
    <cellStyle name="20% - Акцент4 182 2" xfId="4633"/>
    <cellStyle name="20% - Акцент4 183" xfId="4634"/>
    <cellStyle name="20% - Акцент4 183 2" xfId="4635"/>
    <cellStyle name="20% - Акцент4 184" xfId="4636"/>
    <cellStyle name="20% - Акцент4 184 2" xfId="4637"/>
    <cellStyle name="20% - Акцент4 185" xfId="4638"/>
    <cellStyle name="20% - Акцент4 185 2" xfId="4639"/>
    <cellStyle name="20% - Акцент4 186" xfId="4640"/>
    <cellStyle name="20% - Акцент4 186 2" xfId="4641"/>
    <cellStyle name="20% - Акцент4 187" xfId="4642"/>
    <cellStyle name="20% - Акцент4 187 2" xfId="4643"/>
    <cellStyle name="20% - Акцент4 188" xfId="4644"/>
    <cellStyle name="20% - Акцент4 188 2" xfId="4645"/>
    <cellStyle name="20% - Акцент4 189" xfId="4646"/>
    <cellStyle name="20% - Акцент4 189 2" xfId="4647"/>
    <cellStyle name="20% - Акцент4 19" xfId="4648"/>
    <cellStyle name="20% - Акцент4 190" xfId="4649"/>
    <cellStyle name="20% - Акцент4 190 2" xfId="4650"/>
    <cellStyle name="20% - Акцент4 191" xfId="4651"/>
    <cellStyle name="20% - Акцент4 191 2" xfId="4652"/>
    <cellStyle name="20% - Акцент4 192" xfId="4653"/>
    <cellStyle name="20% - Акцент4 192 2" xfId="4654"/>
    <cellStyle name="20% - Акцент4 193" xfId="4655"/>
    <cellStyle name="20% - Акцент4 193 2" xfId="4656"/>
    <cellStyle name="20% - Акцент4 194" xfId="4657"/>
    <cellStyle name="20% - Акцент4 194 2" xfId="4658"/>
    <cellStyle name="20% - Акцент4 195" xfId="4659"/>
    <cellStyle name="20% - Акцент4 195 2" xfId="4660"/>
    <cellStyle name="20% - Акцент4 196" xfId="4661"/>
    <cellStyle name="20% - Акцент4 196 2" xfId="4662"/>
    <cellStyle name="20% - Акцент4 197" xfId="4663"/>
    <cellStyle name="20% - Акцент4 197 2" xfId="4664"/>
    <cellStyle name="20% - Акцент4 198" xfId="4665"/>
    <cellStyle name="20% - Акцент4 198 2" xfId="4666"/>
    <cellStyle name="20% - Акцент4 199" xfId="4667"/>
    <cellStyle name="20% - Акцент4 199 2" xfId="4668"/>
    <cellStyle name="20% - Акцент4 2" xfId="4669"/>
    <cellStyle name="20% - Акцент4 2 2" xfId="4670"/>
    <cellStyle name="20% - Акцент4 2 2 2" xfId="4671"/>
    <cellStyle name="20% - Акцент4 2 3" xfId="4672"/>
    <cellStyle name="20% - Акцент4 2 4" xfId="4673"/>
    <cellStyle name="20% - Акцент4 2 5" xfId="4674"/>
    <cellStyle name="20% - Акцент4 2 6" xfId="4675"/>
    <cellStyle name="20% - Акцент4 2 7" xfId="4676"/>
    <cellStyle name="20% - Акцент4 20" xfId="4677"/>
    <cellStyle name="20% - Акцент4 20 2" xfId="4678"/>
    <cellStyle name="20% - Акцент4 200" xfId="4679"/>
    <cellStyle name="20% - Акцент4 200 2" xfId="4680"/>
    <cellStyle name="20% - Акцент4 201" xfId="4681"/>
    <cellStyle name="20% - Акцент4 201 2" xfId="4682"/>
    <cellStyle name="20% - Акцент4 202" xfId="4683"/>
    <cellStyle name="20% - Акцент4 202 2" xfId="4684"/>
    <cellStyle name="20% - Акцент4 203" xfId="4685"/>
    <cellStyle name="20% - Акцент4 203 2" xfId="4686"/>
    <cellStyle name="20% - Акцент4 204" xfId="4687"/>
    <cellStyle name="20% - Акцент4 204 2" xfId="4688"/>
    <cellStyle name="20% - Акцент4 205" xfId="4689"/>
    <cellStyle name="20% - Акцент4 205 2" xfId="4690"/>
    <cellStyle name="20% - Акцент4 206" xfId="4691"/>
    <cellStyle name="20% - Акцент4 206 2" xfId="4692"/>
    <cellStyle name="20% - Акцент4 207" xfId="4693"/>
    <cellStyle name="20% - Акцент4 207 2" xfId="4694"/>
    <cellStyle name="20% - Акцент4 208" xfId="4695"/>
    <cellStyle name="20% - Акцент4 208 2" xfId="4696"/>
    <cellStyle name="20% - Акцент4 209" xfId="4697"/>
    <cellStyle name="20% - Акцент4 209 2" xfId="4698"/>
    <cellStyle name="20% - Акцент4 21" xfId="4699"/>
    <cellStyle name="20% - Акцент4 21 2" xfId="4700"/>
    <cellStyle name="20% - Акцент4 210" xfId="4701"/>
    <cellStyle name="20% - Акцент4 210 2" xfId="4702"/>
    <cellStyle name="20% - Акцент4 211" xfId="4703"/>
    <cellStyle name="20% - Акцент4 211 2" xfId="4704"/>
    <cellStyle name="20% - Акцент4 212" xfId="4705"/>
    <cellStyle name="20% - Акцент4 212 2" xfId="4706"/>
    <cellStyle name="20% - Акцент4 213" xfId="4707"/>
    <cellStyle name="20% - Акцент4 213 2" xfId="4708"/>
    <cellStyle name="20% - Акцент4 214" xfId="4709"/>
    <cellStyle name="20% - Акцент4 214 2" xfId="4710"/>
    <cellStyle name="20% - Акцент4 215" xfId="4711"/>
    <cellStyle name="20% - Акцент4 215 2" xfId="4712"/>
    <cellStyle name="20% - Акцент4 216" xfId="4713"/>
    <cellStyle name="20% - Акцент4 216 2" xfId="4714"/>
    <cellStyle name="20% - Акцент4 217" xfId="4715"/>
    <cellStyle name="20% - Акцент4 217 2" xfId="4716"/>
    <cellStyle name="20% - Акцент4 217 3" xfId="4717"/>
    <cellStyle name="20% - Акцент4 218" xfId="4718"/>
    <cellStyle name="20% - Акцент4 219" xfId="4719"/>
    <cellStyle name="20% - Акцент4 22" xfId="4720"/>
    <cellStyle name="20% - Акцент4 22 2" xfId="4721"/>
    <cellStyle name="20% - Акцент4 220" xfId="4722"/>
    <cellStyle name="20% - Акцент4 221" xfId="4723"/>
    <cellStyle name="20% - Акцент4 222" xfId="4724"/>
    <cellStyle name="20% - Акцент4 223" xfId="4725"/>
    <cellStyle name="20% - Акцент4 224" xfId="4726"/>
    <cellStyle name="20% - Акцент4 225" xfId="4727"/>
    <cellStyle name="20% - Акцент4 226" xfId="4728"/>
    <cellStyle name="20% - Акцент4 227" xfId="4729"/>
    <cellStyle name="20% - Акцент4 228" xfId="4730"/>
    <cellStyle name="20% - Акцент4 229" xfId="4731"/>
    <cellStyle name="20% - Акцент4 23" xfId="4732"/>
    <cellStyle name="20% - Акцент4 23 2" xfId="4733"/>
    <cellStyle name="20% - Акцент4 230" xfId="4734"/>
    <cellStyle name="20% - Акцент4 231" xfId="4735"/>
    <cellStyle name="20% - Акцент4 232" xfId="4736"/>
    <cellStyle name="20% - Акцент4 233" xfId="4737"/>
    <cellStyle name="20% - Акцент4 234" xfId="4738"/>
    <cellStyle name="20% - Акцент4 235" xfId="4739"/>
    <cellStyle name="20% - Акцент4 236" xfId="4740"/>
    <cellStyle name="20% - Акцент4 237" xfId="4741"/>
    <cellStyle name="20% - Акцент4 238" xfId="4742"/>
    <cellStyle name="20% - Акцент4 239" xfId="4743"/>
    <cellStyle name="20% - Акцент4 24" xfId="4744"/>
    <cellStyle name="20% - Акцент4 24 2" xfId="4745"/>
    <cellStyle name="20% - Акцент4 240" xfId="4746"/>
    <cellStyle name="20% - Акцент4 241" xfId="4747"/>
    <cellStyle name="20% - Акцент4 242" xfId="4748"/>
    <cellStyle name="20% - Акцент4 243" xfId="4749"/>
    <cellStyle name="20% - Акцент4 244" xfId="4750"/>
    <cellStyle name="20% - Акцент4 245" xfId="4751"/>
    <cellStyle name="20% - Акцент4 246" xfId="4752"/>
    <cellStyle name="20% - Акцент4 247" xfId="4753"/>
    <cellStyle name="20% - Акцент4 248" xfId="4754"/>
    <cellStyle name="20% - Акцент4 249" xfId="4755"/>
    <cellStyle name="20% - Акцент4 25" xfId="4756"/>
    <cellStyle name="20% - Акцент4 25 2" xfId="4757"/>
    <cellStyle name="20% - Акцент4 250" xfId="4758"/>
    <cellStyle name="20% - Акцент4 251" xfId="4759"/>
    <cellStyle name="20% - Акцент4 252" xfId="4760"/>
    <cellStyle name="20% - Акцент4 253" xfId="4761"/>
    <cellStyle name="20% - Акцент4 254" xfId="4762"/>
    <cellStyle name="20% - Акцент4 255" xfId="4763"/>
    <cellStyle name="20% - Акцент4 26" xfId="4764"/>
    <cellStyle name="20% - Акцент4 26 2" xfId="4765"/>
    <cellStyle name="20% - Акцент4 27" xfId="4766"/>
    <cellStyle name="20% - Акцент4 27 2" xfId="4767"/>
    <cellStyle name="20% - Акцент4 28" xfId="4768"/>
    <cellStyle name="20% - Акцент4 28 2" xfId="4769"/>
    <cellStyle name="20% - Акцент4 29" xfId="4770"/>
    <cellStyle name="20% - Акцент4 29 2" xfId="4771"/>
    <cellStyle name="20% - Акцент4 3" xfId="4772"/>
    <cellStyle name="20% - Акцент4 30" xfId="4773"/>
    <cellStyle name="20% - Акцент4 30 2" xfId="4774"/>
    <cellStyle name="20% - Акцент4 31" xfId="4775"/>
    <cellStyle name="20% - Акцент4 31 2" xfId="4776"/>
    <cellStyle name="20% - Акцент4 32" xfId="4777"/>
    <cellStyle name="20% - Акцент4 32 2" xfId="4778"/>
    <cellStyle name="20% - Акцент4 33" xfId="4779"/>
    <cellStyle name="20% - Акцент4 33 2" xfId="4780"/>
    <cellStyle name="20% - Акцент4 34" xfId="4781"/>
    <cellStyle name="20% - Акцент4 34 2" xfId="4782"/>
    <cellStyle name="20% - Акцент4 35" xfId="4783"/>
    <cellStyle name="20% - Акцент4 35 2" xfId="4784"/>
    <cellStyle name="20% - Акцент4 36" xfId="4785"/>
    <cellStyle name="20% - Акцент4 36 2" xfId="4786"/>
    <cellStyle name="20% - Акцент4 37" xfId="4787"/>
    <cellStyle name="20% - Акцент4 37 2" xfId="4788"/>
    <cellStyle name="20% - Акцент4 38" xfId="4789"/>
    <cellStyle name="20% - Акцент4 38 2" xfId="4790"/>
    <cellStyle name="20% - Акцент4 39" xfId="4791"/>
    <cellStyle name="20% - Акцент4 39 2" xfId="4792"/>
    <cellStyle name="20% - Акцент4 4" xfId="4793"/>
    <cellStyle name="20% - Акцент4 40" xfId="4794"/>
    <cellStyle name="20% - Акцент4 40 2" xfId="4795"/>
    <cellStyle name="20% - Акцент4 41" xfId="4796"/>
    <cellStyle name="20% - Акцент4 41 2" xfId="4797"/>
    <cellStyle name="20% - Акцент4 42" xfId="4798"/>
    <cellStyle name="20% - Акцент4 42 2" xfId="4799"/>
    <cellStyle name="20% - Акцент4 43" xfId="4800"/>
    <cellStyle name="20% - Акцент4 43 2" xfId="4801"/>
    <cellStyle name="20% - Акцент4 44" xfId="4802"/>
    <cellStyle name="20% - Акцент4 44 2" xfId="4803"/>
    <cellStyle name="20% - Акцент4 45" xfId="4804"/>
    <cellStyle name="20% - Акцент4 45 2" xfId="4805"/>
    <cellStyle name="20% - Акцент4 46" xfId="4806"/>
    <cellStyle name="20% - Акцент4 46 2" xfId="4807"/>
    <cellStyle name="20% - Акцент4 47" xfId="4808"/>
    <cellStyle name="20% - Акцент4 47 2" xfId="4809"/>
    <cellStyle name="20% - Акцент4 48" xfId="4810"/>
    <cellStyle name="20% - Акцент4 48 2" xfId="4811"/>
    <cellStyle name="20% - Акцент4 49" xfId="4812"/>
    <cellStyle name="20% - Акцент4 49 2" xfId="4813"/>
    <cellStyle name="20% - Акцент4 5" xfId="4814"/>
    <cellStyle name="20% - Акцент4 50" xfId="4815"/>
    <cellStyle name="20% - Акцент4 50 2" xfId="4816"/>
    <cellStyle name="20% - Акцент4 51" xfId="4817"/>
    <cellStyle name="20% - Акцент4 51 2" xfId="4818"/>
    <cellStyle name="20% - Акцент4 52" xfId="4819"/>
    <cellStyle name="20% - Акцент4 52 2" xfId="4820"/>
    <cellStyle name="20% - Акцент4 53" xfId="4821"/>
    <cellStyle name="20% - Акцент4 53 2" xfId="4822"/>
    <cellStyle name="20% - Акцент4 54" xfId="4823"/>
    <cellStyle name="20% - Акцент4 54 2" xfId="4824"/>
    <cellStyle name="20% - Акцент4 55" xfId="4825"/>
    <cellStyle name="20% - Акцент4 55 2" xfId="4826"/>
    <cellStyle name="20% - Акцент4 56" xfId="4827"/>
    <cellStyle name="20% - Акцент4 56 2" xfId="4828"/>
    <cellStyle name="20% - Акцент4 57" xfId="4829"/>
    <cellStyle name="20% - Акцент4 57 2" xfId="4830"/>
    <cellStyle name="20% - Акцент4 58" xfId="4831"/>
    <cellStyle name="20% - Акцент4 58 2" xfId="4832"/>
    <cellStyle name="20% - Акцент4 59" xfId="4833"/>
    <cellStyle name="20% - Акцент4 59 2" xfId="4834"/>
    <cellStyle name="20% - Акцент4 6" xfId="4835"/>
    <cellStyle name="20% - Акцент4 60" xfId="4836"/>
    <cellStyle name="20% - Акцент4 60 2" xfId="4837"/>
    <cellStyle name="20% - Акцент4 61" xfId="4838"/>
    <cellStyle name="20% - Акцент4 61 2" xfId="4839"/>
    <cellStyle name="20% - Акцент4 62" xfId="4840"/>
    <cellStyle name="20% - Акцент4 62 2" xfId="4841"/>
    <cellStyle name="20% - Акцент4 63" xfId="4842"/>
    <cellStyle name="20% - Акцент4 63 2" xfId="4843"/>
    <cellStyle name="20% - Акцент4 64" xfId="4844"/>
    <cellStyle name="20% - Акцент4 64 2" xfId="4845"/>
    <cellStyle name="20% - Акцент4 65" xfId="4846"/>
    <cellStyle name="20% - Акцент4 65 2" xfId="4847"/>
    <cellStyle name="20% - Акцент4 66" xfId="4848"/>
    <cellStyle name="20% - Акцент4 66 2" xfId="4849"/>
    <cellStyle name="20% - Акцент4 67" xfId="4850"/>
    <cellStyle name="20% - Акцент4 67 2" xfId="4851"/>
    <cellStyle name="20% - Акцент4 68" xfId="4852"/>
    <cellStyle name="20% - Акцент4 68 2" xfId="4853"/>
    <cellStyle name="20% - Акцент4 69" xfId="4854"/>
    <cellStyle name="20% - Акцент4 69 2" xfId="4855"/>
    <cellStyle name="20% - Акцент4 7" xfId="4856"/>
    <cellStyle name="20% - Акцент4 70" xfId="4857"/>
    <cellStyle name="20% - Акцент4 70 2" xfId="4858"/>
    <cellStyle name="20% - Акцент4 71" xfId="4859"/>
    <cellStyle name="20% - Акцент4 71 2" xfId="4860"/>
    <cellStyle name="20% - Акцент4 72" xfId="4861"/>
    <cellStyle name="20% - Акцент4 72 2" xfId="4862"/>
    <cellStyle name="20% - Акцент4 73" xfId="4863"/>
    <cellStyle name="20% - Акцент4 73 2" xfId="4864"/>
    <cellStyle name="20% - Акцент4 74" xfId="4865"/>
    <cellStyle name="20% - Акцент4 74 2" xfId="4866"/>
    <cellStyle name="20% - Акцент4 75" xfId="4867"/>
    <cellStyle name="20% - Акцент4 75 2" xfId="4868"/>
    <cellStyle name="20% - Акцент4 76" xfId="4869"/>
    <cellStyle name="20% - Акцент4 76 2" xfId="4870"/>
    <cellStyle name="20% - Акцент4 77" xfId="4871"/>
    <cellStyle name="20% - Акцент4 77 2" xfId="4872"/>
    <cellStyle name="20% - Акцент4 78" xfId="4873"/>
    <cellStyle name="20% - Акцент4 78 2" xfId="4874"/>
    <cellStyle name="20% - Акцент4 79" xfId="4875"/>
    <cellStyle name="20% - Акцент4 79 2" xfId="4876"/>
    <cellStyle name="20% - Акцент4 8" xfId="4877"/>
    <cellStyle name="20% - Акцент4 80" xfId="4878"/>
    <cellStyle name="20% - Акцент4 80 2" xfId="4879"/>
    <cellStyle name="20% - Акцент4 81" xfId="4880"/>
    <cellStyle name="20% - Акцент4 81 2" xfId="4881"/>
    <cellStyle name="20% - Акцент4 82" xfId="4882"/>
    <cellStyle name="20% - Акцент4 82 2" xfId="4883"/>
    <cellStyle name="20% - Акцент4 83" xfId="4884"/>
    <cellStyle name="20% - Акцент4 83 2" xfId="4885"/>
    <cellStyle name="20% - Акцент4 84" xfId="4886"/>
    <cellStyle name="20% - Акцент4 84 2" xfId="4887"/>
    <cellStyle name="20% - Акцент4 85" xfId="4888"/>
    <cellStyle name="20% - Акцент4 85 2" xfId="4889"/>
    <cellStyle name="20% - Акцент4 86" xfId="4890"/>
    <cellStyle name="20% - Акцент4 86 2" xfId="4891"/>
    <cellStyle name="20% - Акцент4 87" xfId="4892"/>
    <cellStyle name="20% - Акцент4 87 2" xfId="4893"/>
    <cellStyle name="20% - Акцент4 88" xfId="4894"/>
    <cellStyle name="20% - Акцент4 88 2" xfId="4895"/>
    <cellStyle name="20% - Акцент4 89" xfId="4896"/>
    <cellStyle name="20% - Акцент4 89 2" xfId="4897"/>
    <cellStyle name="20% - Акцент4 9" xfId="4898"/>
    <cellStyle name="20% - Акцент4 90" xfId="4899"/>
    <cellStyle name="20% - Акцент4 90 2" xfId="4900"/>
    <cellStyle name="20% - Акцент4 91" xfId="4901"/>
    <cellStyle name="20% - Акцент4 91 2" xfId="4902"/>
    <cellStyle name="20% - Акцент4 92" xfId="4903"/>
    <cellStyle name="20% - Акцент4 92 2" xfId="4904"/>
    <cellStyle name="20% - Акцент4 93" xfId="4905"/>
    <cellStyle name="20% - Акцент4 93 2" xfId="4906"/>
    <cellStyle name="20% - Акцент4 94" xfId="4907"/>
    <cellStyle name="20% - Акцент4 94 2" xfId="4908"/>
    <cellStyle name="20% - Акцент4 95" xfId="4909"/>
    <cellStyle name="20% - Акцент4 95 2" xfId="4910"/>
    <cellStyle name="20% - Акцент4 96" xfId="4911"/>
    <cellStyle name="20% - Акцент4 96 2" xfId="4912"/>
    <cellStyle name="20% - Акцент4 97" xfId="4913"/>
    <cellStyle name="20% - Акцент4 97 2" xfId="4914"/>
    <cellStyle name="20% - Акцент4 98" xfId="4915"/>
    <cellStyle name="20% - Акцент4 98 2" xfId="4916"/>
    <cellStyle name="20% - Акцент4 99" xfId="4917"/>
    <cellStyle name="20% - Акцент4 99 2" xfId="4918"/>
    <cellStyle name="20% - Акцент5 10" xfId="4919"/>
    <cellStyle name="20% - Акцент5 100" xfId="4920"/>
    <cellStyle name="20% - Акцент5 100 2" xfId="4921"/>
    <cellStyle name="20% - Акцент5 101" xfId="4922"/>
    <cellStyle name="20% - Акцент5 101 2" xfId="4923"/>
    <cellStyle name="20% - Акцент5 102" xfId="4924"/>
    <cellStyle name="20% - Акцент5 102 2" xfId="4925"/>
    <cellStyle name="20% - Акцент5 103" xfId="4926"/>
    <cellStyle name="20% - Акцент5 103 2" xfId="4927"/>
    <cellStyle name="20% - Акцент5 104" xfId="4928"/>
    <cellStyle name="20% - Акцент5 104 2" xfId="4929"/>
    <cellStyle name="20% - Акцент5 105" xfId="4930"/>
    <cellStyle name="20% - Акцент5 105 2" xfId="4931"/>
    <cellStyle name="20% - Акцент5 106" xfId="4932"/>
    <cellStyle name="20% - Акцент5 106 2" xfId="4933"/>
    <cellStyle name="20% - Акцент5 107" xfId="4934"/>
    <cellStyle name="20% - Акцент5 107 2" xfId="4935"/>
    <cellStyle name="20% - Акцент5 108" xfId="4936"/>
    <cellStyle name="20% - Акцент5 108 2" xfId="4937"/>
    <cellStyle name="20% - Акцент5 109" xfId="4938"/>
    <cellStyle name="20% - Акцент5 109 2" xfId="4939"/>
    <cellStyle name="20% - Акцент5 11" xfId="4940"/>
    <cellStyle name="20% - Акцент5 110" xfId="4941"/>
    <cellStyle name="20% - Акцент5 110 2" xfId="4942"/>
    <cellStyle name="20% - Акцент5 111" xfId="4943"/>
    <cellStyle name="20% - Акцент5 111 2" xfId="4944"/>
    <cellStyle name="20% - Акцент5 112" xfId="4945"/>
    <cellStyle name="20% - Акцент5 112 2" xfId="4946"/>
    <cellStyle name="20% - Акцент5 113" xfId="4947"/>
    <cellStyle name="20% - Акцент5 113 2" xfId="4948"/>
    <cellStyle name="20% - Акцент5 114" xfId="4949"/>
    <cellStyle name="20% - Акцент5 114 2" xfId="4950"/>
    <cellStyle name="20% - Акцент5 115" xfId="4951"/>
    <cellStyle name="20% - Акцент5 115 2" xfId="4952"/>
    <cellStyle name="20% - Акцент5 116" xfId="4953"/>
    <cellStyle name="20% - Акцент5 116 2" xfId="4954"/>
    <cellStyle name="20% - Акцент5 117" xfId="4955"/>
    <cellStyle name="20% - Акцент5 117 2" xfId="4956"/>
    <cellStyle name="20% - Акцент5 118" xfId="4957"/>
    <cellStyle name="20% - Акцент5 118 2" xfId="4958"/>
    <cellStyle name="20% - Акцент5 119" xfId="4959"/>
    <cellStyle name="20% - Акцент5 119 2" xfId="4960"/>
    <cellStyle name="20% - Акцент5 12" xfId="4961"/>
    <cellStyle name="20% - Акцент5 120" xfId="4962"/>
    <cellStyle name="20% - Акцент5 120 2" xfId="4963"/>
    <cellStyle name="20% - Акцент5 121" xfId="4964"/>
    <cellStyle name="20% - Акцент5 121 2" xfId="4965"/>
    <cellStyle name="20% - Акцент5 122" xfId="4966"/>
    <cellStyle name="20% - Акцент5 122 2" xfId="4967"/>
    <cellStyle name="20% - Акцент5 123" xfId="4968"/>
    <cellStyle name="20% - Акцент5 123 2" xfId="4969"/>
    <cellStyle name="20% - Акцент5 124" xfId="4970"/>
    <cellStyle name="20% - Акцент5 124 2" xfId="4971"/>
    <cellStyle name="20% - Акцент5 125" xfId="4972"/>
    <cellStyle name="20% - Акцент5 125 2" xfId="4973"/>
    <cellStyle name="20% - Акцент5 126" xfId="4974"/>
    <cellStyle name="20% - Акцент5 126 2" xfId="4975"/>
    <cellStyle name="20% - Акцент5 127" xfId="4976"/>
    <cellStyle name="20% - Акцент5 127 2" xfId="4977"/>
    <cellStyle name="20% - Акцент5 128" xfId="4978"/>
    <cellStyle name="20% - Акцент5 128 2" xfId="4979"/>
    <cellStyle name="20% - Акцент5 129" xfId="4980"/>
    <cellStyle name="20% - Акцент5 129 2" xfId="4981"/>
    <cellStyle name="20% - Акцент5 13" xfId="4982"/>
    <cellStyle name="20% - Акцент5 130" xfId="4983"/>
    <cellStyle name="20% - Акцент5 130 2" xfId="4984"/>
    <cellStyle name="20% - Акцент5 131" xfId="4985"/>
    <cellStyle name="20% - Акцент5 131 2" xfId="4986"/>
    <cellStyle name="20% - Акцент5 132" xfId="4987"/>
    <cellStyle name="20% - Акцент5 132 2" xfId="4988"/>
    <cellStyle name="20% - Акцент5 133" xfId="4989"/>
    <cellStyle name="20% - Акцент5 133 2" xfId="4990"/>
    <cellStyle name="20% - Акцент5 134" xfId="4991"/>
    <cellStyle name="20% - Акцент5 134 2" xfId="4992"/>
    <cellStyle name="20% - Акцент5 135" xfId="4993"/>
    <cellStyle name="20% - Акцент5 135 2" xfId="4994"/>
    <cellStyle name="20% - Акцент5 136" xfId="4995"/>
    <cellStyle name="20% - Акцент5 136 2" xfId="4996"/>
    <cellStyle name="20% - Акцент5 137" xfId="4997"/>
    <cellStyle name="20% - Акцент5 137 2" xfId="4998"/>
    <cellStyle name="20% - Акцент5 138" xfId="4999"/>
    <cellStyle name="20% - Акцент5 138 2" xfId="5000"/>
    <cellStyle name="20% - Акцент5 139" xfId="5001"/>
    <cellStyle name="20% - Акцент5 139 2" xfId="5002"/>
    <cellStyle name="20% - Акцент5 14" xfId="5003"/>
    <cellStyle name="20% - Акцент5 140" xfId="5004"/>
    <cellStyle name="20% - Акцент5 140 2" xfId="5005"/>
    <cellStyle name="20% - Акцент5 141" xfId="5006"/>
    <cellStyle name="20% - Акцент5 141 2" xfId="5007"/>
    <cellStyle name="20% - Акцент5 142" xfId="5008"/>
    <cellStyle name="20% - Акцент5 142 2" xfId="5009"/>
    <cellStyle name="20% - Акцент5 143" xfId="5010"/>
    <cellStyle name="20% - Акцент5 143 2" xfId="5011"/>
    <cellStyle name="20% - Акцент5 144" xfId="5012"/>
    <cellStyle name="20% - Акцент5 144 2" xfId="5013"/>
    <cellStyle name="20% - Акцент5 145" xfId="5014"/>
    <cellStyle name="20% - Акцент5 145 2" xfId="5015"/>
    <cellStyle name="20% - Акцент5 146" xfId="5016"/>
    <cellStyle name="20% - Акцент5 146 2" xfId="5017"/>
    <cellStyle name="20% - Акцент5 147" xfId="5018"/>
    <cellStyle name="20% - Акцент5 147 2" xfId="5019"/>
    <cellStyle name="20% - Акцент5 148" xfId="5020"/>
    <cellStyle name="20% - Акцент5 148 2" xfId="5021"/>
    <cellStyle name="20% - Акцент5 149" xfId="5022"/>
    <cellStyle name="20% - Акцент5 149 2" xfId="5023"/>
    <cellStyle name="20% - Акцент5 15" xfId="5024"/>
    <cellStyle name="20% - Акцент5 150" xfId="5025"/>
    <cellStyle name="20% - Акцент5 150 2" xfId="5026"/>
    <cellStyle name="20% - Акцент5 151" xfId="5027"/>
    <cellStyle name="20% - Акцент5 151 2" xfId="5028"/>
    <cellStyle name="20% - Акцент5 152" xfId="5029"/>
    <cellStyle name="20% - Акцент5 152 2" xfId="5030"/>
    <cellStyle name="20% - Акцент5 153" xfId="5031"/>
    <cellStyle name="20% - Акцент5 153 2" xfId="5032"/>
    <cellStyle name="20% - Акцент5 154" xfId="5033"/>
    <cellStyle name="20% - Акцент5 154 2" xfId="5034"/>
    <cellStyle name="20% - Акцент5 155" xfId="5035"/>
    <cellStyle name="20% - Акцент5 155 2" xfId="5036"/>
    <cellStyle name="20% - Акцент5 156" xfId="5037"/>
    <cellStyle name="20% - Акцент5 156 2" xfId="5038"/>
    <cellStyle name="20% - Акцент5 157" xfId="5039"/>
    <cellStyle name="20% - Акцент5 157 2" xfId="5040"/>
    <cellStyle name="20% - Акцент5 158" xfId="5041"/>
    <cellStyle name="20% - Акцент5 158 2" xfId="5042"/>
    <cellStyle name="20% - Акцент5 159" xfId="5043"/>
    <cellStyle name="20% - Акцент5 159 2" xfId="5044"/>
    <cellStyle name="20% - Акцент5 16" xfId="5045"/>
    <cellStyle name="20% - Акцент5 160" xfId="5046"/>
    <cellStyle name="20% - Акцент5 160 2" xfId="5047"/>
    <cellStyle name="20% - Акцент5 161" xfId="5048"/>
    <cellStyle name="20% - Акцент5 161 2" xfId="5049"/>
    <cellStyle name="20% - Акцент5 162" xfId="5050"/>
    <cellStyle name="20% - Акцент5 162 2" xfId="5051"/>
    <cellStyle name="20% - Акцент5 163" xfId="5052"/>
    <cellStyle name="20% - Акцент5 163 2" xfId="5053"/>
    <cellStyle name="20% - Акцент5 164" xfId="5054"/>
    <cellStyle name="20% - Акцент5 164 2" xfId="5055"/>
    <cellStyle name="20% - Акцент5 165" xfId="5056"/>
    <cellStyle name="20% - Акцент5 165 2" xfId="5057"/>
    <cellStyle name="20% - Акцент5 166" xfId="5058"/>
    <cellStyle name="20% - Акцент5 166 2" xfId="5059"/>
    <cellStyle name="20% - Акцент5 167" xfId="5060"/>
    <cellStyle name="20% - Акцент5 167 2" xfId="5061"/>
    <cellStyle name="20% - Акцент5 168" xfId="5062"/>
    <cellStyle name="20% - Акцент5 168 2" xfId="5063"/>
    <cellStyle name="20% - Акцент5 169" xfId="5064"/>
    <cellStyle name="20% - Акцент5 169 2" xfId="5065"/>
    <cellStyle name="20% - Акцент5 17" xfId="5066"/>
    <cellStyle name="20% - Акцент5 170" xfId="5067"/>
    <cellStyle name="20% - Акцент5 170 2" xfId="5068"/>
    <cellStyle name="20% - Акцент5 171" xfId="5069"/>
    <cellStyle name="20% - Акцент5 171 2" xfId="5070"/>
    <cellStyle name="20% - Акцент5 172" xfId="5071"/>
    <cellStyle name="20% - Акцент5 172 2" xfId="5072"/>
    <cellStyle name="20% - Акцент5 173" xfId="5073"/>
    <cellStyle name="20% - Акцент5 173 2" xfId="5074"/>
    <cellStyle name="20% - Акцент5 174" xfId="5075"/>
    <cellStyle name="20% - Акцент5 174 2" xfId="5076"/>
    <cellStyle name="20% - Акцент5 175" xfId="5077"/>
    <cellStyle name="20% - Акцент5 175 2" xfId="5078"/>
    <cellStyle name="20% - Акцент5 176" xfId="5079"/>
    <cellStyle name="20% - Акцент5 176 2" xfId="5080"/>
    <cellStyle name="20% - Акцент5 177" xfId="5081"/>
    <cellStyle name="20% - Акцент5 177 2" xfId="5082"/>
    <cellStyle name="20% - Акцент5 178" xfId="5083"/>
    <cellStyle name="20% - Акцент5 178 2" xfId="5084"/>
    <cellStyle name="20% - Акцент5 179" xfId="5085"/>
    <cellStyle name="20% - Акцент5 179 2" xfId="5086"/>
    <cellStyle name="20% - Акцент5 18" xfId="5087"/>
    <cellStyle name="20% - Акцент5 180" xfId="5088"/>
    <cellStyle name="20% - Акцент5 180 2" xfId="5089"/>
    <cellStyle name="20% - Акцент5 181" xfId="5090"/>
    <cellStyle name="20% - Акцент5 181 2" xfId="5091"/>
    <cellStyle name="20% - Акцент5 182" xfId="5092"/>
    <cellStyle name="20% - Акцент5 182 2" xfId="5093"/>
    <cellStyle name="20% - Акцент5 183" xfId="5094"/>
    <cellStyle name="20% - Акцент5 183 2" xfId="5095"/>
    <cellStyle name="20% - Акцент5 184" xfId="5096"/>
    <cellStyle name="20% - Акцент5 184 2" xfId="5097"/>
    <cellStyle name="20% - Акцент5 185" xfId="5098"/>
    <cellStyle name="20% - Акцент5 185 2" xfId="5099"/>
    <cellStyle name="20% - Акцент5 186" xfId="5100"/>
    <cellStyle name="20% - Акцент5 186 2" xfId="5101"/>
    <cellStyle name="20% - Акцент5 187" xfId="5102"/>
    <cellStyle name="20% - Акцент5 187 2" xfId="5103"/>
    <cellStyle name="20% - Акцент5 188" xfId="5104"/>
    <cellStyle name="20% - Акцент5 188 2" xfId="5105"/>
    <cellStyle name="20% - Акцент5 189" xfId="5106"/>
    <cellStyle name="20% - Акцент5 189 2" xfId="5107"/>
    <cellStyle name="20% - Акцент5 19" xfId="5108"/>
    <cellStyle name="20% - Акцент5 190" xfId="5109"/>
    <cellStyle name="20% - Акцент5 190 2" xfId="5110"/>
    <cellStyle name="20% - Акцент5 191" xfId="5111"/>
    <cellStyle name="20% - Акцент5 191 2" xfId="5112"/>
    <cellStyle name="20% - Акцент5 192" xfId="5113"/>
    <cellStyle name="20% - Акцент5 192 2" xfId="5114"/>
    <cellStyle name="20% - Акцент5 193" xfId="5115"/>
    <cellStyle name="20% - Акцент5 193 2" xfId="5116"/>
    <cellStyle name="20% - Акцент5 194" xfId="5117"/>
    <cellStyle name="20% - Акцент5 194 2" xfId="5118"/>
    <cellStyle name="20% - Акцент5 195" xfId="5119"/>
    <cellStyle name="20% - Акцент5 195 2" xfId="5120"/>
    <cellStyle name="20% - Акцент5 196" xfId="5121"/>
    <cellStyle name="20% - Акцент5 196 2" xfId="5122"/>
    <cellStyle name="20% - Акцент5 197" xfId="5123"/>
    <cellStyle name="20% - Акцент5 197 2" xfId="5124"/>
    <cellStyle name="20% - Акцент5 198" xfId="5125"/>
    <cellStyle name="20% - Акцент5 198 2" xfId="5126"/>
    <cellStyle name="20% - Акцент5 199" xfId="5127"/>
    <cellStyle name="20% - Акцент5 199 2" xfId="5128"/>
    <cellStyle name="20% - Акцент5 2" xfId="5129"/>
    <cellStyle name="20% - Акцент5 2 2" xfId="5130"/>
    <cellStyle name="20% - Акцент5 2 2 2" xfId="5131"/>
    <cellStyle name="20% - Акцент5 2 3" xfId="5132"/>
    <cellStyle name="20% - Акцент5 2 4" xfId="5133"/>
    <cellStyle name="20% - Акцент5 2 5" xfId="5134"/>
    <cellStyle name="20% - Акцент5 2 6" xfId="5135"/>
    <cellStyle name="20% - Акцент5 2 7" xfId="5136"/>
    <cellStyle name="20% - Акцент5 20" xfId="5137"/>
    <cellStyle name="20% - Акцент5 20 2" xfId="5138"/>
    <cellStyle name="20% - Акцент5 200" xfId="5139"/>
    <cellStyle name="20% - Акцент5 200 2" xfId="5140"/>
    <cellStyle name="20% - Акцент5 201" xfId="5141"/>
    <cellStyle name="20% - Акцент5 201 2" xfId="5142"/>
    <cellStyle name="20% - Акцент5 202" xfId="5143"/>
    <cellStyle name="20% - Акцент5 202 2" xfId="5144"/>
    <cellStyle name="20% - Акцент5 203" xfId="5145"/>
    <cellStyle name="20% - Акцент5 203 2" xfId="5146"/>
    <cellStyle name="20% - Акцент5 204" xfId="5147"/>
    <cellStyle name="20% - Акцент5 204 2" xfId="5148"/>
    <cellStyle name="20% - Акцент5 205" xfId="5149"/>
    <cellStyle name="20% - Акцент5 205 2" xfId="5150"/>
    <cellStyle name="20% - Акцент5 206" xfId="5151"/>
    <cellStyle name="20% - Акцент5 206 2" xfId="5152"/>
    <cellStyle name="20% - Акцент5 207" xfId="5153"/>
    <cellStyle name="20% - Акцент5 207 2" xfId="5154"/>
    <cellStyle name="20% - Акцент5 208" xfId="5155"/>
    <cellStyle name="20% - Акцент5 208 2" xfId="5156"/>
    <cellStyle name="20% - Акцент5 209" xfId="5157"/>
    <cellStyle name="20% - Акцент5 209 2" xfId="5158"/>
    <cellStyle name="20% - Акцент5 21" xfId="5159"/>
    <cellStyle name="20% - Акцент5 21 2" xfId="5160"/>
    <cellStyle name="20% - Акцент5 210" xfId="5161"/>
    <cellStyle name="20% - Акцент5 210 2" xfId="5162"/>
    <cellStyle name="20% - Акцент5 211" xfId="5163"/>
    <cellStyle name="20% - Акцент5 211 2" xfId="5164"/>
    <cellStyle name="20% - Акцент5 212" xfId="5165"/>
    <cellStyle name="20% - Акцент5 212 2" xfId="5166"/>
    <cellStyle name="20% - Акцент5 213" xfId="5167"/>
    <cellStyle name="20% - Акцент5 213 2" xfId="5168"/>
    <cellStyle name="20% - Акцент5 214" xfId="5169"/>
    <cellStyle name="20% - Акцент5 214 2" xfId="5170"/>
    <cellStyle name="20% - Акцент5 215" xfId="5171"/>
    <cellStyle name="20% - Акцент5 215 2" xfId="5172"/>
    <cellStyle name="20% - Акцент5 216" xfId="5173"/>
    <cellStyle name="20% - Акцент5 216 2" xfId="5174"/>
    <cellStyle name="20% - Акцент5 217" xfId="5175"/>
    <cellStyle name="20% - Акцент5 217 2" xfId="5176"/>
    <cellStyle name="20% - Акцент5 217 3" xfId="5177"/>
    <cellStyle name="20% - Акцент5 218" xfId="5178"/>
    <cellStyle name="20% - Акцент5 219" xfId="5179"/>
    <cellStyle name="20% - Акцент5 22" xfId="5180"/>
    <cellStyle name="20% - Акцент5 22 2" xfId="5181"/>
    <cellStyle name="20% - Акцент5 220" xfId="5182"/>
    <cellStyle name="20% - Акцент5 221" xfId="5183"/>
    <cellStyle name="20% - Акцент5 222" xfId="5184"/>
    <cellStyle name="20% - Акцент5 223" xfId="5185"/>
    <cellStyle name="20% - Акцент5 224" xfId="5186"/>
    <cellStyle name="20% - Акцент5 225" xfId="5187"/>
    <cellStyle name="20% - Акцент5 226" xfId="5188"/>
    <cellStyle name="20% - Акцент5 227" xfId="5189"/>
    <cellStyle name="20% - Акцент5 228" xfId="5190"/>
    <cellStyle name="20% - Акцент5 229" xfId="5191"/>
    <cellStyle name="20% - Акцент5 23" xfId="5192"/>
    <cellStyle name="20% - Акцент5 23 2" xfId="5193"/>
    <cellStyle name="20% - Акцент5 230" xfId="5194"/>
    <cellStyle name="20% - Акцент5 231" xfId="5195"/>
    <cellStyle name="20% - Акцент5 232" xfId="5196"/>
    <cellStyle name="20% - Акцент5 233" xfId="5197"/>
    <cellStyle name="20% - Акцент5 234" xfId="5198"/>
    <cellStyle name="20% - Акцент5 235" xfId="5199"/>
    <cellStyle name="20% - Акцент5 236" xfId="5200"/>
    <cellStyle name="20% - Акцент5 237" xfId="5201"/>
    <cellStyle name="20% - Акцент5 238" xfId="5202"/>
    <cellStyle name="20% - Акцент5 239" xfId="5203"/>
    <cellStyle name="20% - Акцент5 24" xfId="5204"/>
    <cellStyle name="20% - Акцент5 24 2" xfId="5205"/>
    <cellStyle name="20% - Акцент5 240" xfId="5206"/>
    <cellStyle name="20% - Акцент5 241" xfId="5207"/>
    <cellStyle name="20% - Акцент5 242" xfId="5208"/>
    <cellStyle name="20% - Акцент5 243" xfId="5209"/>
    <cellStyle name="20% - Акцент5 244" xfId="5210"/>
    <cellStyle name="20% - Акцент5 245" xfId="5211"/>
    <cellStyle name="20% - Акцент5 246" xfId="5212"/>
    <cellStyle name="20% - Акцент5 247" xfId="5213"/>
    <cellStyle name="20% - Акцент5 248" xfId="5214"/>
    <cellStyle name="20% - Акцент5 249" xfId="5215"/>
    <cellStyle name="20% - Акцент5 25" xfId="5216"/>
    <cellStyle name="20% - Акцент5 25 2" xfId="5217"/>
    <cellStyle name="20% - Акцент5 250" xfId="5218"/>
    <cellStyle name="20% - Акцент5 251" xfId="5219"/>
    <cellStyle name="20% - Акцент5 252" xfId="5220"/>
    <cellStyle name="20% - Акцент5 253" xfId="5221"/>
    <cellStyle name="20% - Акцент5 254" xfId="5222"/>
    <cellStyle name="20% - Акцент5 255" xfId="5223"/>
    <cellStyle name="20% - Акцент5 26" xfId="5224"/>
    <cellStyle name="20% - Акцент5 26 2" xfId="5225"/>
    <cellStyle name="20% - Акцент5 27" xfId="5226"/>
    <cellStyle name="20% - Акцент5 27 2" xfId="5227"/>
    <cellStyle name="20% - Акцент5 28" xfId="5228"/>
    <cellStyle name="20% - Акцент5 28 2" xfId="5229"/>
    <cellStyle name="20% - Акцент5 29" xfId="5230"/>
    <cellStyle name="20% - Акцент5 29 2" xfId="5231"/>
    <cellStyle name="20% - Акцент5 3" xfId="5232"/>
    <cellStyle name="20% - Акцент5 30" xfId="5233"/>
    <cellStyle name="20% - Акцент5 30 2" xfId="5234"/>
    <cellStyle name="20% - Акцент5 31" xfId="5235"/>
    <cellStyle name="20% - Акцент5 31 2" xfId="5236"/>
    <cellStyle name="20% - Акцент5 32" xfId="5237"/>
    <cellStyle name="20% - Акцент5 32 2" xfId="5238"/>
    <cellStyle name="20% - Акцент5 33" xfId="5239"/>
    <cellStyle name="20% - Акцент5 33 2" xfId="5240"/>
    <cellStyle name="20% - Акцент5 34" xfId="5241"/>
    <cellStyle name="20% - Акцент5 34 2" xfId="5242"/>
    <cellStyle name="20% - Акцент5 35" xfId="5243"/>
    <cellStyle name="20% - Акцент5 35 2" xfId="5244"/>
    <cellStyle name="20% - Акцент5 36" xfId="5245"/>
    <cellStyle name="20% - Акцент5 36 2" xfId="5246"/>
    <cellStyle name="20% - Акцент5 37" xfId="5247"/>
    <cellStyle name="20% - Акцент5 37 2" xfId="5248"/>
    <cellStyle name="20% - Акцент5 38" xfId="5249"/>
    <cellStyle name="20% - Акцент5 38 2" xfId="5250"/>
    <cellStyle name="20% - Акцент5 39" xfId="5251"/>
    <cellStyle name="20% - Акцент5 39 2" xfId="5252"/>
    <cellStyle name="20% - Акцент5 4" xfId="5253"/>
    <cellStyle name="20% - Акцент5 40" xfId="5254"/>
    <cellStyle name="20% - Акцент5 40 2" xfId="5255"/>
    <cellStyle name="20% - Акцент5 41" xfId="5256"/>
    <cellStyle name="20% - Акцент5 41 2" xfId="5257"/>
    <cellStyle name="20% - Акцент5 42" xfId="5258"/>
    <cellStyle name="20% - Акцент5 42 2" xfId="5259"/>
    <cellStyle name="20% - Акцент5 43" xfId="5260"/>
    <cellStyle name="20% - Акцент5 43 2" xfId="5261"/>
    <cellStyle name="20% - Акцент5 44" xfId="5262"/>
    <cellStyle name="20% - Акцент5 44 2" xfId="5263"/>
    <cellStyle name="20% - Акцент5 45" xfId="5264"/>
    <cellStyle name="20% - Акцент5 45 2" xfId="5265"/>
    <cellStyle name="20% - Акцент5 46" xfId="5266"/>
    <cellStyle name="20% - Акцент5 46 2" xfId="5267"/>
    <cellStyle name="20% - Акцент5 47" xfId="5268"/>
    <cellStyle name="20% - Акцент5 47 2" xfId="5269"/>
    <cellStyle name="20% - Акцент5 48" xfId="5270"/>
    <cellStyle name="20% - Акцент5 48 2" xfId="5271"/>
    <cellStyle name="20% - Акцент5 49" xfId="5272"/>
    <cellStyle name="20% - Акцент5 49 2" xfId="5273"/>
    <cellStyle name="20% - Акцент5 5" xfId="5274"/>
    <cellStyle name="20% - Акцент5 50" xfId="5275"/>
    <cellStyle name="20% - Акцент5 50 2" xfId="5276"/>
    <cellStyle name="20% - Акцент5 51" xfId="5277"/>
    <cellStyle name="20% - Акцент5 51 2" xfId="5278"/>
    <cellStyle name="20% - Акцент5 52" xfId="5279"/>
    <cellStyle name="20% - Акцент5 52 2" xfId="5280"/>
    <cellStyle name="20% - Акцент5 53" xfId="5281"/>
    <cellStyle name="20% - Акцент5 53 2" xfId="5282"/>
    <cellStyle name="20% - Акцент5 54" xfId="5283"/>
    <cellStyle name="20% - Акцент5 54 2" xfId="5284"/>
    <cellStyle name="20% - Акцент5 55" xfId="5285"/>
    <cellStyle name="20% - Акцент5 55 2" xfId="5286"/>
    <cellStyle name="20% - Акцент5 56" xfId="5287"/>
    <cellStyle name="20% - Акцент5 56 2" xfId="5288"/>
    <cellStyle name="20% - Акцент5 57" xfId="5289"/>
    <cellStyle name="20% - Акцент5 57 2" xfId="5290"/>
    <cellStyle name="20% - Акцент5 58" xfId="5291"/>
    <cellStyle name="20% - Акцент5 58 2" xfId="5292"/>
    <cellStyle name="20% - Акцент5 59" xfId="5293"/>
    <cellStyle name="20% - Акцент5 59 2" xfId="5294"/>
    <cellStyle name="20% - Акцент5 6" xfId="5295"/>
    <cellStyle name="20% - Акцент5 60" xfId="5296"/>
    <cellStyle name="20% - Акцент5 60 2" xfId="5297"/>
    <cellStyle name="20% - Акцент5 61" xfId="5298"/>
    <cellStyle name="20% - Акцент5 61 2" xfId="5299"/>
    <cellStyle name="20% - Акцент5 62" xfId="5300"/>
    <cellStyle name="20% - Акцент5 62 2" xfId="5301"/>
    <cellStyle name="20% - Акцент5 63" xfId="5302"/>
    <cellStyle name="20% - Акцент5 63 2" xfId="5303"/>
    <cellStyle name="20% - Акцент5 64" xfId="5304"/>
    <cellStyle name="20% - Акцент5 64 2" xfId="5305"/>
    <cellStyle name="20% - Акцент5 65" xfId="5306"/>
    <cellStyle name="20% - Акцент5 65 2" xfId="5307"/>
    <cellStyle name="20% - Акцент5 66" xfId="5308"/>
    <cellStyle name="20% - Акцент5 66 2" xfId="5309"/>
    <cellStyle name="20% - Акцент5 67" xfId="5310"/>
    <cellStyle name="20% - Акцент5 67 2" xfId="5311"/>
    <cellStyle name="20% - Акцент5 68" xfId="5312"/>
    <cellStyle name="20% - Акцент5 68 2" xfId="5313"/>
    <cellStyle name="20% - Акцент5 69" xfId="5314"/>
    <cellStyle name="20% - Акцент5 69 2" xfId="5315"/>
    <cellStyle name="20% - Акцент5 7" xfId="5316"/>
    <cellStyle name="20% - Акцент5 70" xfId="5317"/>
    <cellStyle name="20% - Акцент5 70 2" xfId="5318"/>
    <cellStyle name="20% - Акцент5 71" xfId="5319"/>
    <cellStyle name="20% - Акцент5 71 2" xfId="5320"/>
    <cellStyle name="20% - Акцент5 72" xfId="5321"/>
    <cellStyle name="20% - Акцент5 72 2" xfId="5322"/>
    <cellStyle name="20% - Акцент5 73" xfId="5323"/>
    <cellStyle name="20% - Акцент5 73 2" xfId="5324"/>
    <cellStyle name="20% - Акцент5 74" xfId="5325"/>
    <cellStyle name="20% - Акцент5 74 2" xfId="5326"/>
    <cellStyle name="20% - Акцент5 75" xfId="5327"/>
    <cellStyle name="20% - Акцент5 75 2" xfId="5328"/>
    <cellStyle name="20% - Акцент5 76" xfId="5329"/>
    <cellStyle name="20% - Акцент5 76 2" xfId="5330"/>
    <cellStyle name="20% - Акцент5 77" xfId="5331"/>
    <cellStyle name="20% - Акцент5 77 2" xfId="5332"/>
    <cellStyle name="20% - Акцент5 78" xfId="5333"/>
    <cellStyle name="20% - Акцент5 78 2" xfId="5334"/>
    <cellStyle name="20% - Акцент5 79" xfId="5335"/>
    <cellStyle name="20% - Акцент5 79 2" xfId="5336"/>
    <cellStyle name="20% - Акцент5 8" xfId="5337"/>
    <cellStyle name="20% - Акцент5 80" xfId="5338"/>
    <cellStyle name="20% - Акцент5 80 2" xfId="5339"/>
    <cellStyle name="20% - Акцент5 81" xfId="5340"/>
    <cellStyle name="20% - Акцент5 81 2" xfId="5341"/>
    <cellStyle name="20% - Акцент5 82" xfId="5342"/>
    <cellStyle name="20% - Акцент5 82 2" xfId="5343"/>
    <cellStyle name="20% - Акцент5 83" xfId="5344"/>
    <cellStyle name="20% - Акцент5 83 2" xfId="5345"/>
    <cellStyle name="20% - Акцент5 84" xfId="5346"/>
    <cellStyle name="20% - Акцент5 84 2" xfId="5347"/>
    <cellStyle name="20% - Акцент5 85" xfId="5348"/>
    <cellStyle name="20% - Акцент5 85 2" xfId="5349"/>
    <cellStyle name="20% - Акцент5 86" xfId="5350"/>
    <cellStyle name="20% - Акцент5 86 2" xfId="5351"/>
    <cellStyle name="20% - Акцент5 87" xfId="5352"/>
    <cellStyle name="20% - Акцент5 87 2" xfId="5353"/>
    <cellStyle name="20% - Акцент5 88" xfId="5354"/>
    <cellStyle name="20% - Акцент5 88 2" xfId="5355"/>
    <cellStyle name="20% - Акцент5 89" xfId="5356"/>
    <cellStyle name="20% - Акцент5 89 2" xfId="5357"/>
    <cellStyle name="20% - Акцент5 9" xfId="5358"/>
    <cellStyle name="20% - Акцент5 90" xfId="5359"/>
    <cellStyle name="20% - Акцент5 90 2" xfId="5360"/>
    <cellStyle name="20% - Акцент5 91" xfId="5361"/>
    <cellStyle name="20% - Акцент5 91 2" xfId="5362"/>
    <cellStyle name="20% - Акцент5 92" xfId="5363"/>
    <cellStyle name="20% - Акцент5 92 2" xfId="5364"/>
    <cellStyle name="20% - Акцент5 93" xfId="5365"/>
    <cellStyle name="20% - Акцент5 93 2" xfId="5366"/>
    <cellStyle name="20% - Акцент5 94" xfId="5367"/>
    <cellStyle name="20% - Акцент5 94 2" xfId="5368"/>
    <cellStyle name="20% - Акцент5 95" xfId="5369"/>
    <cellStyle name="20% - Акцент5 95 2" xfId="5370"/>
    <cellStyle name="20% - Акцент5 96" xfId="5371"/>
    <cellStyle name="20% - Акцент5 96 2" xfId="5372"/>
    <cellStyle name="20% - Акцент5 97" xfId="5373"/>
    <cellStyle name="20% - Акцент5 97 2" xfId="5374"/>
    <cellStyle name="20% - Акцент5 98" xfId="5375"/>
    <cellStyle name="20% - Акцент5 98 2" xfId="5376"/>
    <cellStyle name="20% - Акцент5 99" xfId="5377"/>
    <cellStyle name="20% - Акцент5 99 2" xfId="5378"/>
    <cellStyle name="20% - Акцент6 10" xfId="5379"/>
    <cellStyle name="20% - Акцент6 100" xfId="5380"/>
    <cellStyle name="20% - Акцент6 100 2" xfId="5381"/>
    <cellStyle name="20% - Акцент6 101" xfId="5382"/>
    <cellStyle name="20% - Акцент6 101 2" xfId="5383"/>
    <cellStyle name="20% - Акцент6 102" xfId="5384"/>
    <cellStyle name="20% - Акцент6 102 2" xfId="5385"/>
    <cellStyle name="20% - Акцент6 103" xfId="5386"/>
    <cellStyle name="20% - Акцент6 103 2" xfId="5387"/>
    <cellStyle name="20% - Акцент6 104" xfId="5388"/>
    <cellStyle name="20% - Акцент6 104 2" xfId="5389"/>
    <cellStyle name="20% - Акцент6 105" xfId="5390"/>
    <cellStyle name="20% - Акцент6 105 2" xfId="5391"/>
    <cellStyle name="20% - Акцент6 106" xfId="5392"/>
    <cellStyle name="20% - Акцент6 106 2" xfId="5393"/>
    <cellStyle name="20% - Акцент6 107" xfId="5394"/>
    <cellStyle name="20% - Акцент6 107 2" xfId="5395"/>
    <cellStyle name="20% - Акцент6 108" xfId="5396"/>
    <cellStyle name="20% - Акцент6 108 2" xfId="5397"/>
    <cellStyle name="20% - Акцент6 109" xfId="5398"/>
    <cellStyle name="20% - Акцент6 109 2" xfId="5399"/>
    <cellStyle name="20% - Акцент6 11" xfId="5400"/>
    <cellStyle name="20% - Акцент6 110" xfId="5401"/>
    <cellStyle name="20% - Акцент6 110 2" xfId="5402"/>
    <cellStyle name="20% - Акцент6 111" xfId="5403"/>
    <cellStyle name="20% - Акцент6 111 2" xfId="5404"/>
    <cellStyle name="20% - Акцент6 112" xfId="5405"/>
    <cellStyle name="20% - Акцент6 112 2" xfId="5406"/>
    <cellStyle name="20% - Акцент6 113" xfId="5407"/>
    <cellStyle name="20% - Акцент6 113 2" xfId="5408"/>
    <cellStyle name="20% - Акцент6 114" xfId="5409"/>
    <cellStyle name="20% - Акцент6 114 2" xfId="5410"/>
    <cellStyle name="20% - Акцент6 115" xfId="5411"/>
    <cellStyle name="20% - Акцент6 115 2" xfId="5412"/>
    <cellStyle name="20% - Акцент6 116" xfId="5413"/>
    <cellStyle name="20% - Акцент6 116 2" xfId="5414"/>
    <cellStyle name="20% - Акцент6 117" xfId="5415"/>
    <cellStyle name="20% - Акцент6 117 2" xfId="5416"/>
    <cellStyle name="20% - Акцент6 118" xfId="5417"/>
    <cellStyle name="20% - Акцент6 118 2" xfId="5418"/>
    <cellStyle name="20% - Акцент6 119" xfId="5419"/>
    <cellStyle name="20% - Акцент6 119 2" xfId="5420"/>
    <cellStyle name="20% - Акцент6 12" xfId="5421"/>
    <cellStyle name="20% - Акцент6 120" xfId="5422"/>
    <cellStyle name="20% - Акцент6 120 2" xfId="5423"/>
    <cellStyle name="20% - Акцент6 121" xfId="5424"/>
    <cellStyle name="20% - Акцент6 121 2" xfId="5425"/>
    <cellStyle name="20% - Акцент6 122" xfId="5426"/>
    <cellStyle name="20% - Акцент6 122 2" xfId="5427"/>
    <cellStyle name="20% - Акцент6 123" xfId="5428"/>
    <cellStyle name="20% - Акцент6 123 2" xfId="5429"/>
    <cellStyle name="20% - Акцент6 124" xfId="5430"/>
    <cellStyle name="20% - Акцент6 124 2" xfId="5431"/>
    <cellStyle name="20% - Акцент6 125" xfId="5432"/>
    <cellStyle name="20% - Акцент6 125 2" xfId="5433"/>
    <cellStyle name="20% - Акцент6 126" xfId="5434"/>
    <cellStyle name="20% - Акцент6 126 2" xfId="5435"/>
    <cellStyle name="20% - Акцент6 127" xfId="5436"/>
    <cellStyle name="20% - Акцент6 127 2" xfId="5437"/>
    <cellStyle name="20% - Акцент6 128" xfId="5438"/>
    <cellStyle name="20% - Акцент6 128 2" xfId="5439"/>
    <cellStyle name="20% - Акцент6 129" xfId="5440"/>
    <cellStyle name="20% - Акцент6 129 2" xfId="5441"/>
    <cellStyle name="20% - Акцент6 13" xfId="5442"/>
    <cellStyle name="20% - Акцент6 130" xfId="5443"/>
    <cellStyle name="20% - Акцент6 130 2" xfId="5444"/>
    <cellStyle name="20% - Акцент6 131" xfId="5445"/>
    <cellStyle name="20% - Акцент6 131 2" xfId="5446"/>
    <cellStyle name="20% - Акцент6 132" xfId="5447"/>
    <cellStyle name="20% - Акцент6 132 2" xfId="5448"/>
    <cellStyle name="20% - Акцент6 133" xfId="5449"/>
    <cellStyle name="20% - Акцент6 133 2" xfId="5450"/>
    <cellStyle name="20% - Акцент6 134" xfId="5451"/>
    <cellStyle name="20% - Акцент6 134 2" xfId="5452"/>
    <cellStyle name="20% - Акцент6 135" xfId="5453"/>
    <cellStyle name="20% - Акцент6 135 2" xfId="5454"/>
    <cellStyle name="20% - Акцент6 136" xfId="5455"/>
    <cellStyle name="20% - Акцент6 136 2" xfId="5456"/>
    <cellStyle name="20% - Акцент6 137" xfId="5457"/>
    <cellStyle name="20% - Акцент6 137 2" xfId="5458"/>
    <cellStyle name="20% - Акцент6 138" xfId="5459"/>
    <cellStyle name="20% - Акцент6 138 2" xfId="5460"/>
    <cellStyle name="20% - Акцент6 139" xfId="5461"/>
    <cellStyle name="20% - Акцент6 139 2" xfId="5462"/>
    <cellStyle name="20% - Акцент6 14" xfId="5463"/>
    <cellStyle name="20% - Акцент6 140" xfId="5464"/>
    <cellStyle name="20% - Акцент6 140 2" xfId="5465"/>
    <cellStyle name="20% - Акцент6 141" xfId="5466"/>
    <cellStyle name="20% - Акцент6 141 2" xfId="5467"/>
    <cellStyle name="20% - Акцент6 142" xfId="5468"/>
    <cellStyle name="20% - Акцент6 142 2" xfId="5469"/>
    <cellStyle name="20% - Акцент6 143" xfId="5470"/>
    <cellStyle name="20% - Акцент6 143 2" xfId="5471"/>
    <cellStyle name="20% - Акцент6 144" xfId="5472"/>
    <cellStyle name="20% - Акцент6 144 2" xfId="5473"/>
    <cellStyle name="20% - Акцент6 145" xfId="5474"/>
    <cellStyle name="20% - Акцент6 145 2" xfId="5475"/>
    <cellStyle name="20% - Акцент6 146" xfId="5476"/>
    <cellStyle name="20% - Акцент6 146 2" xfId="5477"/>
    <cellStyle name="20% - Акцент6 147" xfId="5478"/>
    <cellStyle name="20% - Акцент6 147 2" xfId="5479"/>
    <cellStyle name="20% - Акцент6 148" xfId="5480"/>
    <cellStyle name="20% - Акцент6 148 2" xfId="5481"/>
    <cellStyle name="20% - Акцент6 149" xfId="5482"/>
    <cellStyle name="20% - Акцент6 149 2" xfId="5483"/>
    <cellStyle name="20% - Акцент6 15" xfId="5484"/>
    <cellStyle name="20% - Акцент6 150" xfId="5485"/>
    <cellStyle name="20% - Акцент6 150 2" xfId="5486"/>
    <cellStyle name="20% - Акцент6 151" xfId="5487"/>
    <cellStyle name="20% - Акцент6 151 2" xfId="5488"/>
    <cellStyle name="20% - Акцент6 152" xfId="5489"/>
    <cellStyle name="20% - Акцент6 152 2" xfId="5490"/>
    <cellStyle name="20% - Акцент6 153" xfId="5491"/>
    <cellStyle name="20% - Акцент6 153 2" xfId="5492"/>
    <cellStyle name="20% - Акцент6 154" xfId="5493"/>
    <cellStyle name="20% - Акцент6 154 2" xfId="5494"/>
    <cellStyle name="20% - Акцент6 155" xfId="5495"/>
    <cellStyle name="20% - Акцент6 155 2" xfId="5496"/>
    <cellStyle name="20% - Акцент6 156" xfId="5497"/>
    <cellStyle name="20% - Акцент6 156 2" xfId="5498"/>
    <cellStyle name="20% - Акцент6 157" xfId="5499"/>
    <cellStyle name="20% - Акцент6 157 2" xfId="5500"/>
    <cellStyle name="20% - Акцент6 158" xfId="5501"/>
    <cellStyle name="20% - Акцент6 158 2" xfId="5502"/>
    <cellStyle name="20% - Акцент6 159" xfId="5503"/>
    <cellStyle name="20% - Акцент6 159 2" xfId="5504"/>
    <cellStyle name="20% - Акцент6 16" xfId="5505"/>
    <cellStyle name="20% - Акцент6 160" xfId="5506"/>
    <cellStyle name="20% - Акцент6 160 2" xfId="5507"/>
    <cellStyle name="20% - Акцент6 161" xfId="5508"/>
    <cellStyle name="20% - Акцент6 161 2" xfId="5509"/>
    <cellStyle name="20% - Акцент6 162" xfId="5510"/>
    <cellStyle name="20% - Акцент6 162 2" xfId="5511"/>
    <cellStyle name="20% - Акцент6 163" xfId="5512"/>
    <cellStyle name="20% - Акцент6 163 2" xfId="5513"/>
    <cellStyle name="20% - Акцент6 164" xfId="5514"/>
    <cellStyle name="20% - Акцент6 164 2" xfId="5515"/>
    <cellStyle name="20% - Акцент6 165" xfId="5516"/>
    <cellStyle name="20% - Акцент6 165 2" xfId="5517"/>
    <cellStyle name="20% - Акцент6 166" xfId="5518"/>
    <cellStyle name="20% - Акцент6 166 2" xfId="5519"/>
    <cellStyle name="20% - Акцент6 167" xfId="5520"/>
    <cellStyle name="20% - Акцент6 167 2" xfId="5521"/>
    <cellStyle name="20% - Акцент6 168" xfId="5522"/>
    <cellStyle name="20% - Акцент6 168 2" xfId="5523"/>
    <cellStyle name="20% - Акцент6 169" xfId="5524"/>
    <cellStyle name="20% - Акцент6 169 2" xfId="5525"/>
    <cellStyle name="20% - Акцент6 17" xfId="5526"/>
    <cellStyle name="20% - Акцент6 170" xfId="5527"/>
    <cellStyle name="20% - Акцент6 170 2" xfId="5528"/>
    <cellStyle name="20% - Акцент6 171" xfId="5529"/>
    <cellStyle name="20% - Акцент6 171 2" xfId="5530"/>
    <cellStyle name="20% - Акцент6 172" xfId="5531"/>
    <cellStyle name="20% - Акцент6 172 2" xfId="5532"/>
    <cellStyle name="20% - Акцент6 173" xfId="5533"/>
    <cellStyle name="20% - Акцент6 173 2" xfId="5534"/>
    <cellStyle name="20% - Акцент6 174" xfId="5535"/>
    <cellStyle name="20% - Акцент6 174 2" xfId="5536"/>
    <cellStyle name="20% - Акцент6 175" xfId="5537"/>
    <cellStyle name="20% - Акцент6 175 2" xfId="5538"/>
    <cellStyle name="20% - Акцент6 176" xfId="5539"/>
    <cellStyle name="20% - Акцент6 176 2" xfId="5540"/>
    <cellStyle name="20% - Акцент6 177" xfId="5541"/>
    <cellStyle name="20% - Акцент6 177 2" xfId="5542"/>
    <cellStyle name="20% - Акцент6 178" xfId="5543"/>
    <cellStyle name="20% - Акцент6 178 2" xfId="5544"/>
    <cellStyle name="20% - Акцент6 179" xfId="5545"/>
    <cellStyle name="20% - Акцент6 179 2" xfId="5546"/>
    <cellStyle name="20% - Акцент6 18" xfId="5547"/>
    <cellStyle name="20% - Акцент6 180" xfId="5548"/>
    <cellStyle name="20% - Акцент6 180 2" xfId="5549"/>
    <cellStyle name="20% - Акцент6 181" xfId="5550"/>
    <cellStyle name="20% - Акцент6 181 2" xfId="5551"/>
    <cellStyle name="20% - Акцент6 182" xfId="5552"/>
    <cellStyle name="20% - Акцент6 182 2" xfId="5553"/>
    <cellStyle name="20% - Акцент6 183" xfId="5554"/>
    <cellStyle name="20% - Акцент6 183 2" xfId="5555"/>
    <cellStyle name="20% - Акцент6 184" xfId="5556"/>
    <cellStyle name="20% - Акцент6 184 2" xfId="5557"/>
    <cellStyle name="20% - Акцент6 185" xfId="5558"/>
    <cellStyle name="20% - Акцент6 185 2" xfId="5559"/>
    <cellStyle name="20% - Акцент6 186" xfId="5560"/>
    <cellStyle name="20% - Акцент6 186 2" xfId="5561"/>
    <cellStyle name="20% - Акцент6 187" xfId="5562"/>
    <cellStyle name="20% - Акцент6 187 2" xfId="5563"/>
    <cellStyle name="20% - Акцент6 188" xfId="5564"/>
    <cellStyle name="20% - Акцент6 188 2" xfId="5565"/>
    <cellStyle name="20% - Акцент6 189" xfId="5566"/>
    <cellStyle name="20% - Акцент6 189 2" xfId="5567"/>
    <cellStyle name="20% - Акцент6 19" xfId="5568"/>
    <cellStyle name="20% - Акцент6 190" xfId="5569"/>
    <cellStyle name="20% - Акцент6 190 2" xfId="5570"/>
    <cellStyle name="20% - Акцент6 191" xfId="5571"/>
    <cellStyle name="20% - Акцент6 191 2" xfId="5572"/>
    <cellStyle name="20% - Акцент6 192" xfId="5573"/>
    <cellStyle name="20% - Акцент6 192 2" xfId="5574"/>
    <cellStyle name="20% - Акцент6 193" xfId="5575"/>
    <cellStyle name="20% - Акцент6 193 2" xfId="5576"/>
    <cellStyle name="20% - Акцент6 194" xfId="5577"/>
    <cellStyle name="20% - Акцент6 194 2" xfId="5578"/>
    <cellStyle name="20% - Акцент6 195" xfId="5579"/>
    <cellStyle name="20% - Акцент6 195 2" xfId="5580"/>
    <cellStyle name="20% - Акцент6 196" xfId="5581"/>
    <cellStyle name="20% - Акцент6 196 2" xfId="5582"/>
    <cellStyle name="20% - Акцент6 197" xfId="5583"/>
    <cellStyle name="20% - Акцент6 197 2" xfId="5584"/>
    <cellStyle name="20% - Акцент6 198" xfId="5585"/>
    <cellStyle name="20% - Акцент6 198 2" xfId="5586"/>
    <cellStyle name="20% - Акцент6 199" xfId="5587"/>
    <cellStyle name="20% - Акцент6 199 2" xfId="5588"/>
    <cellStyle name="20% - Акцент6 2" xfId="5589"/>
    <cellStyle name="20% - Акцент6 2 2" xfId="5590"/>
    <cellStyle name="20% - Акцент6 2 2 2" xfId="5591"/>
    <cellStyle name="20% - Акцент6 2 3" xfId="5592"/>
    <cellStyle name="20% - Акцент6 2 4" xfId="5593"/>
    <cellStyle name="20% - Акцент6 2 4 2 2" xfId="5594"/>
    <cellStyle name="20% - Акцент6 2 4 2 2 2" xfId="5595"/>
    <cellStyle name="20% - Акцент6 2 5" xfId="5596"/>
    <cellStyle name="20% - Акцент6 2 6" xfId="5597"/>
    <cellStyle name="20% - Акцент6 2 7" xfId="5598"/>
    <cellStyle name="20% - Акцент6 20" xfId="5599"/>
    <cellStyle name="20% - Акцент6 20 2" xfId="5600"/>
    <cellStyle name="20% - Акцент6 200" xfId="5601"/>
    <cellStyle name="20% - Акцент6 200 2" xfId="5602"/>
    <cellStyle name="20% - Акцент6 201" xfId="5603"/>
    <cellStyle name="20% - Акцент6 201 2" xfId="5604"/>
    <cellStyle name="20% - Акцент6 202" xfId="5605"/>
    <cellStyle name="20% - Акцент6 202 2" xfId="5606"/>
    <cellStyle name="20% - Акцент6 203" xfId="5607"/>
    <cellStyle name="20% - Акцент6 203 2" xfId="5608"/>
    <cellStyle name="20% - Акцент6 204" xfId="5609"/>
    <cellStyle name="20% - Акцент6 204 2" xfId="5610"/>
    <cellStyle name="20% - Акцент6 205" xfId="5611"/>
    <cellStyle name="20% - Акцент6 205 2" xfId="5612"/>
    <cellStyle name="20% - Акцент6 206" xfId="5613"/>
    <cellStyle name="20% - Акцент6 206 2" xfId="5614"/>
    <cellStyle name="20% - Акцент6 207" xfId="5615"/>
    <cellStyle name="20% - Акцент6 207 2" xfId="5616"/>
    <cellStyle name="20% - Акцент6 208" xfId="5617"/>
    <cellStyle name="20% - Акцент6 208 2" xfId="5618"/>
    <cellStyle name="20% - Акцент6 209" xfId="5619"/>
    <cellStyle name="20% - Акцент6 209 2" xfId="5620"/>
    <cellStyle name="20% - Акцент6 21" xfId="5621"/>
    <cellStyle name="20% - Акцент6 21 2" xfId="5622"/>
    <cellStyle name="20% - Акцент6 210" xfId="5623"/>
    <cellStyle name="20% - Акцент6 210 2" xfId="5624"/>
    <cellStyle name="20% - Акцент6 211" xfId="5625"/>
    <cellStyle name="20% - Акцент6 211 2" xfId="5626"/>
    <cellStyle name="20% - Акцент6 212" xfId="5627"/>
    <cellStyle name="20% - Акцент6 212 2" xfId="5628"/>
    <cellStyle name="20% - Акцент6 213" xfId="5629"/>
    <cellStyle name="20% - Акцент6 213 2" xfId="5630"/>
    <cellStyle name="20% - Акцент6 214" xfId="5631"/>
    <cellStyle name="20% - Акцент6 214 2" xfId="5632"/>
    <cellStyle name="20% - Акцент6 215" xfId="5633"/>
    <cellStyle name="20% - Акцент6 215 2" xfId="5634"/>
    <cellStyle name="20% - Акцент6 216" xfId="5635"/>
    <cellStyle name="20% - Акцент6 216 2" xfId="5636"/>
    <cellStyle name="20% - Акцент6 217" xfId="5637"/>
    <cellStyle name="20% - Акцент6 217 2" xfId="5638"/>
    <cellStyle name="20% - Акцент6 217 3" xfId="5639"/>
    <cellStyle name="20% - Акцент6 218" xfId="5640"/>
    <cellStyle name="20% - Акцент6 219" xfId="5641"/>
    <cellStyle name="20% - Акцент6 22" xfId="5642"/>
    <cellStyle name="20% - Акцент6 22 2" xfId="5643"/>
    <cellStyle name="20% - Акцент6 220" xfId="5644"/>
    <cellStyle name="20% - Акцент6 221" xfId="5645"/>
    <cellStyle name="20% - Акцент6 222" xfId="5646"/>
    <cellStyle name="20% - Акцент6 223" xfId="5647"/>
    <cellStyle name="20% - Акцент6 224" xfId="5648"/>
    <cellStyle name="20% - Акцент6 225" xfId="5649"/>
    <cellStyle name="20% - Акцент6 226" xfId="5650"/>
    <cellStyle name="20% - Акцент6 227" xfId="5651"/>
    <cellStyle name="20% - Акцент6 228" xfId="5652"/>
    <cellStyle name="20% - Акцент6 229" xfId="5653"/>
    <cellStyle name="20% - Акцент6 23" xfId="5654"/>
    <cellStyle name="20% - Акцент6 23 2" xfId="5655"/>
    <cellStyle name="20% - Акцент6 230" xfId="5656"/>
    <cellStyle name="20% - Акцент6 231" xfId="5657"/>
    <cellStyle name="20% - Акцент6 232" xfId="5658"/>
    <cellStyle name="20% - Акцент6 233" xfId="5659"/>
    <cellStyle name="20% - Акцент6 234" xfId="5660"/>
    <cellStyle name="20% - Акцент6 235" xfId="5661"/>
    <cellStyle name="20% - Акцент6 236" xfId="5662"/>
    <cellStyle name="20% - Акцент6 237" xfId="5663"/>
    <cellStyle name="20% - Акцент6 238" xfId="5664"/>
    <cellStyle name="20% - Акцент6 239" xfId="5665"/>
    <cellStyle name="20% - Акцент6 24" xfId="5666"/>
    <cellStyle name="20% - Акцент6 24 2" xfId="5667"/>
    <cellStyle name="20% - Акцент6 240" xfId="5668"/>
    <cellStyle name="20% - Акцент6 241" xfId="5669"/>
    <cellStyle name="20% - Акцент6 242" xfId="5670"/>
    <cellStyle name="20% - Акцент6 243" xfId="5671"/>
    <cellStyle name="20% - Акцент6 244" xfId="5672"/>
    <cellStyle name="20% - Акцент6 245" xfId="5673"/>
    <cellStyle name="20% - Акцент6 246" xfId="5674"/>
    <cellStyle name="20% - Акцент6 247" xfId="5675"/>
    <cellStyle name="20% - Акцент6 248" xfId="5676"/>
    <cellStyle name="20% - Акцент6 249" xfId="5677"/>
    <cellStyle name="20% - Акцент6 25" xfId="5678"/>
    <cellStyle name="20% - Акцент6 25 2" xfId="5679"/>
    <cellStyle name="20% - Акцент6 250" xfId="5680"/>
    <cellStyle name="20% - Акцент6 251" xfId="5681"/>
    <cellStyle name="20% - Акцент6 252" xfId="5682"/>
    <cellStyle name="20% - Акцент6 253" xfId="5683"/>
    <cellStyle name="20% - Акцент6 254" xfId="5684"/>
    <cellStyle name="20% - Акцент6 255" xfId="5685"/>
    <cellStyle name="20% - Акцент6 26" xfId="5686"/>
    <cellStyle name="20% - Акцент6 26 2" xfId="5687"/>
    <cellStyle name="20% - Акцент6 27" xfId="5688"/>
    <cellStyle name="20% - Акцент6 27 2" xfId="5689"/>
    <cellStyle name="20% - Акцент6 28" xfId="5690"/>
    <cellStyle name="20% - Акцент6 28 2" xfId="5691"/>
    <cellStyle name="20% - Акцент6 29" xfId="5692"/>
    <cellStyle name="20% - Акцент6 29 2" xfId="5693"/>
    <cellStyle name="20% - Акцент6 3" xfId="5694"/>
    <cellStyle name="20% - Акцент6 3 2" xfId="5695"/>
    <cellStyle name="20% - Акцент6 30" xfId="5696"/>
    <cellStyle name="20% - Акцент6 30 2" xfId="5697"/>
    <cellStyle name="20% - Акцент6 31" xfId="5698"/>
    <cellStyle name="20% - Акцент6 31 2" xfId="5699"/>
    <cellStyle name="20% - Акцент6 32" xfId="5700"/>
    <cellStyle name="20% - Акцент6 32 2" xfId="5701"/>
    <cellStyle name="20% - Акцент6 33" xfId="5702"/>
    <cellStyle name="20% - Акцент6 33 2" xfId="5703"/>
    <cellStyle name="20% - Акцент6 34" xfId="5704"/>
    <cellStyle name="20% - Акцент6 34 2" xfId="5705"/>
    <cellStyle name="20% - Акцент6 35" xfId="5706"/>
    <cellStyle name="20% - Акцент6 35 2" xfId="5707"/>
    <cellStyle name="20% - Акцент6 36" xfId="5708"/>
    <cellStyle name="20% - Акцент6 36 2" xfId="5709"/>
    <cellStyle name="20% - Акцент6 37" xfId="5710"/>
    <cellStyle name="20% - Акцент6 37 2" xfId="5711"/>
    <cellStyle name="20% - Акцент6 38" xfId="5712"/>
    <cellStyle name="20% - Акцент6 38 2" xfId="5713"/>
    <cellStyle name="20% - Акцент6 39" xfId="5714"/>
    <cellStyle name="20% - Акцент6 39 2" xfId="5715"/>
    <cellStyle name="20% - Акцент6 4" xfId="5716"/>
    <cellStyle name="20% - Акцент6 4 2" xfId="5717"/>
    <cellStyle name="20% - Акцент6 40" xfId="5718"/>
    <cellStyle name="20% - Акцент6 40 2" xfId="5719"/>
    <cellStyle name="20% - Акцент6 41" xfId="5720"/>
    <cellStyle name="20% - Акцент6 41 2" xfId="5721"/>
    <cellStyle name="20% - Акцент6 42" xfId="5722"/>
    <cellStyle name="20% - Акцент6 42 2" xfId="5723"/>
    <cellStyle name="20% - Акцент6 43" xfId="5724"/>
    <cellStyle name="20% - Акцент6 43 2" xfId="5725"/>
    <cellStyle name="20% - Акцент6 44" xfId="5726"/>
    <cellStyle name="20% - Акцент6 44 2" xfId="5727"/>
    <cellStyle name="20% - Акцент6 45" xfId="5728"/>
    <cellStyle name="20% - Акцент6 45 2" xfId="5729"/>
    <cellStyle name="20% - Акцент6 46" xfId="5730"/>
    <cellStyle name="20% - Акцент6 46 2" xfId="5731"/>
    <cellStyle name="20% - Акцент6 47" xfId="5732"/>
    <cellStyle name="20% - Акцент6 47 2" xfId="5733"/>
    <cellStyle name="20% - Акцент6 48" xfId="5734"/>
    <cellStyle name="20% - Акцент6 48 2" xfId="5735"/>
    <cellStyle name="20% - Акцент6 49" xfId="5736"/>
    <cellStyle name="20% - Акцент6 49 2" xfId="5737"/>
    <cellStyle name="20% - Акцент6 5" xfId="5738"/>
    <cellStyle name="20% - Акцент6 50" xfId="5739"/>
    <cellStyle name="20% - Акцент6 50 2" xfId="5740"/>
    <cellStyle name="20% - Акцент6 51" xfId="5741"/>
    <cellStyle name="20% - Акцент6 51 2" xfId="5742"/>
    <cellStyle name="20% - Акцент6 52" xfId="5743"/>
    <cellStyle name="20% - Акцент6 52 2" xfId="5744"/>
    <cellStyle name="20% - Акцент6 53" xfId="5745"/>
    <cellStyle name="20% - Акцент6 53 2" xfId="5746"/>
    <cellStyle name="20% - Акцент6 54" xfId="5747"/>
    <cellStyle name="20% - Акцент6 54 2" xfId="5748"/>
    <cellStyle name="20% - Акцент6 55" xfId="5749"/>
    <cellStyle name="20% - Акцент6 55 2" xfId="5750"/>
    <cellStyle name="20% - Акцент6 56" xfId="5751"/>
    <cellStyle name="20% - Акцент6 56 2" xfId="5752"/>
    <cellStyle name="20% - Акцент6 57" xfId="5753"/>
    <cellStyle name="20% - Акцент6 57 2" xfId="5754"/>
    <cellStyle name="20% - Акцент6 58" xfId="5755"/>
    <cellStyle name="20% - Акцент6 58 2" xfId="5756"/>
    <cellStyle name="20% - Акцент6 59" xfId="5757"/>
    <cellStyle name="20% - Акцент6 59 2" xfId="5758"/>
    <cellStyle name="20% - Акцент6 6" xfId="5759"/>
    <cellStyle name="20% - Акцент6 60" xfId="5760"/>
    <cellStyle name="20% - Акцент6 60 2" xfId="5761"/>
    <cellStyle name="20% - Акцент6 61" xfId="5762"/>
    <cellStyle name="20% - Акцент6 61 2" xfId="5763"/>
    <cellStyle name="20% - Акцент6 62" xfId="5764"/>
    <cellStyle name="20% - Акцент6 62 2" xfId="5765"/>
    <cellStyle name="20% - Акцент6 63" xfId="5766"/>
    <cellStyle name="20% - Акцент6 63 2" xfId="5767"/>
    <cellStyle name="20% - Акцент6 64" xfId="5768"/>
    <cellStyle name="20% - Акцент6 64 2" xfId="5769"/>
    <cellStyle name="20% - Акцент6 65" xfId="5770"/>
    <cellStyle name="20% - Акцент6 65 2" xfId="5771"/>
    <cellStyle name="20% - Акцент6 66" xfId="5772"/>
    <cellStyle name="20% - Акцент6 66 2" xfId="5773"/>
    <cellStyle name="20% - Акцент6 67" xfId="5774"/>
    <cellStyle name="20% - Акцент6 67 2" xfId="5775"/>
    <cellStyle name="20% - Акцент6 68" xfId="5776"/>
    <cellStyle name="20% - Акцент6 68 2" xfId="5777"/>
    <cellStyle name="20% - Акцент6 69" xfId="5778"/>
    <cellStyle name="20% - Акцент6 69 2" xfId="5779"/>
    <cellStyle name="20% - Акцент6 7" xfId="5780"/>
    <cellStyle name="20% - Акцент6 70" xfId="5781"/>
    <cellStyle name="20% - Акцент6 70 2" xfId="5782"/>
    <cellStyle name="20% - Акцент6 71" xfId="5783"/>
    <cellStyle name="20% - Акцент6 71 2" xfId="5784"/>
    <cellStyle name="20% - Акцент6 72" xfId="5785"/>
    <cellStyle name="20% - Акцент6 72 2" xfId="5786"/>
    <cellStyle name="20% - Акцент6 73" xfId="5787"/>
    <cellStyle name="20% - Акцент6 73 2" xfId="5788"/>
    <cellStyle name="20% - Акцент6 74" xfId="5789"/>
    <cellStyle name="20% - Акцент6 74 2" xfId="5790"/>
    <cellStyle name="20% - Акцент6 75" xfId="5791"/>
    <cellStyle name="20% - Акцент6 75 2" xfId="5792"/>
    <cellStyle name="20% - Акцент6 76" xfId="5793"/>
    <cellStyle name="20% - Акцент6 76 2" xfId="5794"/>
    <cellStyle name="20% - Акцент6 77" xfId="5795"/>
    <cellStyle name="20% - Акцент6 77 2" xfId="5796"/>
    <cellStyle name="20% - Акцент6 78" xfId="5797"/>
    <cellStyle name="20% - Акцент6 78 2" xfId="5798"/>
    <cellStyle name="20% - Акцент6 79" xfId="5799"/>
    <cellStyle name="20% - Акцент6 79 2" xfId="5800"/>
    <cellStyle name="20% - Акцент6 8" xfId="5801"/>
    <cellStyle name="20% - Акцент6 80" xfId="5802"/>
    <cellStyle name="20% - Акцент6 80 2" xfId="5803"/>
    <cellStyle name="20% - Акцент6 81" xfId="5804"/>
    <cellStyle name="20% - Акцент6 81 2" xfId="5805"/>
    <cellStyle name="20% - Акцент6 82" xfId="5806"/>
    <cellStyle name="20% - Акцент6 82 2" xfId="5807"/>
    <cellStyle name="20% - Акцент6 83" xfId="5808"/>
    <cellStyle name="20% - Акцент6 83 2" xfId="5809"/>
    <cellStyle name="20% - Акцент6 84" xfId="5810"/>
    <cellStyle name="20% - Акцент6 84 2" xfId="5811"/>
    <cellStyle name="20% - Акцент6 85" xfId="5812"/>
    <cellStyle name="20% - Акцент6 85 2" xfId="5813"/>
    <cellStyle name="20% - Акцент6 86" xfId="5814"/>
    <cellStyle name="20% - Акцент6 86 2" xfId="5815"/>
    <cellStyle name="20% - Акцент6 87" xfId="5816"/>
    <cellStyle name="20% - Акцент6 87 2" xfId="5817"/>
    <cellStyle name="20% - Акцент6 88" xfId="5818"/>
    <cellStyle name="20% - Акцент6 88 2" xfId="5819"/>
    <cellStyle name="20% - Акцент6 89" xfId="5820"/>
    <cellStyle name="20% - Акцент6 89 2" xfId="5821"/>
    <cellStyle name="20% - Акцент6 9" xfId="5822"/>
    <cellStyle name="20% - Акцент6 90" xfId="5823"/>
    <cellStyle name="20% - Акцент6 90 2" xfId="5824"/>
    <cellStyle name="20% - Акцент6 91" xfId="5825"/>
    <cellStyle name="20% - Акцент6 91 2" xfId="5826"/>
    <cellStyle name="20% - Акцент6 92" xfId="5827"/>
    <cellStyle name="20% - Акцент6 92 2" xfId="5828"/>
    <cellStyle name="20% - Акцент6 93" xfId="5829"/>
    <cellStyle name="20% - Акцент6 93 2" xfId="5830"/>
    <cellStyle name="20% - Акцент6 94" xfId="5831"/>
    <cellStyle name="20% - Акцент6 94 2" xfId="5832"/>
    <cellStyle name="20% - Акцент6 95" xfId="5833"/>
    <cellStyle name="20% - Акцент6 95 2" xfId="5834"/>
    <cellStyle name="20% - Акцент6 96" xfId="5835"/>
    <cellStyle name="20% - Акцент6 96 2" xfId="5836"/>
    <cellStyle name="20% - Акцент6 97" xfId="5837"/>
    <cellStyle name="20% - Акцент6 97 2" xfId="5838"/>
    <cellStyle name="20% - Акцент6 98" xfId="5839"/>
    <cellStyle name="20% - Акцент6 98 2" xfId="5840"/>
    <cellStyle name="20% - Акцент6 99" xfId="5841"/>
    <cellStyle name="20% - Акцент6 99 2" xfId="5842"/>
    <cellStyle name="40% - Accent1" xfId="5843"/>
    <cellStyle name="40% - Accent1 10" xfId="5844"/>
    <cellStyle name="40% - Accent1 11" xfId="5845"/>
    <cellStyle name="40% - Accent1 12" xfId="5846"/>
    <cellStyle name="40% - Accent1 13" xfId="5847"/>
    <cellStyle name="40% - Accent1 14" xfId="5848"/>
    <cellStyle name="40% - Accent1 15" xfId="5849"/>
    <cellStyle name="40% - Accent1 16" xfId="5850"/>
    <cellStyle name="40% - Accent1 17" xfId="5851"/>
    <cellStyle name="40% - Accent1 18" xfId="5852"/>
    <cellStyle name="40% - Accent1 19" xfId="5853"/>
    <cellStyle name="40% - Accent1 2" xfId="5854"/>
    <cellStyle name="40% - Accent1 20" xfId="5855"/>
    <cellStyle name="40% - Accent1 21" xfId="5856"/>
    <cellStyle name="40% - Accent1 22" xfId="5857"/>
    <cellStyle name="40% - Accent1 23" xfId="5858"/>
    <cellStyle name="40% - Accent1 24" xfId="5859"/>
    <cellStyle name="40% - Accent1 25" xfId="5860"/>
    <cellStyle name="40% - Accent1 26" xfId="5861"/>
    <cellStyle name="40% - Accent1 27" xfId="5862"/>
    <cellStyle name="40% - Accent1 28" xfId="5863"/>
    <cellStyle name="40% - Accent1 29" xfId="5864"/>
    <cellStyle name="40% - Accent1 3" xfId="5865"/>
    <cellStyle name="40% - Accent1 30" xfId="5866"/>
    <cellStyle name="40% - Accent1 31" xfId="5867"/>
    <cellStyle name="40% - Accent1 32" xfId="5868"/>
    <cellStyle name="40% - Accent1 33" xfId="5869"/>
    <cellStyle name="40% - Accent1 34" xfId="5870"/>
    <cellStyle name="40% - Accent1 35" xfId="5871"/>
    <cellStyle name="40% - Accent1 36" xfId="5872"/>
    <cellStyle name="40% - Accent1 37" xfId="5873"/>
    <cellStyle name="40% - Accent1 38" xfId="5874"/>
    <cellStyle name="40% - Accent1 4" xfId="5875"/>
    <cellStyle name="40% - Accent1 5" xfId="5876"/>
    <cellStyle name="40% - Accent1 6" xfId="5877"/>
    <cellStyle name="40% - Accent1 7" xfId="5878"/>
    <cellStyle name="40% - Accent1 8" xfId="5879"/>
    <cellStyle name="40% - Accent1 9" xfId="5880"/>
    <cellStyle name="40% - Accent2" xfId="5881"/>
    <cellStyle name="40% - Accent2 10" xfId="5882"/>
    <cellStyle name="40% - Accent2 11" xfId="5883"/>
    <cellStyle name="40% - Accent2 12" xfId="5884"/>
    <cellStyle name="40% - Accent2 13" xfId="5885"/>
    <cellStyle name="40% - Accent2 14" xfId="5886"/>
    <cellStyle name="40% - Accent2 15" xfId="5887"/>
    <cellStyle name="40% - Accent2 16" xfId="5888"/>
    <cellStyle name="40% - Accent2 17" xfId="5889"/>
    <cellStyle name="40% - Accent2 18" xfId="5890"/>
    <cellStyle name="40% - Accent2 19" xfId="5891"/>
    <cellStyle name="40% - Accent2 2" xfId="5892"/>
    <cellStyle name="40% - Accent2 20" xfId="5893"/>
    <cellStyle name="40% - Accent2 21" xfId="5894"/>
    <cellStyle name="40% - Accent2 22" xfId="5895"/>
    <cellStyle name="40% - Accent2 23" xfId="5896"/>
    <cellStyle name="40% - Accent2 24" xfId="5897"/>
    <cellStyle name="40% - Accent2 25" xfId="5898"/>
    <cellStyle name="40% - Accent2 26" xfId="5899"/>
    <cellStyle name="40% - Accent2 27" xfId="5900"/>
    <cellStyle name="40% - Accent2 28" xfId="5901"/>
    <cellStyle name="40% - Accent2 29" xfId="5902"/>
    <cellStyle name="40% - Accent2 3" xfId="5903"/>
    <cellStyle name="40% - Accent2 30" xfId="5904"/>
    <cellStyle name="40% - Accent2 31" xfId="5905"/>
    <cellStyle name="40% - Accent2 32" xfId="5906"/>
    <cellStyle name="40% - Accent2 33" xfId="5907"/>
    <cellStyle name="40% - Accent2 34" xfId="5908"/>
    <cellStyle name="40% - Accent2 35" xfId="5909"/>
    <cellStyle name="40% - Accent2 36" xfId="5910"/>
    <cellStyle name="40% - Accent2 37" xfId="5911"/>
    <cellStyle name="40% - Accent2 38" xfId="5912"/>
    <cellStyle name="40% - Accent2 4" xfId="5913"/>
    <cellStyle name="40% - Accent2 5" xfId="5914"/>
    <cellStyle name="40% - Accent2 6" xfId="5915"/>
    <cellStyle name="40% - Accent2 7" xfId="5916"/>
    <cellStyle name="40% - Accent2 8" xfId="5917"/>
    <cellStyle name="40% - Accent2 9" xfId="5918"/>
    <cellStyle name="40% - Accent3" xfId="5919"/>
    <cellStyle name="40% - Accent3 10" xfId="5920"/>
    <cellStyle name="40% - Accent3 11" xfId="5921"/>
    <cellStyle name="40% - Accent3 12" xfId="5922"/>
    <cellStyle name="40% - Accent3 13" xfId="5923"/>
    <cellStyle name="40% - Accent3 14" xfId="5924"/>
    <cellStyle name="40% - Accent3 15" xfId="5925"/>
    <cellStyle name="40% - Accent3 16" xfId="5926"/>
    <cellStyle name="40% - Accent3 17" xfId="5927"/>
    <cellStyle name="40% - Accent3 18" xfId="5928"/>
    <cellStyle name="40% - Accent3 19" xfId="5929"/>
    <cellStyle name="40% - Accent3 2" xfId="5930"/>
    <cellStyle name="40% - Accent3 20" xfId="5931"/>
    <cellStyle name="40% - Accent3 21" xfId="5932"/>
    <cellStyle name="40% - Accent3 22" xfId="5933"/>
    <cellStyle name="40% - Accent3 23" xfId="5934"/>
    <cellStyle name="40% - Accent3 24" xfId="5935"/>
    <cellStyle name="40% - Accent3 25" xfId="5936"/>
    <cellStyle name="40% - Accent3 26" xfId="5937"/>
    <cellStyle name="40% - Accent3 27" xfId="5938"/>
    <cellStyle name="40% - Accent3 28" xfId="5939"/>
    <cellStyle name="40% - Accent3 29" xfId="5940"/>
    <cellStyle name="40% - Accent3 3" xfId="5941"/>
    <cellStyle name="40% - Accent3 30" xfId="5942"/>
    <cellStyle name="40% - Accent3 31" xfId="5943"/>
    <cellStyle name="40% - Accent3 32" xfId="5944"/>
    <cellStyle name="40% - Accent3 33" xfId="5945"/>
    <cellStyle name="40% - Accent3 34" xfId="5946"/>
    <cellStyle name="40% - Accent3 35" xfId="5947"/>
    <cellStyle name="40% - Accent3 36" xfId="5948"/>
    <cellStyle name="40% - Accent3 37" xfId="5949"/>
    <cellStyle name="40% - Accent3 38" xfId="5950"/>
    <cellStyle name="40% - Accent3 4" xfId="5951"/>
    <cellStyle name="40% - Accent3 5" xfId="5952"/>
    <cellStyle name="40% - Accent3 6" xfId="5953"/>
    <cellStyle name="40% - Accent3 7" xfId="5954"/>
    <cellStyle name="40% - Accent3 8" xfId="5955"/>
    <cellStyle name="40% - Accent3 9" xfId="5956"/>
    <cellStyle name="40% - Accent4" xfId="5957"/>
    <cellStyle name="40% - Accent4 10" xfId="5958"/>
    <cellStyle name="40% - Accent4 11" xfId="5959"/>
    <cellStyle name="40% - Accent4 12" xfId="5960"/>
    <cellStyle name="40% - Accent4 13" xfId="5961"/>
    <cellStyle name="40% - Accent4 14" xfId="5962"/>
    <cellStyle name="40% - Accent4 15" xfId="5963"/>
    <cellStyle name="40% - Accent4 16" xfId="5964"/>
    <cellStyle name="40% - Accent4 17" xfId="5965"/>
    <cellStyle name="40% - Accent4 18" xfId="5966"/>
    <cellStyle name="40% - Accent4 19" xfId="5967"/>
    <cellStyle name="40% - Accent4 2" xfId="5968"/>
    <cellStyle name="40% - Accent4 20" xfId="5969"/>
    <cellStyle name="40% - Accent4 21" xfId="5970"/>
    <cellStyle name="40% - Accent4 22" xfId="5971"/>
    <cellStyle name="40% - Accent4 23" xfId="5972"/>
    <cellStyle name="40% - Accent4 24" xfId="5973"/>
    <cellStyle name="40% - Accent4 25" xfId="5974"/>
    <cellStyle name="40% - Accent4 26" xfId="5975"/>
    <cellStyle name="40% - Accent4 27" xfId="5976"/>
    <cellStyle name="40% - Accent4 28" xfId="5977"/>
    <cellStyle name="40% - Accent4 29" xfId="5978"/>
    <cellStyle name="40% - Accent4 3" xfId="5979"/>
    <cellStyle name="40% - Accent4 30" xfId="5980"/>
    <cellStyle name="40% - Accent4 31" xfId="5981"/>
    <cellStyle name="40% - Accent4 32" xfId="5982"/>
    <cellStyle name="40% - Accent4 33" xfId="5983"/>
    <cellStyle name="40% - Accent4 34" xfId="5984"/>
    <cellStyle name="40% - Accent4 35" xfId="5985"/>
    <cellStyle name="40% - Accent4 36" xfId="5986"/>
    <cellStyle name="40% - Accent4 37" xfId="5987"/>
    <cellStyle name="40% - Accent4 38" xfId="5988"/>
    <cellStyle name="40% - Accent4 4" xfId="5989"/>
    <cellStyle name="40% - Accent4 5" xfId="5990"/>
    <cellStyle name="40% - Accent4 6" xfId="5991"/>
    <cellStyle name="40% - Accent4 7" xfId="5992"/>
    <cellStyle name="40% - Accent4 8" xfId="5993"/>
    <cellStyle name="40% - Accent4 9" xfId="5994"/>
    <cellStyle name="40% - Accent5" xfId="5995"/>
    <cellStyle name="40% - Accent5 10" xfId="5996"/>
    <cellStyle name="40% - Accent5 11" xfId="5997"/>
    <cellStyle name="40% - Accent5 12" xfId="5998"/>
    <cellStyle name="40% - Accent5 13" xfId="5999"/>
    <cellStyle name="40% - Accent5 14" xfId="6000"/>
    <cellStyle name="40% - Accent5 15" xfId="6001"/>
    <cellStyle name="40% - Accent5 16" xfId="6002"/>
    <cellStyle name="40% - Accent5 17" xfId="6003"/>
    <cellStyle name="40% - Accent5 18" xfId="6004"/>
    <cellStyle name="40% - Accent5 19" xfId="6005"/>
    <cellStyle name="40% - Accent5 2" xfId="6006"/>
    <cellStyle name="40% - Accent5 20" xfId="6007"/>
    <cellStyle name="40% - Accent5 21" xfId="6008"/>
    <cellStyle name="40% - Accent5 22" xfId="6009"/>
    <cellStyle name="40% - Accent5 23" xfId="6010"/>
    <cellStyle name="40% - Accent5 24" xfId="6011"/>
    <cellStyle name="40% - Accent5 25" xfId="6012"/>
    <cellStyle name="40% - Accent5 26" xfId="6013"/>
    <cellStyle name="40% - Accent5 27" xfId="6014"/>
    <cellStyle name="40% - Accent5 28" xfId="6015"/>
    <cellStyle name="40% - Accent5 29" xfId="6016"/>
    <cellStyle name="40% - Accent5 3" xfId="6017"/>
    <cellStyle name="40% - Accent5 30" xfId="6018"/>
    <cellStyle name="40% - Accent5 31" xfId="6019"/>
    <cellStyle name="40% - Accent5 32" xfId="6020"/>
    <cellStyle name="40% - Accent5 33" xfId="6021"/>
    <cellStyle name="40% - Accent5 34" xfId="6022"/>
    <cellStyle name="40% - Accent5 35" xfId="6023"/>
    <cellStyle name="40% - Accent5 36" xfId="6024"/>
    <cellStyle name="40% - Accent5 37" xfId="6025"/>
    <cellStyle name="40% - Accent5 38" xfId="6026"/>
    <cellStyle name="40% - Accent5 4" xfId="6027"/>
    <cellStyle name="40% - Accent5 5" xfId="6028"/>
    <cellStyle name="40% - Accent5 6" xfId="6029"/>
    <cellStyle name="40% - Accent5 7" xfId="6030"/>
    <cellStyle name="40% - Accent5 8" xfId="6031"/>
    <cellStyle name="40% - Accent5 9" xfId="6032"/>
    <cellStyle name="40% - Accent6" xfId="6033"/>
    <cellStyle name="40% - Accent6 10" xfId="6034"/>
    <cellStyle name="40% - Accent6 11" xfId="6035"/>
    <cellStyle name="40% - Accent6 12" xfId="6036"/>
    <cellStyle name="40% - Accent6 13" xfId="6037"/>
    <cellStyle name="40% - Accent6 14" xfId="6038"/>
    <cellStyle name="40% - Accent6 15" xfId="6039"/>
    <cellStyle name="40% - Accent6 16" xfId="6040"/>
    <cellStyle name="40% - Accent6 17" xfId="6041"/>
    <cellStyle name="40% - Accent6 18" xfId="6042"/>
    <cellStyle name="40% - Accent6 19" xfId="6043"/>
    <cellStyle name="40% - Accent6 2" xfId="6044"/>
    <cellStyle name="40% - Accent6 20" xfId="6045"/>
    <cellStyle name="40% - Accent6 21" xfId="6046"/>
    <cellStyle name="40% - Accent6 22" xfId="6047"/>
    <cellStyle name="40% - Accent6 23" xfId="6048"/>
    <cellStyle name="40% - Accent6 24" xfId="6049"/>
    <cellStyle name="40% - Accent6 25" xfId="6050"/>
    <cellStyle name="40% - Accent6 26" xfId="6051"/>
    <cellStyle name="40% - Accent6 27" xfId="6052"/>
    <cellStyle name="40% - Accent6 28" xfId="6053"/>
    <cellStyle name="40% - Accent6 29" xfId="6054"/>
    <cellStyle name="40% - Accent6 3" xfId="6055"/>
    <cellStyle name="40% - Accent6 30" xfId="6056"/>
    <cellStyle name="40% - Accent6 31" xfId="6057"/>
    <cellStyle name="40% - Accent6 32" xfId="6058"/>
    <cellStyle name="40% - Accent6 33" xfId="6059"/>
    <cellStyle name="40% - Accent6 34" xfId="6060"/>
    <cellStyle name="40% - Accent6 35" xfId="6061"/>
    <cellStyle name="40% - Accent6 36" xfId="6062"/>
    <cellStyle name="40% - Accent6 37" xfId="6063"/>
    <cellStyle name="40% - Accent6 38" xfId="6064"/>
    <cellStyle name="40% - Accent6 4" xfId="6065"/>
    <cellStyle name="40% - Accent6 5" xfId="6066"/>
    <cellStyle name="40% - Accent6 6" xfId="6067"/>
    <cellStyle name="40% - Accent6 7" xfId="6068"/>
    <cellStyle name="40% - Accent6 8" xfId="6069"/>
    <cellStyle name="40% - Accent6 9" xfId="6070"/>
    <cellStyle name="40% - Акцент1 10" xfId="6071"/>
    <cellStyle name="40% - Акцент1 100" xfId="6072"/>
    <cellStyle name="40% - Акцент1 100 2" xfId="6073"/>
    <cellStyle name="40% - Акцент1 101" xfId="6074"/>
    <cellStyle name="40% - Акцент1 101 2" xfId="6075"/>
    <cellStyle name="40% - Акцент1 102" xfId="6076"/>
    <cellStyle name="40% - Акцент1 102 2" xfId="6077"/>
    <cellStyle name="40% - Акцент1 103" xfId="6078"/>
    <cellStyle name="40% - Акцент1 103 2" xfId="6079"/>
    <cellStyle name="40% - Акцент1 104" xfId="6080"/>
    <cellStyle name="40% - Акцент1 104 2" xfId="6081"/>
    <cellStyle name="40% - Акцент1 105" xfId="6082"/>
    <cellStyle name="40% - Акцент1 105 2" xfId="6083"/>
    <cellStyle name="40% - Акцент1 106" xfId="6084"/>
    <cellStyle name="40% - Акцент1 106 2" xfId="6085"/>
    <cellStyle name="40% - Акцент1 107" xfId="6086"/>
    <cellStyle name="40% - Акцент1 107 2" xfId="6087"/>
    <cellStyle name="40% - Акцент1 108" xfId="6088"/>
    <cellStyle name="40% - Акцент1 108 2" xfId="6089"/>
    <cellStyle name="40% - Акцент1 109" xfId="6090"/>
    <cellStyle name="40% - Акцент1 109 2" xfId="6091"/>
    <cellStyle name="40% - Акцент1 11" xfId="6092"/>
    <cellStyle name="40% - Акцент1 110" xfId="6093"/>
    <cellStyle name="40% - Акцент1 110 2" xfId="6094"/>
    <cellStyle name="40% - Акцент1 111" xfId="6095"/>
    <cellStyle name="40% - Акцент1 111 2" xfId="6096"/>
    <cellStyle name="40% - Акцент1 112" xfId="6097"/>
    <cellStyle name="40% - Акцент1 112 2" xfId="6098"/>
    <cellStyle name="40% - Акцент1 113" xfId="6099"/>
    <cellStyle name="40% - Акцент1 113 2" xfId="6100"/>
    <cellStyle name="40% - Акцент1 114" xfId="6101"/>
    <cellStyle name="40% - Акцент1 114 2" xfId="6102"/>
    <cellStyle name="40% - Акцент1 115" xfId="6103"/>
    <cellStyle name="40% - Акцент1 115 2" xfId="6104"/>
    <cellStyle name="40% - Акцент1 116" xfId="6105"/>
    <cellStyle name="40% - Акцент1 116 2" xfId="6106"/>
    <cellStyle name="40% - Акцент1 117" xfId="6107"/>
    <cellStyle name="40% - Акцент1 117 2" xfId="6108"/>
    <cellStyle name="40% - Акцент1 118" xfId="6109"/>
    <cellStyle name="40% - Акцент1 118 2" xfId="6110"/>
    <cellStyle name="40% - Акцент1 119" xfId="6111"/>
    <cellStyle name="40% - Акцент1 119 2" xfId="6112"/>
    <cellStyle name="40% - Акцент1 12" xfId="6113"/>
    <cellStyle name="40% - Акцент1 120" xfId="6114"/>
    <cellStyle name="40% - Акцент1 120 2" xfId="6115"/>
    <cellStyle name="40% - Акцент1 121" xfId="6116"/>
    <cellStyle name="40% - Акцент1 121 2" xfId="6117"/>
    <cellStyle name="40% - Акцент1 122" xfId="6118"/>
    <cellStyle name="40% - Акцент1 122 2" xfId="6119"/>
    <cellStyle name="40% - Акцент1 123" xfId="6120"/>
    <cellStyle name="40% - Акцент1 123 2" xfId="6121"/>
    <cellStyle name="40% - Акцент1 124" xfId="6122"/>
    <cellStyle name="40% - Акцент1 124 2" xfId="6123"/>
    <cellStyle name="40% - Акцент1 125" xfId="6124"/>
    <cellStyle name="40% - Акцент1 125 2" xfId="6125"/>
    <cellStyle name="40% - Акцент1 126" xfId="6126"/>
    <cellStyle name="40% - Акцент1 126 2" xfId="6127"/>
    <cellStyle name="40% - Акцент1 127" xfId="6128"/>
    <cellStyle name="40% - Акцент1 127 2" xfId="6129"/>
    <cellStyle name="40% - Акцент1 128" xfId="6130"/>
    <cellStyle name="40% - Акцент1 128 2" xfId="6131"/>
    <cellStyle name="40% - Акцент1 129" xfId="6132"/>
    <cellStyle name="40% - Акцент1 129 2" xfId="6133"/>
    <cellStyle name="40% - Акцент1 13" xfId="6134"/>
    <cellStyle name="40% - Акцент1 130" xfId="6135"/>
    <cellStyle name="40% - Акцент1 130 2" xfId="6136"/>
    <cellStyle name="40% - Акцент1 131" xfId="6137"/>
    <cellStyle name="40% - Акцент1 131 2" xfId="6138"/>
    <cellStyle name="40% - Акцент1 132" xfId="6139"/>
    <cellStyle name="40% - Акцент1 132 2" xfId="6140"/>
    <cellStyle name="40% - Акцент1 133" xfId="6141"/>
    <cellStyle name="40% - Акцент1 133 2" xfId="6142"/>
    <cellStyle name="40% - Акцент1 134" xfId="6143"/>
    <cellStyle name="40% - Акцент1 134 2" xfId="6144"/>
    <cellStyle name="40% - Акцент1 135" xfId="6145"/>
    <cellStyle name="40% - Акцент1 135 2" xfId="6146"/>
    <cellStyle name="40% - Акцент1 136" xfId="6147"/>
    <cellStyle name="40% - Акцент1 136 2" xfId="6148"/>
    <cellStyle name="40% - Акцент1 137" xfId="6149"/>
    <cellStyle name="40% - Акцент1 137 2" xfId="6150"/>
    <cellStyle name="40% - Акцент1 138" xfId="6151"/>
    <cellStyle name="40% - Акцент1 138 2" xfId="6152"/>
    <cellStyle name="40% - Акцент1 139" xfId="6153"/>
    <cellStyle name="40% - Акцент1 139 2" xfId="6154"/>
    <cellStyle name="40% - Акцент1 14" xfId="6155"/>
    <cellStyle name="40% - Акцент1 140" xfId="6156"/>
    <cellStyle name="40% - Акцент1 140 2" xfId="6157"/>
    <cellStyle name="40% - Акцент1 141" xfId="6158"/>
    <cellStyle name="40% - Акцент1 141 2" xfId="6159"/>
    <cellStyle name="40% - Акцент1 142" xfId="6160"/>
    <cellStyle name="40% - Акцент1 142 2" xfId="6161"/>
    <cellStyle name="40% - Акцент1 143" xfId="6162"/>
    <cellStyle name="40% - Акцент1 143 2" xfId="6163"/>
    <cellStyle name="40% - Акцент1 144" xfId="6164"/>
    <cellStyle name="40% - Акцент1 144 2" xfId="6165"/>
    <cellStyle name="40% - Акцент1 145" xfId="6166"/>
    <cellStyle name="40% - Акцент1 145 2" xfId="6167"/>
    <cellStyle name="40% - Акцент1 146" xfId="6168"/>
    <cellStyle name="40% - Акцент1 146 2" xfId="6169"/>
    <cellStyle name="40% - Акцент1 147" xfId="6170"/>
    <cellStyle name="40% - Акцент1 147 2" xfId="6171"/>
    <cellStyle name="40% - Акцент1 148" xfId="6172"/>
    <cellStyle name="40% - Акцент1 148 2" xfId="6173"/>
    <cellStyle name="40% - Акцент1 149" xfId="6174"/>
    <cellStyle name="40% - Акцент1 149 2" xfId="6175"/>
    <cellStyle name="40% - Акцент1 15" xfId="6176"/>
    <cellStyle name="40% - Акцент1 150" xfId="6177"/>
    <cellStyle name="40% - Акцент1 150 2" xfId="6178"/>
    <cellStyle name="40% - Акцент1 151" xfId="6179"/>
    <cellStyle name="40% - Акцент1 151 2" xfId="6180"/>
    <cellStyle name="40% - Акцент1 152" xfId="6181"/>
    <cellStyle name="40% - Акцент1 152 2" xfId="6182"/>
    <cellStyle name="40% - Акцент1 153" xfId="6183"/>
    <cellStyle name="40% - Акцент1 153 2" xfId="6184"/>
    <cellStyle name="40% - Акцент1 154" xfId="6185"/>
    <cellStyle name="40% - Акцент1 154 2" xfId="6186"/>
    <cellStyle name="40% - Акцент1 155" xfId="6187"/>
    <cellStyle name="40% - Акцент1 155 2" xfId="6188"/>
    <cellStyle name="40% - Акцент1 156" xfId="6189"/>
    <cellStyle name="40% - Акцент1 156 2" xfId="6190"/>
    <cellStyle name="40% - Акцент1 157" xfId="6191"/>
    <cellStyle name="40% - Акцент1 157 2" xfId="6192"/>
    <cellStyle name="40% - Акцент1 158" xfId="6193"/>
    <cellStyle name="40% - Акцент1 158 2" xfId="6194"/>
    <cellStyle name="40% - Акцент1 159" xfId="6195"/>
    <cellStyle name="40% - Акцент1 159 2" xfId="6196"/>
    <cellStyle name="40% - Акцент1 16" xfId="6197"/>
    <cellStyle name="40% - Акцент1 160" xfId="6198"/>
    <cellStyle name="40% - Акцент1 160 2" xfId="6199"/>
    <cellStyle name="40% - Акцент1 161" xfId="6200"/>
    <cellStyle name="40% - Акцент1 161 2" xfId="6201"/>
    <cellStyle name="40% - Акцент1 162" xfId="6202"/>
    <cellStyle name="40% - Акцент1 162 2" xfId="6203"/>
    <cellStyle name="40% - Акцент1 163" xfId="6204"/>
    <cellStyle name="40% - Акцент1 163 2" xfId="6205"/>
    <cellStyle name="40% - Акцент1 164" xfId="6206"/>
    <cellStyle name="40% - Акцент1 164 2" xfId="6207"/>
    <cellStyle name="40% - Акцент1 165" xfId="6208"/>
    <cellStyle name="40% - Акцент1 165 2" xfId="6209"/>
    <cellStyle name="40% - Акцент1 166" xfId="6210"/>
    <cellStyle name="40% - Акцент1 166 2" xfId="6211"/>
    <cellStyle name="40% - Акцент1 167" xfId="6212"/>
    <cellStyle name="40% - Акцент1 167 2" xfId="6213"/>
    <cellStyle name="40% - Акцент1 168" xfId="6214"/>
    <cellStyle name="40% - Акцент1 168 2" xfId="6215"/>
    <cellStyle name="40% - Акцент1 169" xfId="6216"/>
    <cellStyle name="40% - Акцент1 169 2" xfId="6217"/>
    <cellStyle name="40% - Акцент1 17" xfId="6218"/>
    <cellStyle name="40% - Акцент1 170" xfId="6219"/>
    <cellStyle name="40% - Акцент1 170 2" xfId="6220"/>
    <cellStyle name="40% - Акцент1 171" xfId="6221"/>
    <cellStyle name="40% - Акцент1 171 2" xfId="6222"/>
    <cellStyle name="40% - Акцент1 172" xfId="6223"/>
    <cellStyle name="40% - Акцент1 172 2" xfId="6224"/>
    <cellStyle name="40% - Акцент1 173" xfId="6225"/>
    <cellStyle name="40% - Акцент1 173 2" xfId="6226"/>
    <cellStyle name="40% - Акцент1 174" xfId="6227"/>
    <cellStyle name="40% - Акцент1 174 2" xfId="6228"/>
    <cellStyle name="40% - Акцент1 175" xfId="6229"/>
    <cellStyle name="40% - Акцент1 175 2" xfId="6230"/>
    <cellStyle name="40% - Акцент1 176" xfId="6231"/>
    <cellStyle name="40% - Акцент1 176 2" xfId="6232"/>
    <cellStyle name="40% - Акцент1 177" xfId="6233"/>
    <cellStyle name="40% - Акцент1 177 2" xfId="6234"/>
    <cellStyle name="40% - Акцент1 178" xfId="6235"/>
    <cellStyle name="40% - Акцент1 178 2" xfId="6236"/>
    <cellStyle name="40% - Акцент1 179" xfId="6237"/>
    <cellStyle name="40% - Акцент1 179 2" xfId="6238"/>
    <cellStyle name="40% - Акцент1 18" xfId="6239"/>
    <cellStyle name="40% - Акцент1 180" xfId="6240"/>
    <cellStyle name="40% - Акцент1 180 2" xfId="6241"/>
    <cellStyle name="40% - Акцент1 181" xfId="6242"/>
    <cellStyle name="40% - Акцент1 181 2" xfId="6243"/>
    <cellStyle name="40% - Акцент1 182" xfId="6244"/>
    <cellStyle name="40% - Акцент1 182 2" xfId="6245"/>
    <cellStyle name="40% - Акцент1 183" xfId="6246"/>
    <cellStyle name="40% - Акцент1 183 2" xfId="6247"/>
    <cellStyle name="40% - Акцент1 184" xfId="6248"/>
    <cellStyle name="40% - Акцент1 184 2" xfId="6249"/>
    <cellStyle name="40% - Акцент1 185" xfId="6250"/>
    <cellStyle name="40% - Акцент1 185 2" xfId="6251"/>
    <cellStyle name="40% - Акцент1 186" xfId="6252"/>
    <cellStyle name="40% - Акцент1 186 2" xfId="6253"/>
    <cellStyle name="40% - Акцент1 187" xfId="6254"/>
    <cellStyle name="40% - Акцент1 187 2" xfId="6255"/>
    <cellStyle name="40% - Акцент1 188" xfId="6256"/>
    <cellStyle name="40% - Акцент1 188 2" xfId="6257"/>
    <cellStyle name="40% - Акцент1 189" xfId="6258"/>
    <cellStyle name="40% - Акцент1 189 2" xfId="6259"/>
    <cellStyle name="40% - Акцент1 19" xfId="6260"/>
    <cellStyle name="40% - Акцент1 190" xfId="6261"/>
    <cellStyle name="40% - Акцент1 190 2" xfId="6262"/>
    <cellStyle name="40% - Акцент1 191" xfId="6263"/>
    <cellStyle name="40% - Акцент1 191 2" xfId="6264"/>
    <cellStyle name="40% - Акцент1 192" xfId="6265"/>
    <cellStyle name="40% - Акцент1 192 2" xfId="6266"/>
    <cellStyle name="40% - Акцент1 193" xfId="6267"/>
    <cellStyle name="40% - Акцент1 193 2" xfId="6268"/>
    <cellStyle name="40% - Акцент1 194" xfId="6269"/>
    <cellStyle name="40% - Акцент1 194 2" xfId="6270"/>
    <cellStyle name="40% - Акцент1 195" xfId="6271"/>
    <cellStyle name="40% - Акцент1 195 2" xfId="6272"/>
    <cellStyle name="40% - Акцент1 196" xfId="6273"/>
    <cellStyle name="40% - Акцент1 196 2" xfId="6274"/>
    <cellStyle name="40% - Акцент1 197" xfId="6275"/>
    <cellStyle name="40% - Акцент1 197 2" xfId="6276"/>
    <cellStyle name="40% - Акцент1 198" xfId="6277"/>
    <cellStyle name="40% - Акцент1 198 2" xfId="6278"/>
    <cellStyle name="40% - Акцент1 199" xfId="6279"/>
    <cellStyle name="40% - Акцент1 199 2" xfId="6280"/>
    <cellStyle name="40% - Акцент1 2" xfId="6281"/>
    <cellStyle name="40% - Акцент1 2 2" xfId="6282"/>
    <cellStyle name="40% - Акцент1 2 2 2" xfId="6283"/>
    <cellStyle name="40% - Акцент1 2 3" xfId="6284"/>
    <cellStyle name="40% - Акцент1 2 4" xfId="6285"/>
    <cellStyle name="40% - Акцент1 2 5" xfId="6286"/>
    <cellStyle name="40% - Акцент1 2 6" xfId="6287"/>
    <cellStyle name="40% - Акцент1 2 7" xfId="6288"/>
    <cellStyle name="40% - Акцент1 20" xfId="6289"/>
    <cellStyle name="40% - Акцент1 20 2" xfId="6290"/>
    <cellStyle name="40% - Акцент1 200" xfId="6291"/>
    <cellStyle name="40% - Акцент1 200 2" xfId="6292"/>
    <cellStyle name="40% - Акцент1 201" xfId="6293"/>
    <cellStyle name="40% - Акцент1 201 2" xfId="6294"/>
    <cellStyle name="40% - Акцент1 202" xfId="6295"/>
    <cellStyle name="40% - Акцент1 202 2" xfId="6296"/>
    <cellStyle name="40% - Акцент1 203" xfId="6297"/>
    <cellStyle name="40% - Акцент1 203 2" xfId="6298"/>
    <cellStyle name="40% - Акцент1 204" xfId="6299"/>
    <cellStyle name="40% - Акцент1 204 2" xfId="6300"/>
    <cellStyle name="40% - Акцент1 205" xfId="6301"/>
    <cellStyle name="40% - Акцент1 205 2" xfId="6302"/>
    <cellStyle name="40% - Акцент1 206" xfId="6303"/>
    <cellStyle name="40% - Акцент1 206 2" xfId="6304"/>
    <cellStyle name="40% - Акцент1 207" xfId="6305"/>
    <cellStyle name="40% - Акцент1 207 2" xfId="6306"/>
    <cellStyle name="40% - Акцент1 208" xfId="6307"/>
    <cellStyle name="40% - Акцент1 208 2" xfId="6308"/>
    <cellStyle name="40% - Акцент1 209" xfId="6309"/>
    <cellStyle name="40% - Акцент1 209 2" xfId="6310"/>
    <cellStyle name="40% - Акцент1 21" xfId="6311"/>
    <cellStyle name="40% - Акцент1 21 2" xfId="6312"/>
    <cellStyle name="40% - Акцент1 210" xfId="6313"/>
    <cellStyle name="40% - Акцент1 210 2" xfId="6314"/>
    <cellStyle name="40% - Акцент1 211" xfId="6315"/>
    <cellStyle name="40% - Акцент1 211 2" xfId="6316"/>
    <cellStyle name="40% - Акцент1 212" xfId="6317"/>
    <cellStyle name="40% - Акцент1 212 2" xfId="6318"/>
    <cellStyle name="40% - Акцент1 213" xfId="6319"/>
    <cellStyle name="40% - Акцент1 213 2" xfId="6320"/>
    <cellStyle name="40% - Акцент1 214" xfId="6321"/>
    <cellStyle name="40% - Акцент1 214 2" xfId="6322"/>
    <cellStyle name="40% - Акцент1 215" xfId="6323"/>
    <cellStyle name="40% - Акцент1 215 2" xfId="6324"/>
    <cellStyle name="40% - Акцент1 216" xfId="6325"/>
    <cellStyle name="40% - Акцент1 216 2" xfId="6326"/>
    <cellStyle name="40% - Акцент1 217" xfId="6327"/>
    <cellStyle name="40% - Акцент1 217 2" xfId="6328"/>
    <cellStyle name="40% - Акцент1 217 3" xfId="6329"/>
    <cellStyle name="40% - Акцент1 218" xfId="6330"/>
    <cellStyle name="40% - Акцент1 219" xfId="6331"/>
    <cellStyle name="40% - Акцент1 22" xfId="6332"/>
    <cellStyle name="40% - Акцент1 22 2" xfId="6333"/>
    <cellStyle name="40% - Акцент1 220" xfId="6334"/>
    <cellStyle name="40% - Акцент1 221" xfId="6335"/>
    <cellStyle name="40% - Акцент1 222" xfId="6336"/>
    <cellStyle name="40% - Акцент1 223" xfId="6337"/>
    <cellStyle name="40% - Акцент1 224" xfId="6338"/>
    <cellStyle name="40% - Акцент1 225" xfId="6339"/>
    <cellStyle name="40% - Акцент1 226" xfId="6340"/>
    <cellStyle name="40% - Акцент1 227" xfId="6341"/>
    <cellStyle name="40% - Акцент1 228" xfId="6342"/>
    <cellStyle name="40% - Акцент1 229" xfId="6343"/>
    <cellStyle name="40% - Акцент1 23" xfId="6344"/>
    <cellStyle name="40% - Акцент1 23 2" xfId="6345"/>
    <cellStyle name="40% - Акцент1 230" xfId="6346"/>
    <cellStyle name="40% - Акцент1 231" xfId="6347"/>
    <cellStyle name="40% - Акцент1 232" xfId="6348"/>
    <cellStyle name="40% - Акцент1 233" xfId="6349"/>
    <cellStyle name="40% - Акцент1 234" xfId="6350"/>
    <cellStyle name="40% - Акцент1 235" xfId="6351"/>
    <cellStyle name="40% - Акцент1 236" xfId="6352"/>
    <cellStyle name="40% - Акцент1 237" xfId="6353"/>
    <cellStyle name="40% - Акцент1 238" xfId="6354"/>
    <cellStyle name="40% - Акцент1 239" xfId="6355"/>
    <cellStyle name="40% - Акцент1 24" xfId="6356"/>
    <cellStyle name="40% - Акцент1 24 2" xfId="6357"/>
    <cellStyle name="40% - Акцент1 240" xfId="6358"/>
    <cellStyle name="40% - Акцент1 241" xfId="6359"/>
    <cellStyle name="40% - Акцент1 242" xfId="6360"/>
    <cellStyle name="40% - Акцент1 243" xfId="6361"/>
    <cellStyle name="40% - Акцент1 244" xfId="6362"/>
    <cellStyle name="40% - Акцент1 245" xfId="6363"/>
    <cellStyle name="40% - Акцент1 246" xfId="6364"/>
    <cellStyle name="40% - Акцент1 247" xfId="6365"/>
    <cellStyle name="40% - Акцент1 248" xfId="6366"/>
    <cellStyle name="40% - Акцент1 249" xfId="6367"/>
    <cellStyle name="40% - Акцент1 25" xfId="6368"/>
    <cellStyle name="40% - Акцент1 25 2" xfId="6369"/>
    <cellStyle name="40% - Акцент1 250" xfId="6370"/>
    <cellStyle name="40% - Акцент1 251" xfId="6371"/>
    <cellStyle name="40% - Акцент1 252" xfId="6372"/>
    <cellStyle name="40% - Акцент1 253" xfId="6373"/>
    <cellStyle name="40% - Акцент1 254" xfId="6374"/>
    <cellStyle name="40% - Акцент1 255" xfId="6375"/>
    <cellStyle name="40% - Акцент1 26" xfId="6376"/>
    <cellStyle name="40% - Акцент1 26 2" xfId="6377"/>
    <cellStyle name="40% - Акцент1 27" xfId="6378"/>
    <cellStyle name="40% - Акцент1 27 2" xfId="6379"/>
    <cellStyle name="40% - Акцент1 28" xfId="6380"/>
    <cellStyle name="40% - Акцент1 28 2" xfId="6381"/>
    <cellStyle name="40% - Акцент1 29" xfId="6382"/>
    <cellStyle name="40% - Акцент1 29 2" xfId="6383"/>
    <cellStyle name="40% - Акцент1 3" xfId="6384"/>
    <cellStyle name="40% - Акцент1 30" xfId="6385"/>
    <cellStyle name="40% - Акцент1 30 2" xfId="6386"/>
    <cellStyle name="40% - Акцент1 31" xfId="6387"/>
    <cellStyle name="40% - Акцент1 31 2" xfId="6388"/>
    <cellStyle name="40% - Акцент1 32" xfId="6389"/>
    <cellStyle name="40% - Акцент1 32 2" xfId="6390"/>
    <cellStyle name="40% - Акцент1 33" xfId="6391"/>
    <cellStyle name="40% - Акцент1 33 2" xfId="6392"/>
    <cellStyle name="40% - Акцент1 34" xfId="6393"/>
    <cellStyle name="40% - Акцент1 34 2" xfId="6394"/>
    <cellStyle name="40% - Акцент1 35" xfId="6395"/>
    <cellStyle name="40% - Акцент1 35 2" xfId="6396"/>
    <cellStyle name="40% - Акцент1 36" xfId="6397"/>
    <cellStyle name="40% - Акцент1 36 2" xfId="6398"/>
    <cellStyle name="40% - Акцент1 37" xfId="6399"/>
    <cellStyle name="40% - Акцент1 37 2" xfId="6400"/>
    <cellStyle name="40% - Акцент1 38" xfId="6401"/>
    <cellStyle name="40% - Акцент1 38 2" xfId="6402"/>
    <cellStyle name="40% - Акцент1 39" xfId="6403"/>
    <cellStyle name="40% - Акцент1 39 2" xfId="6404"/>
    <cellStyle name="40% - Акцент1 4" xfId="6405"/>
    <cellStyle name="40% - Акцент1 40" xfId="6406"/>
    <cellStyle name="40% - Акцент1 40 2" xfId="6407"/>
    <cellStyle name="40% - Акцент1 41" xfId="6408"/>
    <cellStyle name="40% - Акцент1 41 2" xfId="6409"/>
    <cellStyle name="40% - Акцент1 42" xfId="6410"/>
    <cellStyle name="40% - Акцент1 42 2" xfId="6411"/>
    <cellStyle name="40% - Акцент1 43" xfId="6412"/>
    <cellStyle name="40% - Акцент1 43 2" xfId="6413"/>
    <cellStyle name="40% - Акцент1 44" xfId="6414"/>
    <cellStyle name="40% - Акцент1 44 2" xfId="6415"/>
    <cellStyle name="40% - Акцент1 45" xfId="6416"/>
    <cellStyle name="40% - Акцент1 45 2" xfId="6417"/>
    <cellStyle name="40% - Акцент1 46" xfId="6418"/>
    <cellStyle name="40% - Акцент1 46 2" xfId="6419"/>
    <cellStyle name="40% - Акцент1 47" xfId="6420"/>
    <cellStyle name="40% - Акцент1 47 2" xfId="6421"/>
    <cellStyle name="40% - Акцент1 48" xfId="6422"/>
    <cellStyle name="40% - Акцент1 48 2" xfId="6423"/>
    <cellStyle name="40% - Акцент1 49" xfId="6424"/>
    <cellStyle name="40% - Акцент1 49 2" xfId="6425"/>
    <cellStyle name="40% - Акцент1 5" xfId="6426"/>
    <cellStyle name="40% - Акцент1 50" xfId="6427"/>
    <cellStyle name="40% - Акцент1 50 2" xfId="6428"/>
    <cellStyle name="40% - Акцент1 51" xfId="6429"/>
    <cellStyle name="40% - Акцент1 51 2" xfId="6430"/>
    <cellStyle name="40% - Акцент1 52" xfId="6431"/>
    <cellStyle name="40% - Акцент1 52 2" xfId="6432"/>
    <cellStyle name="40% - Акцент1 53" xfId="6433"/>
    <cellStyle name="40% - Акцент1 53 2" xfId="6434"/>
    <cellStyle name="40% - Акцент1 54" xfId="6435"/>
    <cellStyle name="40% - Акцент1 54 2" xfId="6436"/>
    <cellStyle name="40% - Акцент1 55" xfId="6437"/>
    <cellStyle name="40% - Акцент1 55 2" xfId="6438"/>
    <cellStyle name="40% - Акцент1 56" xfId="6439"/>
    <cellStyle name="40% - Акцент1 56 2" xfId="6440"/>
    <cellStyle name="40% - Акцент1 57" xfId="6441"/>
    <cellStyle name="40% - Акцент1 57 2" xfId="6442"/>
    <cellStyle name="40% - Акцент1 58" xfId="6443"/>
    <cellStyle name="40% - Акцент1 58 2" xfId="6444"/>
    <cellStyle name="40% - Акцент1 59" xfId="6445"/>
    <cellStyle name="40% - Акцент1 59 2" xfId="6446"/>
    <cellStyle name="40% - Акцент1 6" xfId="6447"/>
    <cellStyle name="40% - Акцент1 60" xfId="6448"/>
    <cellStyle name="40% - Акцент1 60 2" xfId="6449"/>
    <cellStyle name="40% - Акцент1 61" xfId="6450"/>
    <cellStyle name="40% - Акцент1 61 2" xfId="6451"/>
    <cellStyle name="40% - Акцент1 62" xfId="6452"/>
    <cellStyle name="40% - Акцент1 62 2" xfId="6453"/>
    <cellStyle name="40% - Акцент1 63" xfId="6454"/>
    <cellStyle name="40% - Акцент1 63 2" xfId="6455"/>
    <cellStyle name="40% - Акцент1 64" xfId="6456"/>
    <cellStyle name="40% - Акцент1 64 2" xfId="6457"/>
    <cellStyle name="40% - Акцент1 65" xfId="6458"/>
    <cellStyle name="40% - Акцент1 65 2" xfId="6459"/>
    <cellStyle name="40% - Акцент1 66" xfId="6460"/>
    <cellStyle name="40% - Акцент1 66 2" xfId="6461"/>
    <cellStyle name="40% - Акцент1 67" xfId="6462"/>
    <cellStyle name="40% - Акцент1 67 2" xfId="6463"/>
    <cellStyle name="40% - Акцент1 68" xfId="6464"/>
    <cellStyle name="40% - Акцент1 68 2" xfId="6465"/>
    <cellStyle name="40% - Акцент1 69" xfId="6466"/>
    <cellStyle name="40% - Акцент1 69 2" xfId="6467"/>
    <cellStyle name="40% - Акцент1 7" xfId="6468"/>
    <cellStyle name="40% - Акцент1 70" xfId="6469"/>
    <cellStyle name="40% - Акцент1 70 2" xfId="6470"/>
    <cellStyle name="40% - Акцент1 71" xfId="6471"/>
    <cellStyle name="40% - Акцент1 71 2" xfId="6472"/>
    <cellStyle name="40% - Акцент1 72" xfId="6473"/>
    <cellStyle name="40% - Акцент1 72 2" xfId="6474"/>
    <cellStyle name="40% - Акцент1 73" xfId="6475"/>
    <cellStyle name="40% - Акцент1 73 2" xfId="6476"/>
    <cellStyle name="40% - Акцент1 74" xfId="6477"/>
    <cellStyle name="40% - Акцент1 74 2" xfId="6478"/>
    <cellStyle name="40% - Акцент1 75" xfId="6479"/>
    <cellStyle name="40% - Акцент1 75 2" xfId="6480"/>
    <cellStyle name="40% - Акцент1 76" xfId="6481"/>
    <cellStyle name="40% - Акцент1 76 2" xfId="6482"/>
    <cellStyle name="40% - Акцент1 77" xfId="6483"/>
    <cellStyle name="40% - Акцент1 77 2" xfId="6484"/>
    <cellStyle name="40% - Акцент1 78" xfId="6485"/>
    <cellStyle name="40% - Акцент1 78 2" xfId="6486"/>
    <cellStyle name="40% - Акцент1 79" xfId="6487"/>
    <cellStyle name="40% - Акцент1 79 2" xfId="6488"/>
    <cellStyle name="40% - Акцент1 8" xfId="6489"/>
    <cellStyle name="40% - Акцент1 80" xfId="6490"/>
    <cellStyle name="40% - Акцент1 80 2" xfId="6491"/>
    <cellStyle name="40% - Акцент1 81" xfId="6492"/>
    <cellStyle name="40% - Акцент1 81 2" xfId="6493"/>
    <cellStyle name="40% - Акцент1 82" xfId="6494"/>
    <cellStyle name="40% - Акцент1 82 2" xfId="6495"/>
    <cellStyle name="40% - Акцент1 83" xfId="6496"/>
    <cellStyle name="40% - Акцент1 83 2" xfId="6497"/>
    <cellStyle name="40% - Акцент1 84" xfId="6498"/>
    <cellStyle name="40% - Акцент1 84 2" xfId="6499"/>
    <cellStyle name="40% - Акцент1 85" xfId="6500"/>
    <cellStyle name="40% - Акцент1 85 2" xfId="6501"/>
    <cellStyle name="40% - Акцент1 86" xfId="6502"/>
    <cellStyle name="40% - Акцент1 86 2" xfId="6503"/>
    <cellStyle name="40% - Акцент1 87" xfId="6504"/>
    <cellStyle name="40% - Акцент1 87 2" xfId="6505"/>
    <cellStyle name="40% - Акцент1 88" xfId="6506"/>
    <cellStyle name="40% - Акцент1 88 2" xfId="6507"/>
    <cellStyle name="40% - Акцент1 89" xfId="6508"/>
    <cellStyle name="40% - Акцент1 89 2" xfId="6509"/>
    <cellStyle name="40% - Акцент1 9" xfId="6510"/>
    <cellStyle name="40% - Акцент1 90" xfId="6511"/>
    <cellStyle name="40% - Акцент1 90 2" xfId="6512"/>
    <cellStyle name="40% - Акцент1 91" xfId="6513"/>
    <cellStyle name="40% - Акцент1 91 2" xfId="6514"/>
    <cellStyle name="40% - Акцент1 92" xfId="6515"/>
    <cellStyle name="40% - Акцент1 92 2" xfId="6516"/>
    <cellStyle name="40% - Акцент1 93" xfId="6517"/>
    <cellStyle name="40% - Акцент1 93 2" xfId="6518"/>
    <cellStyle name="40% - Акцент1 94" xfId="6519"/>
    <cellStyle name="40% - Акцент1 94 2" xfId="6520"/>
    <cellStyle name="40% - Акцент1 95" xfId="6521"/>
    <cellStyle name="40% - Акцент1 95 2" xfId="6522"/>
    <cellStyle name="40% - Акцент1 96" xfId="6523"/>
    <cellStyle name="40% - Акцент1 96 2" xfId="6524"/>
    <cellStyle name="40% - Акцент1 97" xfId="6525"/>
    <cellStyle name="40% - Акцент1 97 2" xfId="6526"/>
    <cellStyle name="40% - Акцент1 98" xfId="6527"/>
    <cellStyle name="40% - Акцент1 98 2" xfId="6528"/>
    <cellStyle name="40% - Акцент1 99" xfId="6529"/>
    <cellStyle name="40% - Акцент1 99 2" xfId="6530"/>
    <cellStyle name="40% - Акцент2 10" xfId="6531"/>
    <cellStyle name="40% - Акцент2 100" xfId="6532"/>
    <cellStyle name="40% - Акцент2 100 2" xfId="6533"/>
    <cellStyle name="40% - Акцент2 101" xfId="6534"/>
    <cellStyle name="40% - Акцент2 101 2" xfId="6535"/>
    <cellStyle name="40% - Акцент2 102" xfId="6536"/>
    <cellStyle name="40% - Акцент2 102 2" xfId="6537"/>
    <cellStyle name="40% - Акцент2 103" xfId="6538"/>
    <cellStyle name="40% - Акцент2 103 2" xfId="6539"/>
    <cellStyle name="40% - Акцент2 104" xfId="6540"/>
    <cellStyle name="40% - Акцент2 104 2" xfId="6541"/>
    <cellStyle name="40% - Акцент2 105" xfId="6542"/>
    <cellStyle name="40% - Акцент2 105 2" xfId="6543"/>
    <cellStyle name="40% - Акцент2 106" xfId="6544"/>
    <cellStyle name="40% - Акцент2 106 2" xfId="6545"/>
    <cellStyle name="40% - Акцент2 107" xfId="6546"/>
    <cellStyle name="40% - Акцент2 107 2" xfId="6547"/>
    <cellStyle name="40% - Акцент2 108" xfId="6548"/>
    <cellStyle name="40% - Акцент2 108 2" xfId="6549"/>
    <cellStyle name="40% - Акцент2 109" xfId="6550"/>
    <cellStyle name="40% - Акцент2 109 2" xfId="6551"/>
    <cellStyle name="40% - Акцент2 11" xfId="6552"/>
    <cellStyle name="40% - Акцент2 110" xfId="6553"/>
    <cellStyle name="40% - Акцент2 110 2" xfId="6554"/>
    <cellStyle name="40% - Акцент2 111" xfId="6555"/>
    <cellStyle name="40% - Акцент2 111 2" xfId="6556"/>
    <cellStyle name="40% - Акцент2 112" xfId="6557"/>
    <cellStyle name="40% - Акцент2 112 2" xfId="6558"/>
    <cellStyle name="40% - Акцент2 113" xfId="6559"/>
    <cellStyle name="40% - Акцент2 113 2" xfId="6560"/>
    <cellStyle name="40% - Акцент2 114" xfId="6561"/>
    <cellStyle name="40% - Акцент2 114 2" xfId="6562"/>
    <cellStyle name="40% - Акцент2 115" xfId="6563"/>
    <cellStyle name="40% - Акцент2 115 2" xfId="6564"/>
    <cellStyle name="40% - Акцент2 116" xfId="6565"/>
    <cellStyle name="40% - Акцент2 116 2" xfId="6566"/>
    <cellStyle name="40% - Акцент2 117" xfId="6567"/>
    <cellStyle name="40% - Акцент2 117 2" xfId="6568"/>
    <cellStyle name="40% - Акцент2 118" xfId="6569"/>
    <cellStyle name="40% - Акцент2 118 2" xfId="6570"/>
    <cellStyle name="40% - Акцент2 119" xfId="6571"/>
    <cellStyle name="40% - Акцент2 119 2" xfId="6572"/>
    <cellStyle name="40% - Акцент2 12" xfId="6573"/>
    <cellStyle name="40% - Акцент2 120" xfId="6574"/>
    <cellStyle name="40% - Акцент2 120 2" xfId="6575"/>
    <cellStyle name="40% - Акцент2 121" xfId="6576"/>
    <cellStyle name="40% - Акцент2 121 2" xfId="6577"/>
    <cellStyle name="40% - Акцент2 122" xfId="6578"/>
    <cellStyle name="40% - Акцент2 122 2" xfId="6579"/>
    <cellStyle name="40% - Акцент2 123" xfId="6580"/>
    <cellStyle name="40% - Акцент2 123 2" xfId="6581"/>
    <cellStyle name="40% - Акцент2 124" xfId="6582"/>
    <cellStyle name="40% - Акцент2 124 2" xfId="6583"/>
    <cellStyle name="40% - Акцент2 125" xfId="6584"/>
    <cellStyle name="40% - Акцент2 125 2" xfId="6585"/>
    <cellStyle name="40% - Акцент2 126" xfId="6586"/>
    <cellStyle name="40% - Акцент2 126 2" xfId="6587"/>
    <cellStyle name="40% - Акцент2 127" xfId="6588"/>
    <cellStyle name="40% - Акцент2 127 2" xfId="6589"/>
    <cellStyle name="40% - Акцент2 128" xfId="6590"/>
    <cellStyle name="40% - Акцент2 128 2" xfId="6591"/>
    <cellStyle name="40% - Акцент2 129" xfId="6592"/>
    <cellStyle name="40% - Акцент2 129 2" xfId="6593"/>
    <cellStyle name="40% - Акцент2 13" xfId="6594"/>
    <cellStyle name="40% - Акцент2 130" xfId="6595"/>
    <cellStyle name="40% - Акцент2 130 2" xfId="6596"/>
    <cellStyle name="40% - Акцент2 131" xfId="6597"/>
    <cellStyle name="40% - Акцент2 131 2" xfId="6598"/>
    <cellStyle name="40% - Акцент2 132" xfId="6599"/>
    <cellStyle name="40% - Акцент2 132 2" xfId="6600"/>
    <cellStyle name="40% - Акцент2 133" xfId="6601"/>
    <cellStyle name="40% - Акцент2 133 2" xfId="6602"/>
    <cellStyle name="40% - Акцент2 134" xfId="6603"/>
    <cellStyle name="40% - Акцент2 134 2" xfId="6604"/>
    <cellStyle name="40% - Акцент2 135" xfId="6605"/>
    <cellStyle name="40% - Акцент2 135 2" xfId="6606"/>
    <cellStyle name="40% - Акцент2 136" xfId="6607"/>
    <cellStyle name="40% - Акцент2 136 2" xfId="6608"/>
    <cellStyle name="40% - Акцент2 137" xfId="6609"/>
    <cellStyle name="40% - Акцент2 137 2" xfId="6610"/>
    <cellStyle name="40% - Акцент2 138" xfId="6611"/>
    <cellStyle name="40% - Акцент2 138 2" xfId="6612"/>
    <cellStyle name="40% - Акцент2 139" xfId="6613"/>
    <cellStyle name="40% - Акцент2 139 2" xfId="6614"/>
    <cellStyle name="40% - Акцент2 14" xfId="6615"/>
    <cellStyle name="40% - Акцент2 140" xfId="6616"/>
    <cellStyle name="40% - Акцент2 140 2" xfId="6617"/>
    <cellStyle name="40% - Акцент2 141" xfId="6618"/>
    <cellStyle name="40% - Акцент2 141 2" xfId="6619"/>
    <cellStyle name="40% - Акцент2 142" xfId="6620"/>
    <cellStyle name="40% - Акцент2 142 2" xfId="6621"/>
    <cellStyle name="40% - Акцент2 143" xfId="6622"/>
    <cellStyle name="40% - Акцент2 143 2" xfId="6623"/>
    <cellStyle name="40% - Акцент2 144" xfId="6624"/>
    <cellStyle name="40% - Акцент2 144 2" xfId="6625"/>
    <cellStyle name="40% - Акцент2 145" xfId="6626"/>
    <cellStyle name="40% - Акцент2 145 2" xfId="6627"/>
    <cellStyle name="40% - Акцент2 146" xfId="6628"/>
    <cellStyle name="40% - Акцент2 146 2" xfId="6629"/>
    <cellStyle name="40% - Акцент2 147" xfId="6630"/>
    <cellStyle name="40% - Акцент2 147 2" xfId="6631"/>
    <cellStyle name="40% - Акцент2 148" xfId="6632"/>
    <cellStyle name="40% - Акцент2 148 2" xfId="6633"/>
    <cellStyle name="40% - Акцент2 149" xfId="6634"/>
    <cellStyle name="40% - Акцент2 149 2" xfId="6635"/>
    <cellStyle name="40% - Акцент2 15" xfId="6636"/>
    <cellStyle name="40% - Акцент2 150" xfId="6637"/>
    <cellStyle name="40% - Акцент2 150 2" xfId="6638"/>
    <cellStyle name="40% - Акцент2 151" xfId="6639"/>
    <cellStyle name="40% - Акцент2 151 2" xfId="6640"/>
    <cellStyle name="40% - Акцент2 152" xfId="6641"/>
    <cellStyle name="40% - Акцент2 152 2" xfId="6642"/>
    <cellStyle name="40% - Акцент2 153" xfId="6643"/>
    <cellStyle name="40% - Акцент2 153 2" xfId="6644"/>
    <cellStyle name="40% - Акцент2 154" xfId="6645"/>
    <cellStyle name="40% - Акцент2 154 2" xfId="6646"/>
    <cellStyle name="40% - Акцент2 155" xfId="6647"/>
    <cellStyle name="40% - Акцент2 155 2" xfId="6648"/>
    <cellStyle name="40% - Акцент2 156" xfId="6649"/>
    <cellStyle name="40% - Акцент2 156 2" xfId="6650"/>
    <cellStyle name="40% - Акцент2 157" xfId="6651"/>
    <cellStyle name="40% - Акцент2 157 2" xfId="6652"/>
    <cellStyle name="40% - Акцент2 158" xfId="6653"/>
    <cellStyle name="40% - Акцент2 158 2" xfId="6654"/>
    <cellStyle name="40% - Акцент2 159" xfId="6655"/>
    <cellStyle name="40% - Акцент2 159 2" xfId="6656"/>
    <cellStyle name="40% - Акцент2 16" xfId="6657"/>
    <cellStyle name="40% - Акцент2 160" xfId="6658"/>
    <cellStyle name="40% - Акцент2 160 2" xfId="6659"/>
    <cellStyle name="40% - Акцент2 161" xfId="6660"/>
    <cellStyle name="40% - Акцент2 161 2" xfId="6661"/>
    <cellStyle name="40% - Акцент2 162" xfId="6662"/>
    <cellStyle name="40% - Акцент2 162 2" xfId="6663"/>
    <cellStyle name="40% - Акцент2 163" xfId="6664"/>
    <cellStyle name="40% - Акцент2 163 2" xfId="6665"/>
    <cellStyle name="40% - Акцент2 164" xfId="6666"/>
    <cellStyle name="40% - Акцент2 164 2" xfId="6667"/>
    <cellStyle name="40% - Акцент2 165" xfId="6668"/>
    <cellStyle name="40% - Акцент2 165 2" xfId="6669"/>
    <cellStyle name="40% - Акцент2 166" xfId="6670"/>
    <cellStyle name="40% - Акцент2 166 2" xfId="6671"/>
    <cellStyle name="40% - Акцент2 167" xfId="6672"/>
    <cellStyle name="40% - Акцент2 167 2" xfId="6673"/>
    <cellStyle name="40% - Акцент2 168" xfId="6674"/>
    <cellStyle name="40% - Акцент2 168 2" xfId="6675"/>
    <cellStyle name="40% - Акцент2 169" xfId="6676"/>
    <cellStyle name="40% - Акцент2 169 2" xfId="6677"/>
    <cellStyle name="40% - Акцент2 17" xfId="6678"/>
    <cellStyle name="40% - Акцент2 170" xfId="6679"/>
    <cellStyle name="40% - Акцент2 170 2" xfId="6680"/>
    <cellStyle name="40% - Акцент2 171" xfId="6681"/>
    <cellStyle name="40% - Акцент2 171 2" xfId="6682"/>
    <cellStyle name="40% - Акцент2 172" xfId="6683"/>
    <cellStyle name="40% - Акцент2 172 2" xfId="6684"/>
    <cellStyle name="40% - Акцент2 173" xfId="6685"/>
    <cellStyle name="40% - Акцент2 173 2" xfId="6686"/>
    <cellStyle name="40% - Акцент2 174" xfId="6687"/>
    <cellStyle name="40% - Акцент2 174 2" xfId="6688"/>
    <cellStyle name="40% - Акцент2 175" xfId="6689"/>
    <cellStyle name="40% - Акцент2 175 2" xfId="6690"/>
    <cellStyle name="40% - Акцент2 176" xfId="6691"/>
    <cellStyle name="40% - Акцент2 176 2" xfId="6692"/>
    <cellStyle name="40% - Акцент2 177" xfId="6693"/>
    <cellStyle name="40% - Акцент2 177 2" xfId="6694"/>
    <cellStyle name="40% - Акцент2 178" xfId="6695"/>
    <cellStyle name="40% - Акцент2 178 2" xfId="6696"/>
    <cellStyle name="40% - Акцент2 179" xfId="6697"/>
    <cellStyle name="40% - Акцент2 179 2" xfId="6698"/>
    <cellStyle name="40% - Акцент2 18" xfId="6699"/>
    <cellStyle name="40% - Акцент2 180" xfId="6700"/>
    <cellStyle name="40% - Акцент2 180 2" xfId="6701"/>
    <cellStyle name="40% - Акцент2 181" xfId="6702"/>
    <cellStyle name="40% - Акцент2 181 2" xfId="6703"/>
    <cellStyle name="40% - Акцент2 182" xfId="6704"/>
    <cellStyle name="40% - Акцент2 182 2" xfId="6705"/>
    <cellStyle name="40% - Акцент2 183" xfId="6706"/>
    <cellStyle name="40% - Акцент2 183 2" xfId="6707"/>
    <cellStyle name="40% - Акцент2 184" xfId="6708"/>
    <cellStyle name="40% - Акцент2 184 2" xfId="6709"/>
    <cellStyle name="40% - Акцент2 185" xfId="6710"/>
    <cellStyle name="40% - Акцент2 185 2" xfId="6711"/>
    <cellStyle name="40% - Акцент2 186" xfId="6712"/>
    <cellStyle name="40% - Акцент2 186 2" xfId="6713"/>
    <cellStyle name="40% - Акцент2 187" xfId="6714"/>
    <cellStyle name="40% - Акцент2 187 2" xfId="6715"/>
    <cellStyle name="40% - Акцент2 188" xfId="6716"/>
    <cellStyle name="40% - Акцент2 188 2" xfId="6717"/>
    <cellStyle name="40% - Акцент2 189" xfId="6718"/>
    <cellStyle name="40% - Акцент2 189 2" xfId="6719"/>
    <cellStyle name="40% - Акцент2 19" xfId="6720"/>
    <cellStyle name="40% - Акцент2 190" xfId="6721"/>
    <cellStyle name="40% - Акцент2 190 2" xfId="6722"/>
    <cellStyle name="40% - Акцент2 191" xfId="6723"/>
    <cellStyle name="40% - Акцент2 191 2" xfId="6724"/>
    <cellStyle name="40% - Акцент2 192" xfId="6725"/>
    <cellStyle name="40% - Акцент2 192 2" xfId="6726"/>
    <cellStyle name="40% - Акцент2 193" xfId="6727"/>
    <cellStyle name="40% - Акцент2 193 2" xfId="6728"/>
    <cellStyle name="40% - Акцент2 194" xfId="6729"/>
    <cellStyle name="40% - Акцент2 194 2" xfId="6730"/>
    <cellStyle name="40% - Акцент2 195" xfId="6731"/>
    <cellStyle name="40% - Акцент2 195 2" xfId="6732"/>
    <cellStyle name="40% - Акцент2 196" xfId="6733"/>
    <cellStyle name="40% - Акцент2 196 2" xfId="6734"/>
    <cellStyle name="40% - Акцент2 197" xfId="6735"/>
    <cellStyle name="40% - Акцент2 197 2" xfId="6736"/>
    <cellStyle name="40% - Акцент2 198" xfId="6737"/>
    <cellStyle name="40% - Акцент2 198 2" xfId="6738"/>
    <cellStyle name="40% - Акцент2 199" xfId="6739"/>
    <cellStyle name="40% - Акцент2 199 2" xfId="6740"/>
    <cellStyle name="40% - Акцент2 2" xfId="6741"/>
    <cellStyle name="40% - Акцент2 2 2" xfId="6742"/>
    <cellStyle name="40% - Акцент2 2 2 2" xfId="6743"/>
    <cellStyle name="40% - Акцент2 2 3" xfId="6744"/>
    <cellStyle name="40% - Акцент2 2 4" xfId="6745"/>
    <cellStyle name="40% - Акцент2 2 5" xfId="6746"/>
    <cellStyle name="40% - Акцент2 2 6" xfId="6747"/>
    <cellStyle name="40% - Акцент2 2 7" xfId="6748"/>
    <cellStyle name="40% - Акцент2 20" xfId="6749"/>
    <cellStyle name="40% - Акцент2 20 2" xfId="6750"/>
    <cellStyle name="40% - Акцент2 200" xfId="6751"/>
    <cellStyle name="40% - Акцент2 200 2" xfId="6752"/>
    <cellStyle name="40% - Акцент2 201" xfId="6753"/>
    <cellStyle name="40% - Акцент2 201 2" xfId="6754"/>
    <cellStyle name="40% - Акцент2 202" xfId="6755"/>
    <cellStyle name="40% - Акцент2 202 2" xfId="6756"/>
    <cellStyle name="40% - Акцент2 203" xfId="6757"/>
    <cellStyle name="40% - Акцент2 203 2" xfId="6758"/>
    <cellStyle name="40% - Акцент2 204" xfId="6759"/>
    <cellStyle name="40% - Акцент2 204 2" xfId="6760"/>
    <cellStyle name="40% - Акцент2 205" xfId="6761"/>
    <cellStyle name="40% - Акцент2 205 2" xfId="6762"/>
    <cellStyle name="40% - Акцент2 206" xfId="6763"/>
    <cellStyle name="40% - Акцент2 206 2" xfId="6764"/>
    <cellStyle name="40% - Акцент2 207" xfId="6765"/>
    <cellStyle name="40% - Акцент2 207 2" xfId="6766"/>
    <cellStyle name="40% - Акцент2 208" xfId="6767"/>
    <cellStyle name="40% - Акцент2 208 2" xfId="6768"/>
    <cellStyle name="40% - Акцент2 209" xfId="6769"/>
    <cellStyle name="40% - Акцент2 209 2" xfId="6770"/>
    <cellStyle name="40% - Акцент2 21" xfId="6771"/>
    <cellStyle name="40% - Акцент2 21 2" xfId="6772"/>
    <cellStyle name="40% - Акцент2 210" xfId="6773"/>
    <cellStyle name="40% - Акцент2 210 2" xfId="6774"/>
    <cellStyle name="40% - Акцент2 211" xfId="6775"/>
    <cellStyle name="40% - Акцент2 211 2" xfId="6776"/>
    <cellStyle name="40% - Акцент2 212" xfId="6777"/>
    <cellStyle name="40% - Акцент2 212 2" xfId="6778"/>
    <cellStyle name="40% - Акцент2 213" xfId="6779"/>
    <cellStyle name="40% - Акцент2 213 2" xfId="6780"/>
    <cellStyle name="40% - Акцент2 214" xfId="6781"/>
    <cellStyle name="40% - Акцент2 214 2" xfId="6782"/>
    <cellStyle name="40% - Акцент2 215" xfId="6783"/>
    <cellStyle name="40% - Акцент2 215 2" xfId="6784"/>
    <cellStyle name="40% - Акцент2 216" xfId="6785"/>
    <cellStyle name="40% - Акцент2 216 2" xfId="6786"/>
    <cellStyle name="40% - Акцент2 217" xfId="6787"/>
    <cellStyle name="40% - Акцент2 217 2" xfId="6788"/>
    <cellStyle name="40% - Акцент2 217 3" xfId="6789"/>
    <cellStyle name="40% - Акцент2 218" xfId="6790"/>
    <cellStyle name="40% - Акцент2 219" xfId="6791"/>
    <cellStyle name="40% - Акцент2 22" xfId="6792"/>
    <cellStyle name="40% - Акцент2 22 2" xfId="6793"/>
    <cellStyle name="40% - Акцент2 220" xfId="6794"/>
    <cellStyle name="40% - Акцент2 221" xfId="6795"/>
    <cellStyle name="40% - Акцент2 222" xfId="6796"/>
    <cellStyle name="40% - Акцент2 223" xfId="6797"/>
    <cellStyle name="40% - Акцент2 224" xfId="6798"/>
    <cellStyle name="40% - Акцент2 225" xfId="6799"/>
    <cellStyle name="40% - Акцент2 226" xfId="6800"/>
    <cellStyle name="40% - Акцент2 227" xfId="6801"/>
    <cellStyle name="40% - Акцент2 228" xfId="6802"/>
    <cellStyle name="40% - Акцент2 229" xfId="6803"/>
    <cellStyle name="40% - Акцент2 23" xfId="6804"/>
    <cellStyle name="40% - Акцент2 23 2" xfId="6805"/>
    <cellStyle name="40% - Акцент2 230" xfId="6806"/>
    <cellStyle name="40% - Акцент2 231" xfId="6807"/>
    <cellStyle name="40% - Акцент2 232" xfId="6808"/>
    <cellStyle name="40% - Акцент2 233" xfId="6809"/>
    <cellStyle name="40% - Акцент2 234" xfId="6810"/>
    <cellStyle name="40% - Акцент2 235" xfId="6811"/>
    <cellStyle name="40% - Акцент2 236" xfId="6812"/>
    <cellStyle name="40% - Акцент2 237" xfId="6813"/>
    <cellStyle name="40% - Акцент2 238" xfId="6814"/>
    <cellStyle name="40% - Акцент2 239" xfId="6815"/>
    <cellStyle name="40% - Акцент2 24" xfId="6816"/>
    <cellStyle name="40% - Акцент2 24 2" xfId="6817"/>
    <cellStyle name="40% - Акцент2 240" xfId="6818"/>
    <cellStyle name="40% - Акцент2 241" xfId="6819"/>
    <cellStyle name="40% - Акцент2 242" xfId="6820"/>
    <cellStyle name="40% - Акцент2 243" xfId="6821"/>
    <cellStyle name="40% - Акцент2 244" xfId="6822"/>
    <cellStyle name="40% - Акцент2 245" xfId="6823"/>
    <cellStyle name="40% - Акцент2 246" xfId="6824"/>
    <cellStyle name="40% - Акцент2 247" xfId="6825"/>
    <cellStyle name="40% - Акцент2 248" xfId="6826"/>
    <cellStyle name="40% - Акцент2 249" xfId="6827"/>
    <cellStyle name="40% - Акцент2 25" xfId="6828"/>
    <cellStyle name="40% - Акцент2 25 2" xfId="6829"/>
    <cellStyle name="40% - Акцент2 250" xfId="6830"/>
    <cellStyle name="40% - Акцент2 251" xfId="6831"/>
    <cellStyle name="40% - Акцент2 252" xfId="6832"/>
    <cellStyle name="40% - Акцент2 253" xfId="6833"/>
    <cellStyle name="40% - Акцент2 254" xfId="6834"/>
    <cellStyle name="40% - Акцент2 255" xfId="6835"/>
    <cellStyle name="40% - Акцент2 26" xfId="6836"/>
    <cellStyle name="40% - Акцент2 26 2" xfId="6837"/>
    <cellStyle name="40% - Акцент2 27" xfId="6838"/>
    <cellStyle name="40% - Акцент2 27 2" xfId="6839"/>
    <cellStyle name="40% - Акцент2 28" xfId="6840"/>
    <cellStyle name="40% - Акцент2 28 2" xfId="6841"/>
    <cellStyle name="40% - Акцент2 29" xfId="6842"/>
    <cellStyle name="40% - Акцент2 29 2" xfId="6843"/>
    <cellStyle name="40% - Акцент2 3" xfId="6844"/>
    <cellStyle name="40% - Акцент2 30" xfId="6845"/>
    <cellStyle name="40% - Акцент2 30 2" xfId="6846"/>
    <cellStyle name="40% - Акцент2 31" xfId="6847"/>
    <cellStyle name="40% - Акцент2 31 2" xfId="6848"/>
    <cellStyle name="40% - Акцент2 32" xfId="6849"/>
    <cellStyle name="40% - Акцент2 32 2" xfId="6850"/>
    <cellStyle name="40% - Акцент2 33" xfId="6851"/>
    <cellStyle name="40% - Акцент2 33 2" xfId="6852"/>
    <cellStyle name="40% - Акцент2 34" xfId="6853"/>
    <cellStyle name="40% - Акцент2 34 2" xfId="6854"/>
    <cellStyle name="40% - Акцент2 35" xfId="6855"/>
    <cellStyle name="40% - Акцент2 35 2" xfId="6856"/>
    <cellStyle name="40% - Акцент2 36" xfId="6857"/>
    <cellStyle name="40% - Акцент2 36 2" xfId="6858"/>
    <cellStyle name="40% - Акцент2 37" xfId="6859"/>
    <cellStyle name="40% - Акцент2 37 2" xfId="6860"/>
    <cellStyle name="40% - Акцент2 38" xfId="6861"/>
    <cellStyle name="40% - Акцент2 38 2" xfId="6862"/>
    <cellStyle name="40% - Акцент2 39" xfId="6863"/>
    <cellStyle name="40% - Акцент2 39 2" xfId="6864"/>
    <cellStyle name="40% - Акцент2 4" xfId="6865"/>
    <cellStyle name="40% - Акцент2 40" xfId="6866"/>
    <cellStyle name="40% - Акцент2 40 2" xfId="6867"/>
    <cellStyle name="40% - Акцент2 41" xfId="6868"/>
    <cellStyle name="40% - Акцент2 41 2" xfId="6869"/>
    <cellStyle name="40% - Акцент2 42" xfId="6870"/>
    <cellStyle name="40% - Акцент2 42 2" xfId="6871"/>
    <cellStyle name="40% - Акцент2 43" xfId="6872"/>
    <cellStyle name="40% - Акцент2 43 2" xfId="6873"/>
    <cellStyle name="40% - Акцент2 44" xfId="6874"/>
    <cellStyle name="40% - Акцент2 44 2" xfId="6875"/>
    <cellStyle name="40% - Акцент2 45" xfId="6876"/>
    <cellStyle name="40% - Акцент2 45 2" xfId="6877"/>
    <cellStyle name="40% - Акцент2 46" xfId="6878"/>
    <cellStyle name="40% - Акцент2 46 2" xfId="6879"/>
    <cellStyle name="40% - Акцент2 47" xfId="6880"/>
    <cellStyle name="40% - Акцент2 47 2" xfId="6881"/>
    <cellStyle name="40% - Акцент2 48" xfId="6882"/>
    <cellStyle name="40% - Акцент2 48 2" xfId="6883"/>
    <cellStyle name="40% - Акцент2 49" xfId="6884"/>
    <cellStyle name="40% - Акцент2 49 2" xfId="6885"/>
    <cellStyle name="40% - Акцент2 5" xfId="6886"/>
    <cellStyle name="40% - Акцент2 50" xfId="6887"/>
    <cellStyle name="40% - Акцент2 50 2" xfId="6888"/>
    <cellStyle name="40% - Акцент2 51" xfId="6889"/>
    <cellStyle name="40% - Акцент2 51 2" xfId="6890"/>
    <cellStyle name="40% - Акцент2 52" xfId="6891"/>
    <cellStyle name="40% - Акцент2 52 2" xfId="6892"/>
    <cellStyle name="40% - Акцент2 53" xfId="6893"/>
    <cellStyle name="40% - Акцент2 53 2" xfId="6894"/>
    <cellStyle name="40% - Акцент2 54" xfId="6895"/>
    <cellStyle name="40% - Акцент2 54 2" xfId="6896"/>
    <cellStyle name="40% - Акцент2 55" xfId="6897"/>
    <cellStyle name="40% - Акцент2 55 2" xfId="6898"/>
    <cellStyle name="40% - Акцент2 56" xfId="6899"/>
    <cellStyle name="40% - Акцент2 56 2" xfId="6900"/>
    <cellStyle name="40% - Акцент2 57" xfId="6901"/>
    <cellStyle name="40% - Акцент2 57 2" xfId="6902"/>
    <cellStyle name="40% - Акцент2 58" xfId="6903"/>
    <cellStyle name="40% - Акцент2 58 2" xfId="6904"/>
    <cellStyle name="40% - Акцент2 59" xfId="6905"/>
    <cellStyle name="40% - Акцент2 59 2" xfId="6906"/>
    <cellStyle name="40% - Акцент2 6" xfId="6907"/>
    <cellStyle name="40% - Акцент2 60" xfId="6908"/>
    <cellStyle name="40% - Акцент2 60 2" xfId="6909"/>
    <cellStyle name="40% - Акцент2 61" xfId="6910"/>
    <cellStyle name="40% - Акцент2 61 2" xfId="6911"/>
    <cellStyle name="40% - Акцент2 62" xfId="6912"/>
    <cellStyle name="40% - Акцент2 62 2" xfId="6913"/>
    <cellStyle name="40% - Акцент2 63" xfId="6914"/>
    <cellStyle name="40% - Акцент2 63 2" xfId="6915"/>
    <cellStyle name="40% - Акцент2 64" xfId="6916"/>
    <cellStyle name="40% - Акцент2 64 2" xfId="6917"/>
    <cellStyle name="40% - Акцент2 65" xfId="6918"/>
    <cellStyle name="40% - Акцент2 65 2" xfId="6919"/>
    <cellStyle name="40% - Акцент2 66" xfId="6920"/>
    <cellStyle name="40% - Акцент2 66 2" xfId="6921"/>
    <cellStyle name="40% - Акцент2 67" xfId="6922"/>
    <cellStyle name="40% - Акцент2 67 2" xfId="6923"/>
    <cellStyle name="40% - Акцент2 68" xfId="6924"/>
    <cellStyle name="40% - Акцент2 68 2" xfId="6925"/>
    <cellStyle name="40% - Акцент2 69" xfId="6926"/>
    <cellStyle name="40% - Акцент2 69 2" xfId="6927"/>
    <cellStyle name="40% - Акцент2 7" xfId="6928"/>
    <cellStyle name="40% - Акцент2 70" xfId="6929"/>
    <cellStyle name="40% - Акцент2 70 2" xfId="6930"/>
    <cellStyle name="40% - Акцент2 71" xfId="6931"/>
    <cellStyle name="40% - Акцент2 71 2" xfId="6932"/>
    <cellStyle name="40% - Акцент2 72" xfId="6933"/>
    <cellStyle name="40% - Акцент2 72 2" xfId="6934"/>
    <cellStyle name="40% - Акцент2 73" xfId="6935"/>
    <cellStyle name="40% - Акцент2 73 2" xfId="6936"/>
    <cellStyle name="40% - Акцент2 74" xfId="6937"/>
    <cellStyle name="40% - Акцент2 74 2" xfId="6938"/>
    <cellStyle name="40% - Акцент2 75" xfId="6939"/>
    <cellStyle name="40% - Акцент2 75 2" xfId="6940"/>
    <cellStyle name="40% - Акцент2 76" xfId="6941"/>
    <cellStyle name="40% - Акцент2 76 2" xfId="6942"/>
    <cellStyle name="40% - Акцент2 77" xfId="6943"/>
    <cellStyle name="40% - Акцент2 77 2" xfId="6944"/>
    <cellStyle name="40% - Акцент2 78" xfId="6945"/>
    <cellStyle name="40% - Акцент2 78 2" xfId="6946"/>
    <cellStyle name="40% - Акцент2 79" xfId="6947"/>
    <cellStyle name="40% - Акцент2 79 2" xfId="6948"/>
    <cellStyle name="40% - Акцент2 8" xfId="6949"/>
    <cellStyle name="40% - Акцент2 80" xfId="6950"/>
    <cellStyle name="40% - Акцент2 80 2" xfId="6951"/>
    <cellStyle name="40% - Акцент2 81" xfId="6952"/>
    <cellStyle name="40% - Акцент2 81 2" xfId="6953"/>
    <cellStyle name="40% - Акцент2 82" xfId="6954"/>
    <cellStyle name="40% - Акцент2 82 2" xfId="6955"/>
    <cellStyle name="40% - Акцент2 83" xfId="6956"/>
    <cellStyle name="40% - Акцент2 83 2" xfId="6957"/>
    <cellStyle name="40% - Акцент2 84" xfId="6958"/>
    <cellStyle name="40% - Акцент2 84 2" xfId="6959"/>
    <cellStyle name="40% - Акцент2 85" xfId="6960"/>
    <cellStyle name="40% - Акцент2 85 2" xfId="6961"/>
    <cellStyle name="40% - Акцент2 86" xfId="6962"/>
    <cellStyle name="40% - Акцент2 86 2" xfId="6963"/>
    <cellStyle name="40% - Акцент2 87" xfId="6964"/>
    <cellStyle name="40% - Акцент2 87 2" xfId="6965"/>
    <cellStyle name="40% - Акцент2 88" xfId="6966"/>
    <cellStyle name="40% - Акцент2 88 2" xfId="6967"/>
    <cellStyle name="40% - Акцент2 89" xfId="6968"/>
    <cellStyle name="40% - Акцент2 89 2" xfId="6969"/>
    <cellStyle name="40% - Акцент2 9" xfId="6970"/>
    <cellStyle name="40% - Акцент2 90" xfId="6971"/>
    <cellStyle name="40% - Акцент2 90 2" xfId="6972"/>
    <cellStyle name="40% - Акцент2 91" xfId="6973"/>
    <cellStyle name="40% - Акцент2 91 2" xfId="6974"/>
    <cellStyle name="40% - Акцент2 92" xfId="6975"/>
    <cellStyle name="40% - Акцент2 92 2" xfId="6976"/>
    <cellStyle name="40% - Акцент2 93" xfId="6977"/>
    <cellStyle name="40% - Акцент2 93 2" xfId="6978"/>
    <cellStyle name="40% - Акцент2 94" xfId="6979"/>
    <cellStyle name="40% - Акцент2 94 2" xfId="6980"/>
    <cellStyle name="40% - Акцент2 95" xfId="6981"/>
    <cellStyle name="40% - Акцент2 95 2" xfId="6982"/>
    <cellStyle name="40% - Акцент2 96" xfId="6983"/>
    <cellStyle name="40% - Акцент2 96 2" xfId="6984"/>
    <cellStyle name="40% - Акцент2 97" xfId="6985"/>
    <cellStyle name="40% - Акцент2 97 2" xfId="6986"/>
    <cellStyle name="40% - Акцент2 98" xfId="6987"/>
    <cellStyle name="40% - Акцент2 98 2" xfId="6988"/>
    <cellStyle name="40% - Акцент2 99" xfId="6989"/>
    <cellStyle name="40% - Акцент2 99 2" xfId="6990"/>
    <cellStyle name="40% - Акцент3 10" xfId="6991"/>
    <cellStyle name="40% - Акцент3 100" xfId="6992"/>
    <cellStyle name="40% - Акцент3 100 2" xfId="6993"/>
    <cellStyle name="40% - Акцент3 101" xfId="6994"/>
    <cellStyle name="40% - Акцент3 101 2" xfId="6995"/>
    <cellStyle name="40% - Акцент3 102" xfId="6996"/>
    <cellStyle name="40% - Акцент3 102 2" xfId="6997"/>
    <cellStyle name="40% - Акцент3 103" xfId="6998"/>
    <cellStyle name="40% - Акцент3 103 2" xfId="6999"/>
    <cellStyle name="40% - Акцент3 104" xfId="7000"/>
    <cellStyle name="40% - Акцент3 104 2" xfId="7001"/>
    <cellStyle name="40% - Акцент3 105" xfId="7002"/>
    <cellStyle name="40% - Акцент3 105 2" xfId="7003"/>
    <cellStyle name="40% - Акцент3 106" xfId="7004"/>
    <cellStyle name="40% - Акцент3 106 2" xfId="7005"/>
    <cellStyle name="40% - Акцент3 107" xfId="7006"/>
    <cellStyle name="40% - Акцент3 107 2" xfId="7007"/>
    <cellStyle name="40% - Акцент3 108" xfId="7008"/>
    <cellStyle name="40% - Акцент3 108 2" xfId="7009"/>
    <cellStyle name="40% - Акцент3 109" xfId="7010"/>
    <cellStyle name="40% - Акцент3 109 2" xfId="7011"/>
    <cellStyle name="40% - Акцент3 11" xfId="7012"/>
    <cellStyle name="40% - Акцент3 110" xfId="7013"/>
    <cellStyle name="40% - Акцент3 110 2" xfId="7014"/>
    <cellStyle name="40% - Акцент3 111" xfId="7015"/>
    <cellStyle name="40% - Акцент3 111 2" xfId="7016"/>
    <cellStyle name="40% - Акцент3 112" xfId="7017"/>
    <cellStyle name="40% - Акцент3 112 2" xfId="7018"/>
    <cellStyle name="40% - Акцент3 113" xfId="7019"/>
    <cellStyle name="40% - Акцент3 113 2" xfId="7020"/>
    <cellStyle name="40% - Акцент3 114" xfId="7021"/>
    <cellStyle name="40% - Акцент3 114 2" xfId="7022"/>
    <cellStyle name="40% - Акцент3 115" xfId="7023"/>
    <cellStyle name="40% - Акцент3 115 2" xfId="7024"/>
    <cellStyle name="40% - Акцент3 116" xfId="7025"/>
    <cellStyle name="40% - Акцент3 116 2" xfId="7026"/>
    <cellStyle name="40% - Акцент3 117" xfId="7027"/>
    <cellStyle name="40% - Акцент3 117 2" xfId="7028"/>
    <cellStyle name="40% - Акцент3 118" xfId="7029"/>
    <cellStyle name="40% - Акцент3 118 2" xfId="7030"/>
    <cellStyle name="40% - Акцент3 119" xfId="7031"/>
    <cellStyle name="40% - Акцент3 119 2" xfId="7032"/>
    <cellStyle name="40% - Акцент3 12" xfId="7033"/>
    <cellStyle name="40% - Акцент3 120" xfId="7034"/>
    <cellStyle name="40% - Акцент3 120 2" xfId="7035"/>
    <cellStyle name="40% - Акцент3 121" xfId="7036"/>
    <cellStyle name="40% - Акцент3 121 2" xfId="7037"/>
    <cellStyle name="40% - Акцент3 122" xfId="7038"/>
    <cellStyle name="40% - Акцент3 122 2" xfId="7039"/>
    <cellStyle name="40% - Акцент3 123" xfId="7040"/>
    <cellStyle name="40% - Акцент3 123 2" xfId="7041"/>
    <cellStyle name="40% - Акцент3 124" xfId="7042"/>
    <cellStyle name="40% - Акцент3 124 2" xfId="7043"/>
    <cellStyle name="40% - Акцент3 125" xfId="7044"/>
    <cellStyle name="40% - Акцент3 125 2" xfId="7045"/>
    <cellStyle name="40% - Акцент3 126" xfId="7046"/>
    <cellStyle name="40% - Акцент3 126 2" xfId="7047"/>
    <cellStyle name="40% - Акцент3 127" xfId="7048"/>
    <cellStyle name="40% - Акцент3 127 2" xfId="7049"/>
    <cellStyle name="40% - Акцент3 128" xfId="7050"/>
    <cellStyle name="40% - Акцент3 128 2" xfId="7051"/>
    <cellStyle name="40% - Акцент3 129" xfId="7052"/>
    <cellStyle name="40% - Акцент3 129 2" xfId="7053"/>
    <cellStyle name="40% - Акцент3 13" xfId="7054"/>
    <cellStyle name="40% - Акцент3 130" xfId="7055"/>
    <cellStyle name="40% - Акцент3 130 2" xfId="7056"/>
    <cellStyle name="40% - Акцент3 131" xfId="7057"/>
    <cellStyle name="40% - Акцент3 131 2" xfId="7058"/>
    <cellStyle name="40% - Акцент3 132" xfId="7059"/>
    <cellStyle name="40% - Акцент3 132 2" xfId="7060"/>
    <cellStyle name="40% - Акцент3 133" xfId="7061"/>
    <cellStyle name="40% - Акцент3 133 2" xfId="7062"/>
    <cellStyle name="40% - Акцент3 134" xfId="7063"/>
    <cellStyle name="40% - Акцент3 134 2" xfId="7064"/>
    <cellStyle name="40% - Акцент3 135" xfId="7065"/>
    <cellStyle name="40% - Акцент3 135 2" xfId="7066"/>
    <cellStyle name="40% - Акцент3 136" xfId="7067"/>
    <cellStyle name="40% - Акцент3 136 2" xfId="7068"/>
    <cellStyle name="40% - Акцент3 137" xfId="7069"/>
    <cellStyle name="40% - Акцент3 137 2" xfId="7070"/>
    <cellStyle name="40% - Акцент3 138" xfId="7071"/>
    <cellStyle name="40% - Акцент3 138 2" xfId="7072"/>
    <cellStyle name="40% - Акцент3 139" xfId="7073"/>
    <cellStyle name="40% - Акцент3 139 2" xfId="7074"/>
    <cellStyle name="40% - Акцент3 14" xfId="7075"/>
    <cellStyle name="40% - Акцент3 140" xfId="7076"/>
    <cellStyle name="40% - Акцент3 140 2" xfId="7077"/>
    <cellStyle name="40% - Акцент3 141" xfId="7078"/>
    <cellStyle name="40% - Акцент3 141 2" xfId="7079"/>
    <cellStyle name="40% - Акцент3 142" xfId="7080"/>
    <cellStyle name="40% - Акцент3 142 2" xfId="7081"/>
    <cellStyle name="40% - Акцент3 143" xfId="7082"/>
    <cellStyle name="40% - Акцент3 143 2" xfId="7083"/>
    <cellStyle name="40% - Акцент3 144" xfId="7084"/>
    <cellStyle name="40% - Акцент3 144 2" xfId="7085"/>
    <cellStyle name="40% - Акцент3 145" xfId="7086"/>
    <cellStyle name="40% - Акцент3 145 2" xfId="7087"/>
    <cellStyle name="40% - Акцент3 146" xfId="7088"/>
    <cellStyle name="40% - Акцент3 146 2" xfId="7089"/>
    <cellStyle name="40% - Акцент3 147" xfId="7090"/>
    <cellStyle name="40% - Акцент3 147 2" xfId="7091"/>
    <cellStyle name="40% - Акцент3 148" xfId="7092"/>
    <cellStyle name="40% - Акцент3 148 2" xfId="7093"/>
    <cellStyle name="40% - Акцент3 149" xfId="7094"/>
    <cellStyle name="40% - Акцент3 149 2" xfId="7095"/>
    <cellStyle name="40% - Акцент3 15" xfId="7096"/>
    <cellStyle name="40% - Акцент3 150" xfId="7097"/>
    <cellStyle name="40% - Акцент3 150 2" xfId="7098"/>
    <cellStyle name="40% - Акцент3 151" xfId="7099"/>
    <cellStyle name="40% - Акцент3 151 2" xfId="7100"/>
    <cellStyle name="40% - Акцент3 152" xfId="7101"/>
    <cellStyle name="40% - Акцент3 152 2" xfId="7102"/>
    <cellStyle name="40% - Акцент3 153" xfId="7103"/>
    <cellStyle name="40% - Акцент3 153 2" xfId="7104"/>
    <cellStyle name="40% - Акцент3 154" xfId="7105"/>
    <cellStyle name="40% - Акцент3 154 2" xfId="7106"/>
    <cellStyle name="40% - Акцент3 155" xfId="7107"/>
    <cellStyle name="40% - Акцент3 155 2" xfId="7108"/>
    <cellStyle name="40% - Акцент3 156" xfId="7109"/>
    <cellStyle name="40% - Акцент3 156 2" xfId="7110"/>
    <cellStyle name="40% - Акцент3 157" xfId="7111"/>
    <cellStyle name="40% - Акцент3 157 2" xfId="7112"/>
    <cellStyle name="40% - Акцент3 158" xfId="7113"/>
    <cellStyle name="40% - Акцент3 158 2" xfId="7114"/>
    <cellStyle name="40% - Акцент3 159" xfId="7115"/>
    <cellStyle name="40% - Акцент3 159 2" xfId="7116"/>
    <cellStyle name="40% - Акцент3 16" xfId="7117"/>
    <cellStyle name="40% - Акцент3 160" xfId="7118"/>
    <cellStyle name="40% - Акцент3 160 2" xfId="7119"/>
    <cellStyle name="40% - Акцент3 161" xfId="7120"/>
    <cellStyle name="40% - Акцент3 161 2" xfId="7121"/>
    <cellStyle name="40% - Акцент3 162" xfId="7122"/>
    <cellStyle name="40% - Акцент3 162 2" xfId="7123"/>
    <cellStyle name="40% - Акцент3 163" xfId="7124"/>
    <cellStyle name="40% - Акцент3 163 2" xfId="7125"/>
    <cellStyle name="40% - Акцент3 164" xfId="7126"/>
    <cellStyle name="40% - Акцент3 164 2" xfId="7127"/>
    <cellStyle name="40% - Акцент3 165" xfId="7128"/>
    <cellStyle name="40% - Акцент3 165 2" xfId="7129"/>
    <cellStyle name="40% - Акцент3 166" xfId="7130"/>
    <cellStyle name="40% - Акцент3 166 2" xfId="7131"/>
    <cellStyle name="40% - Акцент3 167" xfId="7132"/>
    <cellStyle name="40% - Акцент3 167 2" xfId="7133"/>
    <cellStyle name="40% - Акцент3 168" xfId="7134"/>
    <cellStyle name="40% - Акцент3 168 2" xfId="7135"/>
    <cellStyle name="40% - Акцент3 169" xfId="7136"/>
    <cellStyle name="40% - Акцент3 169 2" xfId="7137"/>
    <cellStyle name="40% - Акцент3 17" xfId="7138"/>
    <cellStyle name="40% - Акцент3 170" xfId="7139"/>
    <cellStyle name="40% - Акцент3 170 2" xfId="7140"/>
    <cellStyle name="40% - Акцент3 171" xfId="7141"/>
    <cellStyle name="40% - Акцент3 171 2" xfId="7142"/>
    <cellStyle name="40% - Акцент3 172" xfId="7143"/>
    <cellStyle name="40% - Акцент3 172 2" xfId="7144"/>
    <cellStyle name="40% - Акцент3 173" xfId="7145"/>
    <cellStyle name="40% - Акцент3 173 2" xfId="7146"/>
    <cellStyle name="40% - Акцент3 174" xfId="7147"/>
    <cellStyle name="40% - Акцент3 174 2" xfId="7148"/>
    <cellStyle name="40% - Акцент3 175" xfId="7149"/>
    <cellStyle name="40% - Акцент3 175 2" xfId="7150"/>
    <cellStyle name="40% - Акцент3 176" xfId="7151"/>
    <cellStyle name="40% - Акцент3 176 2" xfId="7152"/>
    <cellStyle name="40% - Акцент3 177" xfId="7153"/>
    <cellStyle name="40% - Акцент3 177 2" xfId="7154"/>
    <cellStyle name="40% - Акцент3 178" xfId="7155"/>
    <cellStyle name="40% - Акцент3 178 2" xfId="7156"/>
    <cellStyle name="40% - Акцент3 179" xfId="7157"/>
    <cellStyle name="40% - Акцент3 179 2" xfId="7158"/>
    <cellStyle name="40% - Акцент3 18" xfId="7159"/>
    <cellStyle name="40% - Акцент3 180" xfId="7160"/>
    <cellStyle name="40% - Акцент3 180 2" xfId="7161"/>
    <cellStyle name="40% - Акцент3 181" xfId="7162"/>
    <cellStyle name="40% - Акцент3 181 2" xfId="7163"/>
    <cellStyle name="40% - Акцент3 182" xfId="7164"/>
    <cellStyle name="40% - Акцент3 182 2" xfId="7165"/>
    <cellStyle name="40% - Акцент3 183" xfId="7166"/>
    <cellStyle name="40% - Акцент3 183 2" xfId="7167"/>
    <cellStyle name="40% - Акцент3 184" xfId="7168"/>
    <cellStyle name="40% - Акцент3 184 2" xfId="7169"/>
    <cellStyle name="40% - Акцент3 185" xfId="7170"/>
    <cellStyle name="40% - Акцент3 185 2" xfId="7171"/>
    <cellStyle name="40% - Акцент3 186" xfId="7172"/>
    <cellStyle name="40% - Акцент3 186 2" xfId="7173"/>
    <cellStyle name="40% - Акцент3 187" xfId="7174"/>
    <cellStyle name="40% - Акцент3 187 2" xfId="7175"/>
    <cellStyle name="40% - Акцент3 188" xfId="7176"/>
    <cellStyle name="40% - Акцент3 188 2" xfId="7177"/>
    <cellStyle name="40% - Акцент3 189" xfId="7178"/>
    <cellStyle name="40% - Акцент3 189 2" xfId="7179"/>
    <cellStyle name="40% - Акцент3 19" xfId="7180"/>
    <cellStyle name="40% - Акцент3 190" xfId="7181"/>
    <cellStyle name="40% - Акцент3 190 2" xfId="7182"/>
    <cellStyle name="40% - Акцент3 191" xfId="7183"/>
    <cellStyle name="40% - Акцент3 191 2" xfId="7184"/>
    <cellStyle name="40% - Акцент3 192" xfId="7185"/>
    <cellStyle name="40% - Акцент3 192 2" xfId="7186"/>
    <cellStyle name="40% - Акцент3 193" xfId="7187"/>
    <cellStyle name="40% - Акцент3 193 2" xfId="7188"/>
    <cellStyle name="40% - Акцент3 194" xfId="7189"/>
    <cellStyle name="40% - Акцент3 194 2" xfId="7190"/>
    <cellStyle name="40% - Акцент3 195" xfId="7191"/>
    <cellStyle name="40% - Акцент3 195 2" xfId="7192"/>
    <cellStyle name="40% - Акцент3 196" xfId="7193"/>
    <cellStyle name="40% - Акцент3 196 2" xfId="7194"/>
    <cellStyle name="40% - Акцент3 197" xfId="7195"/>
    <cellStyle name="40% - Акцент3 197 2" xfId="7196"/>
    <cellStyle name="40% - Акцент3 198" xfId="7197"/>
    <cellStyle name="40% - Акцент3 198 2" xfId="7198"/>
    <cellStyle name="40% - Акцент3 199" xfId="7199"/>
    <cellStyle name="40% - Акцент3 199 2" xfId="7200"/>
    <cellStyle name="40% - Акцент3 2" xfId="7201"/>
    <cellStyle name="40% - Акцент3 2 2" xfId="7202"/>
    <cellStyle name="40% - Акцент3 2 2 2" xfId="7203"/>
    <cellStyle name="40% - Акцент3 2 3" xfId="7204"/>
    <cellStyle name="40% - Акцент3 2 4" xfId="7205"/>
    <cellStyle name="40% - Акцент3 2 5" xfId="7206"/>
    <cellStyle name="40% - Акцент3 2 6" xfId="7207"/>
    <cellStyle name="40% - Акцент3 2 7" xfId="7208"/>
    <cellStyle name="40% - Акцент3 20" xfId="7209"/>
    <cellStyle name="40% - Акцент3 20 2" xfId="7210"/>
    <cellStyle name="40% - Акцент3 200" xfId="7211"/>
    <cellStyle name="40% - Акцент3 200 2" xfId="7212"/>
    <cellStyle name="40% - Акцент3 201" xfId="7213"/>
    <cellStyle name="40% - Акцент3 201 2" xfId="7214"/>
    <cellStyle name="40% - Акцент3 202" xfId="7215"/>
    <cellStyle name="40% - Акцент3 202 2" xfId="7216"/>
    <cellStyle name="40% - Акцент3 203" xfId="7217"/>
    <cellStyle name="40% - Акцент3 203 2" xfId="7218"/>
    <cellStyle name="40% - Акцент3 204" xfId="7219"/>
    <cellStyle name="40% - Акцент3 204 2" xfId="7220"/>
    <cellStyle name="40% - Акцент3 205" xfId="7221"/>
    <cellStyle name="40% - Акцент3 205 2" xfId="7222"/>
    <cellStyle name="40% - Акцент3 206" xfId="7223"/>
    <cellStyle name="40% - Акцент3 206 2" xfId="7224"/>
    <cellStyle name="40% - Акцент3 207" xfId="7225"/>
    <cellStyle name="40% - Акцент3 207 2" xfId="7226"/>
    <cellStyle name="40% - Акцент3 208" xfId="7227"/>
    <cellStyle name="40% - Акцент3 208 2" xfId="7228"/>
    <cellStyle name="40% - Акцент3 209" xfId="7229"/>
    <cellStyle name="40% - Акцент3 209 2" xfId="7230"/>
    <cellStyle name="40% - Акцент3 21" xfId="7231"/>
    <cellStyle name="40% - Акцент3 21 2" xfId="7232"/>
    <cellStyle name="40% - Акцент3 210" xfId="7233"/>
    <cellStyle name="40% - Акцент3 210 2" xfId="7234"/>
    <cellStyle name="40% - Акцент3 211" xfId="7235"/>
    <cellStyle name="40% - Акцент3 211 2" xfId="7236"/>
    <cellStyle name="40% - Акцент3 212" xfId="7237"/>
    <cellStyle name="40% - Акцент3 212 2" xfId="7238"/>
    <cellStyle name="40% - Акцент3 213" xfId="7239"/>
    <cellStyle name="40% - Акцент3 213 2" xfId="7240"/>
    <cellStyle name="40% - Акцент3 214" xfId="7241"/>
    <cellStyle name="40% - Акцент3 214 2" xfId="7242"/>
    <cellStyle name="40% - Акцент3 215" xfId="7243"/>
    <cellStyle name="40% - Акцент3 215 2" xfId="7244"/>
    <cellStyle name="40% - Акцент3 216" xfId="7245"/>
    <cellStyle name="40% - Акцент3 216 2" xfId="7246"/>
    <cellStyle name="40% - Акцент3 217" xfId="7247"/>
    <cellStyle name="40% - Акцент3 217 2" xfId="7248"/>
    <cellStyle name="40% - Акцент3 217 3" xfId="7249"/>
    <cellStyle name="40% - Акцент3 218" xfId="7250"/>
    <cellStyle name="40% - Акцент3 219" xfId="7251"/>
    <cellStyle name="40% - Акцент3 22" xfId="7252"/>
    <cellStyle name="40% - Акцент3 22 2" xfId="7253"/>
    <cellStyle name="40% - Акцент3 220" xfId="7254"/>
    <cellStyle name="40% - Акцент3 221" xfId="7255"/>
    <cellStyle name="40% - Акцент3 222" xfId="7256"/>
    <cellStyle name="40% - Акцент3 223" xfId="7257"/>
    <cellStyle name="40% - Акцент3 224" xfId="7258"/>
    <cellStyle name="40% - Акцент3 225" xfId="7259"/>
    <cellStyle name="40% - Акцент3 226" xfId="7260"/>
    <cellStyle name="40% - Акцент3 227" xfId="7261"/>
    <cellStyle name="40% - Акцент3 228" xfId="7262"/>
    <cellStyle name="40% - Акцент3 229" xfId="7263"/>
    <cellStyle name="40% - Акцент3 23" xfId="7264"/>
    <cellStyle name="40% - Акцент3 23 2" xfId="7265"/>
    <cellStyle name="40% - Акцент3 230" xfId="7266"/>
    <cellStyle name="40% - Акцент3 231" xfId="7267"/>
    <cellStyle name="40% - Акцент3 232" xfId="7268"/>
    <cellStyle name="40% - Акцент3 233" xfId="7269"/>
    <cellStyle name="40% - Акцент3 234" xfId="7270"/>
    <cellStyle name="40% - Акцент3 235" xfId="7271"/>
    <cellStyle name="40% - Акцент3 236" xfId="7272"/>
    <cellStyle name="40% - Акцент3 237" xfId="7273"/>
    <cellStyle name="40% - Акцент3 238" xfId="7274"/>
    <cellStyle name="40% - Акцент3 239" xfId="7275"/>
    <cellStyle name="40% - Акцент3 24" xfId="7276"/>
    <cellStyle name="40% - Акцент3 24 2" xfId="7277"/>
    <cellStyle name="40% - Акцент3 240" xfId="7278"/>
    <cellStyle name="40% - Акцент3 241" xfId="7279"/>
    <cellStyle name="40% - Акцент3 242" xfId="7280"/>
    <cellStyle name="40% - Акцент3 243" xfId="7281"/>
    <cellStyle name="40% - Акцент3 244" xfId="7282"/>
    <cellStyle name="40% - Акцент3 245" xfId="7283"/>
    <cellStyle name="40% - Акцент3 246" xfId="7284"/>
    <cellStyle name="40% - Акцент3 247" xfId="7285"/>
    <cellStyle name="40% - Акцент3 248" xfId="7286"/>
    <cellStyle name="40% - Акцент3 249" xfId="7287"/>
    <cellStyle name="40% - Акцент3 25" xfId="7288"/>
    <cellStyle name="40% - Акцент3 25 2" xfId="7289"/>
    <cellStyle name="40% - Акцент3 250" xfId="7290"/>
    <cellStyle name="40% - Акцент3 251" xfId="7291"/>
    <cellStyle name="40% - Акцент3 252" xfId="7292"/>
    <cellStyle name="40% - Акцент3 253" xfId="7293"/>
    <cellStyle name="40% - Акцент3 254" xfId="7294"/>
    <cellStyle name="40% - Акцент3 255" xfId="7295"/>
    <cellStyle name="40% - Акцент3 26" xfId="7296"/>
    <cellStyle name="40% - Акцент3 26 2" xfId="7297"/>
    <cellStyle name="40% - Акцент3 27" xfId="7298"/>
    <cellStyle name="40% - Акцент3 27 2" xfId="7299"/>
    <cellStyle name="40% - Акцент3 28" xfId="7300"/>
    <cellStyle name="40% - Акцент3 28 2" xfId="7301"/>
    <cellStyle name="40% - Акцент3 29" xfId="7302"/>
    <cellStyle name="40% - Акцент3 29 2" xfId="7303"/>
    <cellStyle name="40% - Акцент3 3" xfId="7304"/>
    <cellStyle name="40% - Акцент3 30" xfId="7305"/>
    <cellStyle name="40% - Акцент3 30 2" xfId="7306"/>
    <cellStyle name="40% - Акцент3 31" xfId="7307"/>
    <cellStyle name="40% - Акцент3 31 2" xfId="7308"/>
    <cellStyle name="40% - Акцент3 32" xfId="7309"/>
    <cellStyle name="40% - Акцент3 32 2" xfId="7310"/>
    <cellStyle name="40% - Акцент3 33" xfId="7311"/>
    <cellStyle name="40% - Акцент3 33 2" xfId="7312"/>
    <cellStyle name="40% - Акцент3 34" xfId="7313"/>
    <cellStyle name="40% - Акцент3 34 2" xfId="7314"/>
    <cellStyle name="40% - Акцент3 35" xfId="7315"/>
    <cellStyle name="40% - Акцент3 35 2" xfId="7316"/>
    <cellStyle name="40% - Акцент3 36" xfId="7317"/>
    <cellStyle name="40% - Акцент3 36 2" xfId="7318"/>
    <cellStyle name="40% - Акцент3 37" xfId="7319"/>
    <cellStyle name="40% - Акцент3 37 2" xfId="7320"/>
    <cellStyle name="40% - Акцент3 38" xfId="7321"/>
    <cellStyle name="40% - Акцент3 38 2" xfId="7322"/>
    <cellStyle name="40% - Акцент3 39" xfId="7323"/>
    <cellStyle name="40% - Акцент3 39 2" xfId="7324"/>
    <cellStyle name="40% - Акцент3 4" xfId="7325"/>
    <cellStyle name="40% - Акцент3 40" xfId="7326"/>
    <cellStyle name="40% - Акцент3 40 2" xfId="7327"/>
    <cellStyle name="40% - Акцент3 41" xfId="7328"/>
    <cellStyle name="40% - Акцент3 41 2" xfId="7329"/>
    <cellStyle name="40% - Акцент3 42" xfId="7330"/>
    <cellStyle name="40% - Акцент3 42 2" xfId="7331"/>
    <cellStyle name="40% - Акцент3 43" xfId="7332"/>
    <cellStyle name="40% - Акцент3 43 2" xfId="7333"/>
    <cellStyle name="40% - Акцент3 44" xfId="7334"/>
    <cellStyle name="40% - Акцент3 44 2" xfId="7335"/>
    <cellStyle name="40% - Акцент3 45" xfId="7336"/>
    <cellStyle name="40% - Акцент3 45 2" xfId="7337"/>
    <cellStyle name="40% - Акцент3 46" xfId="7338"/>
    <cellStyle name="40% - Акцент3 46 2" xfId="7339"/>
    <cellStyle name="40% - Акцент3 47" xfId="7340"/>
    <cellStyle name="40% - Акцент3 47 2" xfId="7341"/>
    <cellStyle name="40% - Акцент3 48" xfId="7342"/>
    <cellStyle name="40% - Акцент3 48 2" xfId="7343"/>
    <cellStyle name="40% - Акцент3 49" xfId="7344"/>
    <cellStyle name="40% - Акцент3 49 2" xfId="7345"/>
    <cellStyle name="40% - Акцент3 5" xfId="7346"/>
    <cellStyle name="40% - Акцент3 50" xfId="7347"/>
    <cellStyle name="40% - Акцент3 50 2" xfId="7348"/>
    <cellStyle name="40% - Акцент3 51" xfId="7349"/>
    <cellStyle name="40% - Акцент3 51 2" xfId="7350"/>
    <cellStyle name="40% - Акцент3 52" xfId="7351"/>
    <cellStyle name="40% - Акцент3 52 2" xfId="7352"/>
    <cellStyle name="40% - Акцент3 53" xfId="7353"/>
    <cellStyle name="40% - Акцент3 53 2" xfId="7354"/>
    <cellStyle name="40% - Акцент3 54" xfId="7355"/>
    <cellStyle name="40% - Акцент3 54 2" xfId="7356"/>
    <cellStyle name="40% - Акцент3 55" xfId="7357"/>
    <cellStyle name="40% - Акцент3 55 2" xfId="7358"/>
    <cellStyle name="40% - Акцент3 56" xfId="7359"/>
    <cellStyle name="40% - Акцент3 56 2" xfId="7360"/>
    <cellStyle name="40% - Акцент3 57" xfId="7361"/>
    <cellStyle name="40% - Акцент3 57 2" xfId="7362"/>
    <cellStyle name="40% - Акцент3 58" xfId="7363"/>
    <cellStyle name="40% - Акцент3 58 2" xfId="7364"/>
    <cellStyle name="40% - Акцент3 59" xfId="7365"/>
    <cellStyle name="40% - Акцент3 59 2" xfId="7366"/>
    <cellStyle name="40% - Акцент3 6" xfId="7367"/>
    <cellStyle name="40% - Акцент3 60" xfId="7368"/>
    <cellStyle name="40% - Акцент3 60 2" xfId="7369"/>
    <cellStyle name="40% - Акцент3 61" xfId="7370"/>
    <cellStyle name="40% - Акцент3 61 2" xfId="7371"/>
    <cellStyle name="40% - Акцент3 62" xfId="7372"/>
    <cellStyle name="40% - Акцент3 62 2" xfId="7373"/>
    <cellStyle name="40% - Акцент3 63" xfId="7374"/>
    <cellStyle name="40% - Акцент3 63 2" xfId="7375"/>
    <cellStyle name="40% - Акцент3 64" xfId="7376"/>
    <cellStyle name="40% - Акцент3 64 2" xfId="7377"/>
    <cellStyle name="40% - Акцент3 65" xfId="7378"/>
    <cellStyle name="40% - Акцент3 65 2" xfId="7379"/>
    <cellStyle name="40% - Акцент3 66" xfId="7380"/>
    <cellStyle name="40% - Акцент3 66 2" xfId="7381"/>
    <cellStyle name="40% - Акцент3 67" xfId="7382"/>
    <cellStyle name="40% - Акцент3 67 2" xfId="7383"/>
    <cellStyle name="40% - Акцент3 68" xfId="7384"/>
    <cellStyle name="40% - Акцент3 68 2" xfId="7385"/>
    <cellStyle name="40% - Акцент3 69" xfId="7386"/>
    <cellStyle name="40% - Акцент3 69 2" xfId="7387"/>
    <cellStyle name="40% - Акцент3 7" xfId="7388"/>
    <cellStyle name="40% - Акцент3 70" xfId="7389"/>
    <cellStyle name="40% - Акцент3 70 2" xfId="7390"/>
    <cellStyle name="40% - Акцент3 71" xfId="7391"/>
    <cellStyle name="40% - Акцент3 71 2" xfId="7392"/>
    <cellStyle name="40% - Акцент3 72" xfId="7393"/>
    <cellStyle name="40% - Акцент3 72 2" xfId="7394"/>
    <cellStyle name="40% - Акцент3 73" xfId="7395"/>
    <cellStyle name="40% - Акцент3 73 2" xfId="7396"/>
    <cellStyle name="40% - Акцент3 74" xfId="7397"/>
    <cellStyle name="40% - Акцент3 74 2" xfId="7398"/>
    <cellStyle name="40% - Акцент3 75" xfId="7399"/>
    <cellStyle name="40% - Акцент3 75 2" xfId="7400"/>
    <cellStyle name="40% - Акцент3 76" xfId="7401"/>
    <cellStyle name="40% - Акцент3 76 2" xfId="7402"/>
    <cellStyle name="40% - Акцент3 77" xfId="7403"/>
    <cellStyle name="40% - Акцент3 77 2" xfId="7404"/>
    <cellStyle name="40% - Акцент3 78" xfId="7405"/>
    <cellStyle name="40% - Акцент3 78 2" xfId="7406"/>
    <cellStyle name="40% - Акцент3 79" xfId="7407"/>
    <cellStyle name="40% - Акцент3 79 2" xfId="7408"/>
    <cellStyle name="40% - Акцент3 8" xfId="7409"/>
    <cellStyle name="40% - Акцент3 80" xfId="7410"/>
    <cellStyle name="40% - Акцент3 80 2" xfId="7411"/>
    <cellStyle name="40% - Акцент3 81" xfId="7412"/>
    <cellStyle name="40% - Акцент3 81 2" xfId="7413"/>
    <cellStyle name="40% - Акцент3 82" xfId="7414"/>
    <cellStyle name="40% - Акцент3 82 2" xfId="7415"/>
    <cellStyle name="40% - Акцент3 83" xfId="7416"/>
    <cellStyle name="40% - Акцент3 83 2" xfId="7417"/>
    <cellStyle name="40% - Акцент3 84" xfId="7418"/>
    <cellStyle name="40% - Акцент3 84 2" xfId="7419"/>
    <cellStyle name="40% - Акцент3 85" xfId="7420"/>
    <cellStyle name="40% - Акцент3 85 2" xfId="7421"/>
    <cellStyle name="40% - Акцент3 86" xfId="7422"/>
    <cellStyle name="40% - Акцент3 86 2" xfId="7423"/>
    <cellStyle name="40% - Акцент3 87" xfId="7424"/>
    <cellStyle name="40% - Акцент3 87 2" xfId="7425"/>
    <cellStyle name="40% - Акцент3 88" xfId="7426"/>
    <cellStyle name="40% - Акцент3 88 2" xfId="7427"/>
    <cellStyle name="40% - Акцент3 89" xfId="7428"/>
    <cellStyle name="40% - Акцент3 89 2" xfId="7429"/>
    <cellStyle name="40% - Акцент3 9" xfId="7430"/>
    <cellStyle name="40% - Акцент3 90" xfId="7431"/>
    <cellStyle name="40% - Акцент3 90 2" xfId="7432"/>
    <cellStyle name="40% - Акцент3 91" xfId="7433"/>
    <cellStyle name="40% - Акцент3 91 2" xfId="7434"/>
    <cellStyle name="40% - Акцент3 92" xfId="7435"/>
    <cellStyle name="40% - Акцент3 92 2" xfId="7436"/>
    <cellStyle name="40% - Акцент3 93" xfId="7437"/>
    <cellStyle name="40% - Акцент3 93 2" xfId="7438"/>
    <cellStyle name="40% - Акцент3 94" xfId="7439"/>
    <cellStyle name="40% - Акцент3 94 2" xfId="7440"/>
    <cellStyle name="40% - Акцент3 95" xfId="7441"/>
    <cellStyle name="40% - Акцент3 95 2" xfId="7442"/>
    <cellStyle name="40% - Акцент3 96" xfId="7443"/>
    <cellStyle name="40% - Акцент3 96 2" xfId="7444"/>
    <cellStyle name="40% - Акцент3 97" xfId="7445"/>
    <cellStyle name="40% - Акцент3 97 2" xfId="7446"/>
    <cellStyle name="40% - Акцент3 98" xfId="7447"/>
    <cellStyle name="40% - Акцент3 98 2" xfId="7448"/>
    <cellStyle name="40% - Акцент3 99" xfId="7449"/>
    <cellStyle name="40% - Акцент3 99 2" xfId="7450"/>
    <cellStyle name="40% - Акцент4 10" xfId="7451"/>
    <cellStyle name="40% - Акцент4 100" xfId="7452"/>
    <cellStyle name="40% - Акцент4 100 2" xfId="7453"/>
    <cellStyle name="40% - Акцент4 101" xfId="7454"/>
    <cellStyle name="40% - Акцент4 101 2" xfId="7455"/>
    <cellStyle name="40% - Акцент4 102" xfId="7456"/>
    <cellStyle name="40% - Акцент4 102 2" xfId="7457"/>
    <cellStyle name="40% - Акцент4 103" xfId="7458"/>
    <cellStyle name="40% - Акцент4 103 2" xfId="7459"/>
    <cellStyle name="40% - Акцент4 104" xfId="7460"/>
    <cellStyle name="40% - Акцент4 104 2" xfId="7461"/>
    <cellStyle name="40% - Акцент4 105" xfId="7462"/>
    <cellStyle name="40% - Акцент4 105 2" xfId="7463"/>
    <cellStyle name="40% - Акцент4 106" xfId="7464"/>
    <cellStyle name="40% - Акцент4 106 2" xfId="7465"/>
    <cellStyle name="40% - Акцент4 107" xfId="7466"/>
    <cellStyle name="40% - Акцент4 107 2" xfId="7467"/>
    <cellStyle name="40% - Акцент4 108" xfId="7468"/>
    <cellStyle name="40% - Акцент4 108 2" xfId="7469"/>
    <cellStyle name="40% - Акцент4 109" xfId="7470"/>
    <cellStyle name="40% - Акцент4 109 2" xfId="7471"/>
    <cellStyle name="40% - Акцент4 11" xfId="7472"/>
    <cellStyle name="40% - Акцент4 110" xfId="7473"/>
    <cellStyle name="40% - Акцент4 110 2" xfId="7474"/>
    <cellStyle name="40% - Акцент4 111" xfId="7475"/>
    <cellStyle name="40% - Акцент4 111 2" xfId="7476"/>
    <cellStyle name="40% - Акцент4 112" xfId="7477"/>
    <cellStyle name="40% - Акцент4 112 2" xfId="7478"/>
    <cellStyle name="40% - Акцент4 113" xfId="7479"/>
    <cellStyle name="40% - Акцент4 113 2" xfId="7480"/>
    <cellStyle name="40% - Акцент4 114" xfId="7481"/>
    <cellStyle name="40% - Акцент4 114 2" xfId="7482"/>
    <cellStyle name="40% - Акцент4 115" xfId="7483"/>
    <cellStyle name="40% - Акцент4 115 2" xfId="7484"/>
    <cellStyle name="40% - Акцент4 116" xfId="7485"/>
    <cellStyle name="40% - Акцент4 116 2" xfId="7486"/>
    <cellStyle name="40% - Акцент4 117" xfId="7487"/>
    <cellStyle name="40% - Акцент4 117 2" xfId="7488"/>
    <cellStyle name="40% - Акцент4 118" xfId="7489"/>
    <cellStyle name="40% - Акцент4 118 2" xfId="7490"/>
    <cellStyle name="40% - Акцент4 119" xfId="7491"/>
    <cellStyle name="40% - Акцент4 119 2" xfId="7492"/>
    <cellStyle name="40% - Акцент4 12" xfId="7493"/>
    <cellStyle name="40% - Акцент4 120" xfId="7494"/>
    <cellStyle name="40% - Акцент4 120 2" xfId="7495"/>
    <cellStyle name="40% - Акцент4 121" xfId="7496"/>
    <cellStyle name="40% - Акцент4 121 2" xfId="7497"/>
    <cellStyle name="40% - Акцент4 122" xfId="7498"/>
    <cellStyle name="40% - Акцент4 122 2" xfId="7499"/>
    <cellStyle name="40% - Акцент4 123" xfId="7500"/>
    <cellStyle name="40% - Акцент4 123 2" xfId="7501"/>
    <cellStyle name="40% - Акцент4 124" xfId="7502"/>
    <cellStyle name="40% - Акцент4 124 2" xfId="7503"/>
    <cellStyle name="40% - Акцент4 125" xfId="7504"/>
    <cellStyle name="40% - Акцент4 125 2" xfId="7505"/>
    <cellStyle name="40% - Акцент4 126" xfId="7506"/>
    <cellStyle name="40% - Акцент4 126 2" xfId="7507"/>
    <cellStyle name="40% - Акцент4 127" xfId="7508"/>
    <cellStyle name="40% - Акцент4 127 2" xfId="7509"/>
    <cellStyle name="40% - Акцент4 128" xfId="7510"/>
    <cellStyle name="40% - Акцент4 128 2" xfId="7511"/>
    <cellStyle name="40% - Акцент4 129" xfId="7512"/>
    <cellStyle name="40% - Акцент4 129 2" xfId="7513"/>
    <cellStyle name="40% - Акцент4 13" xfId="7514"/>
    <cellStyle name="40% - Акцент4 130" xfId="7515"/>
    <cellStyle name="40% - Акцент4 130 2" xfId="7516"/>
    <cellStyle name="40% - Акцент4 131" xfId="7517"/>
    <cellStyle name="40% - Акцент4 131 2" xfId="7518"/>
    <cellStyle name="40% - Акцент4 132" xfId="7519"/>
    <cellStyle name="40% - Акцент4 132 2" xfId="7520"/>
    <cellStyle name="40% - Акцент4 133" xfId="7521"/>
    <cellStyle name="40% - Акцент4 133 2" xfId="7522"/>
    <cellStyle name="40% - Акцент4 134" xfId="7523"/>
    <cellStyle name="40% - Акцент4 134 2" xfId="7524"/>
    <cellStyle name="40% - Акцент4 135" xfId="7525"/>
    <cellStyle name="40% - Акцент4 135 2" xfId="7526"/>
    <cellStyle name="40% - Акцент4 136" xfId="7527"/>
    <cellStyle name="40% - Акцент4 136 2" xfId="7528"/>
    <cellStyle name="40% - Акцент4 137" xfId="7529"/>
    <cellStyle name="40% - Акцент4 137 2" xfId="7530"/>
    <cellStyle name="40% - Акцент4 138" xfId="7531"/>
    <cellStyle name="40% - Акцент4 138 2" xfId="7532"/>
    <cellStyle name="40% - Акцент4 139" xfId="7533"/>
    <cellStyle name="40% - Акцент4 139 2" xfId="7534"/>
    <cellStyle name="40% - Акцент4 14" xfId="7535"/>
    <cellStyle name="40% - Акцент4 140" xfId="7536"/>
    <cellStyle name="40% - Акцент4 140 2" xfId="7537"/>
    <cellStyle name="40% - Акцент4 141" xfId="7538"/>
    <cellStyle name="40% - Акцент4 141 2" xfId="7539"/>
    <cellStyle name="40% - Акцент4 142" xfId="7540"/>
    <cellStyle name="40% - Акцент4 142 2" xfId="7541"/>
    <cellStyle name="40% - Акцент4 143" xfId="7542"/>
    <cellStyle name="40% - Акцент4 143 2" xfId="7543"/>
    <cellStyle name="40% - Акцент4 144" xfId="7544"/>
    <cellStyle name="40% - Акцент4 144 2" xfId="7545"/>
    <cellStyle name="40% - Акцент4 145" xfId="7546"/>
    <cellStyle name="40% - Акцент4 145 2" xfId="7547"/>
    <cellStyle name="40% - Акцент4 146" xfId="7548"/>
    <cellStyle name="40% - Акцент4 146 2" xfId="7549"/>
    <cellStyle name="40% - Акцент4 147" xfId="7550"/>
    <cellStyle name="40% - Акцент4 147 2" xfId="7551"/>
    <cellStyle name="40% - Акцент4 148" xfId="7552"/>
    <cellStyle name="40% - Акцент4 148 2" xfId="7553"/>
    <cellStyle name="40% - Акцент4 149" xfId="7554"/>
    <cellStyle name="40% - Акцент4 149 2" xfId="7555"/>
    <cellStyle name="40% - Акцент4 15" xfId="7556"/>
    <cellStyle name="40% - Акцент4 150" xfId="7557"/>
    <cellStyle name="40% - Акцент4 150 2" xfId="7558"/>
    <cellStyle name="40% - Акцент4 151" xfId="7559"/>
    <cellStyle name="40% - Акцент4 151 2" xfId="7560"/>
    <cellStyle name="40% - Акцент4 152" xfId="7561"/>
    <cellStyle name="40% - Акцент4 152 2" xfId="7562"/>
    <cellStyle name="40% - Акцент4 153" xfId="7563"/>
    <cellStyle name="40% - Акцент4 153 2" xfId="7564"/>
    <cellStyle name="40% - Акцент4 154" xfId="7565"/>
    <cellStyle name="40% - Акцент4 154 2" xfId="7566"/>
    <cellStyle name="40% - Акцент4 155" xfId="7567"/>
    <cellStyle name="40% - Акцент4 155 2" xfId="7568"/>
    <cellStyle name="40% - Акцент4 156" xfId="7569"/>
    <cellStyle name="40% - Акцент4 156 2" xfId="7570"/>
    <cellStyle name="40% - Акцент4 157" xfId="7571"/>
    <cellStyle name="40% - Акцент4 157 2" xfId="7572"/>
    <cellStyle name="40% - Акцент4 158" xfId="7573"/>
    <cellStyle name="40% - Акцент4 158 2" xfId="7574"/>
    <cellStyle name="40% - Акцент4 159" xfId="7575"/>
    <cellStyle name="40% - Акцент4 159 2" xfId="7576"/>
    <cellStyle name="40% - Акцент4 16" xfId="7577"/>
    <cellStyle name="40% - Акцент4 160" xfId="7578"/>
    <cellStyle name="40% - Акцент4 160 2" xfId="7579"/>
    <cellStyle name="40% - Акцент4 161" xfId="7580"/>
    <cellStyle name="40% - Акцент4 161 2" xfId="7581"/>
    <cellStyle name="40% - Акцент4 162" xfId="7582"/>
    <cellStyle name="40% - Акцент4 162 2" xfId="7583"/>
    <cellStyle name="40% - Акцент4 163" xfId="7584"/>
    <cellStyle name="40% - Акцент4 163 2" xfId="7585"/>
    <cellStyle name="40% - Акцент4 164" xfId="7586"/>
    <cellStyle name="40% - Акцент4 164 2" xfId="7587"/>
    <cellStyle name="40% - Акцент4 165" xfId="7588"/>
    <cellStyle name="40% - Акцент4 165 2" xfId="7589"/>
    <cellStyle name="40% - Акцент4 166" xfId="7590"/>
    <cellStyle name="40% - Акцент4 166 2" xfId="7591"/>
    <cellStyle name="40% - Акцент4 167" xfId="7592"/>
    <cellStyle name="40% - Акцент4 167 2" xfId="7593"/>
    <cellStyle name="40% - Акцент4 168" xfId="7594"/>
    <cellStyle name="40% - Акцент4 168 2" xfId="7595"/>
    <cellStyle name="40% - Акцент4 169" xfId="7596"/>
    <cellStyle name="40% - Акцент4 169 2" xfId="7597"/>
    <cellStyle name="40% - Акцент4 17" xfId="7598"/>
    <cellStyle name="40% - Акцент4 170" xfId="7599"/>
    <cellStyle name="40% - Акцент4 170 2" xfId="7600"/>
    <cellStyle name="40% - Акцент4 171" xfId="7601"/>
    <cellStyle name="40% - Акцент4 171 2" xfId="7602"/>
    <cellStyle name="40% - Акцент4 172" xfId="7603"/>
    <cellStyle name="40% - Акцент4 172 2" xfId="7604"/>
    <cellStyle name="40% - Акцент4 173" xfId="7605"/>
    <cellStyle name="40% - Акцент4 173 2" xfId="7606"/>
    <cellStyle name="40% - Акцент4 174" xfId="7607"/>
    <cellStyle name="40% - Акцент4 174 2" xfId="7608"/>
    <cellStyle name="40% - Акцент4 175" xfId="7609"/>
    <cellStyle name="40% - Акцент4 175 2" xfId="7610"/>
    <cellStyle name="40% - Акцент4 176" xfId="7611"/>
    <cellStyle name="40% - Акцент4 176 2" xfId="7612"/>
    <cellStyle name="40% - Акцент4 177" xfId="7613"/>
    <cellStyle name="40% - Акцент4 177 2" xfId="7614"/>
    <cellStyle name="40% - Акцент4 178" xfId="7615"/>
    <cellStyle name="40% - Акцент4 178 2" xfId="7616"/>
    <cellStyle name="40% - Акцент4 179" xfId="7617"/>
    <cellStyle name="40% - Акцент4 179 2" xfId="7618"/>
    <cellStyle name="40% - Акцент4 18" xfId="7619"/>
    <cellStyle name="40% - Акцент4 180" xfId="7620"/>
    <cellStyle name="40% - Акцент4 180 2" xfId="7621"/>
    <cellStyle name="40% - Акцент4 181" xfId="7622"/>
    <cellStyle name="40% - Акцент4 181 2" xfId="7623"/>
    <cellStyle name="40% - Акцент4 182" xfId="7624"/>
    <cellStyle name="40% - Акцент4 182 2" xfId="7625"/>
    <cellStyle name="40% - Акцент4 183" xfId="7626"/>
    <cellStyle name="40% - Акцент4 183 2" xfId="7627"/>
    <cellStyle name="40% - Акцент4 184" xfId="7628"/>
    <cellStyle name="40% - Акцент4 184 2" xfId="7629"/>
    <cellStyle name="40% - Акцент4 185" xfId="7630"/>
    <cellStyle name="40% - Акцент4 185 2" xfId="7631"/>
    <cellStyle name="40% - Акцент4 186" xfId="7632"/>
    <cellStyle name="40% - Акцент4 186 2" xfId="7633"/>
    <cellStyle name="40% - Акцент4 187" xfId="7634"/>
    <cellStyle name="40% - Акцент4 187 2" xfId="7635"/>
    <cellStyle name="40% - Акцент4 188" xfId="7636"/>
    <cellStyle name="40% - Акцент4 188 2" xfId="7637"/>
    <cellStyle name="40% - Акцент4 189" xfId="7638"/>
    <cellStyle name="40% - Акцент4 189 2" xfId="7639"/>
    <cellStyle name="40% - Акцент4 19" xfId="7640"/>
    <cellStyle name="40% - Акцент4 190" xfId="7641"/>
    <cellStyle name="40% - Акцент4 190 2" xfId="7642"/>
    <cellStyle name="40% - Акцент4 191" xfId="7643"/>
    <cellStyle name="40% - Акцент4 191 2" xfId="7644"/>
    <cellStyle name="40% - Акцент4 192" xfId="7645"/>
    <cellStyle name="40% - Акцент4 192 2" xfId="7646"/>
    <cellStyle name="40% - Акцент4 193" xfId="7647"/>
    <cellStyle name="40% - Акцент4 193 2" xfId="7648"/>
    <cellStyle name="40% - Акцент4 194" xfId="7649"/>
    <cellStyle name="40% - Акцент4 194 2" xfId="7650"/>
    <cellStyle name="40% - Акцент4 195" xfId="7651"/>
    <cellStyle name="40% - Акцент4 195 2" xfId="7652"/>
    <cellStyle name="40% - Акцент4 196" xfId="7653"/>
    <cellStyle name="40% - Акцент4 196 2" xfId="7654"/>
    <cellStyle name="40% - Акцент4 197" xfId="7655"/>
    <cellStyle name="40% - Акцент4 197 2" xfId="7656"/>
    <cellStyle name="40% - Акцент4 198" xfId="7657"/>
    <cellStyle name="40% - Акцент4 198 2" xfId="7658"/>
    <cellStyle name="40% - Акцент4 199" xfId="7659"/>
    <cellStyle name="40% - Акцент4 199 2" xfId="7660"/>
    <cellStyle name="40% - Акцент4 2" xfId="7661"/>
    <cellStyle name="40% - Акцент4 2 2" xfId="7662"/>
    <cellStyle name="40% - Акцент4 2 2 2" xfId="7663"/>
    <cellStyle name="40% - Акцент4 2 3" xfId="7664"/>
    <cellStyle name="40% - Акцент4 2 4" xfId="7665"/>
    <cellStyle name="40% - Акцент4 2 5" xfId="7666"/>
    <cellStyle name="40% - Акцент4 2 6" xfId="7667"/>
    <cellStyle name="40% - Акцент4 2 7" xfId="7668"/>
    <cellStyle name="40% - Акцент4 20" xfId="7669"/>
    <cellStyle name="40% - Акцент4 20 2" xfId="7670"/>
    <cellStyle name="40% - Акцент4 200" xfId="7671"/>
    <cellStyle name="40% - Акцент4 200 2" xfId="7672"/>
    <cellStyle name="40% - Акцент4 201" xfId="7673"/>
    <cellStyle name="40% - Акцент4 201 2" xfId="7674"/>
    <cellStyle name="40% - Акцент4 202" xfId="7675"/>
    <cellStyle name="40% - Акцент4 202 2" xfId="7676"/>
    <cellStyle name="40% - Акцент4 203" xfId="7677"/>
    <cellStyle name="40% - Акцент4 203 2" xfId="7678"/>
    <cellStyle name="40% - Акцент4 204" xfId="7679"/>
    <cellStyle name="40% - Акцент4 204 2" xfId="7680"/>
    <cellStyle name="40% - Акцент4 205" xfId="7681"/>
    <cellStyle name="40% - Акцент4 205 2" xfId="7682"/>
    <cellStyle name="40% - Акцент4 206" xfId="7683"/>
    <cellStyle name="40% - Акцент4 206 2" xfId="7684"/>
    <cellStyle name="40% - Акцент4 207" xfId="7685"/>
    <cellStyle name="40% - Акцент4 207 2" xfId="7686"/>
    <cellStyle name="40% - Акцент4 208" xfId="7687"/>
    <cellStyle name="40% - Акцент4 208 2" xfId="7688"/>
    <cellStyle name="40% - Акцент4 209" xfId="7689"/>
    <cellStyle name="40% - Акцент4 209 2" xfId="7690"/>
    <cellStyle name="40% - Акцент4 21" xfId="7691"/>
    <cellStyle name="40% - Акцент4 21 2" xfId="7692"/>
    <cellStyle name="40% - Акцент4 210" xfId="7693"/>
    <cellStyle name="40% - Акцент4 210 2" xfId="7694"/>
    <cellStyle name="40% - Акцент4 211" xfId="7695"/>
    <cellStyle name="40% - Акцент4 211 2" xfId="7696"/>
    <cellStyle name="40% - Акцент4 212" xfId="7697"/>
    <cellStyle name="40% - Акцент4 212 2" xfId="7698"/>
    <cellStyle name="40% - Акцент4 213" xfId="7699"/>
    <cellStyle name="40% - Акцент4 213 2" xfId="7700"/>
    <cellStyle name="40% - Акцент4 214" xfId="7701"/>
    <cellStyle name="40% - Акцент4 214 2" xfId="7702"/>
    <cellStyle name="40% - Акцент4 215" xfId="7703"/>
    <cellStyle name="40% - Акцент4 215 2" xfId="7704"/>
    <cellStyle name="40% - Акцент4 216" xfId="7705"/>
    <cellStyle name="40% - Акцент4 216 2" xfId="7706"/>
    <cellStyle name="40% - Акцент4 217" xfId="7707"/>
    <cellStyle name="40% - Акцент4 217 2" xfId="7708"/>
    <cellStyle name="40% - Акцент4 217 3" xfId="7709"/>
    <cellStyle name="40% - Акцент4 218" xfId="7710"/>
    <cellStyle name="40% - Акцент4 219" xfId="7711"/>
    <cellStyle name="40% - Акцент4 22" xfId="7712"/>
    <cellStyle name="40% - Акцент4 22 2" xfId="7713"/>
    <cellStyle name="40% - Акцент4 220" xfId="7714"/>
    <cellStyle name="40% - Акцент4 221" xfId="7715"/>
    <cellStyle name="40% - Акцент4 222" xfId="7716"/>
    <cellStyle name="40% - Акцент4 223" xfId="7717"/>
    <cellStyle name="40% - Акцент4 224" xfId="7718"/>
    <cellStyle name="40% - Акцент4 225" xfId="7719"/>
    <cellStyle name="40% - Акцент4 226" xfId="7720"/>
    <cellStyle name="40% - Акцент4 227" xfId="7721"/>
    <cellStyle name="40% - Акцент4 228" xfId="7722"/>
    <cellStyle name="40% - Акцент4 229" xfId="7723"/>
    <cellStyle name="40% - Акцент4 23" xfId="7724"/>
    <cellStyle name="40% - Акцент4 23 2" xfId="7725"/>
    <cellStyle name="40% - Акцент4 230" xfId="7726"/>
    <cellStyle name="40% - Акцент4 231" xfId="7727"/>
    <cellStyle name="40% - Акцент4 232" xfId="7728"/>
    <cellStyle name="40% - Акцент4 233" xfId="7729"/>
    <cellStyle name="40% - Акцент4 234" xfId="7730"/>
    <cellStyle name="40% - Акцент4 235" xfId="7731"/>
    <cellStyle name="40% - Акцент4 236" xfId="7732"/>
    <cellStyle name="40% - Акцент4 237" xfId="7733"/>
    <cellStyle name="40% - Акцент4 238" xfId="7734"/>
    <cellStyle name="40% - Акцент4 239" xfId="7735"/>
    <cellStyle name="40% - Акцент4 24" xfId="7736"/>
    <cellStyle name="40% - Акцент4 24 2" xfId="7737"/>
    <cellStyle name="40% - Акцент4 240" xfId="7738"/>
    <cellStyle name="40% - Акцент4 241" xfId="7739"/>
    <cellStyle name="40% - Акцент4 242" xfId="7740"/>
    <cellStyle name="40% - Акцент4 243" xfId="7741"/>
    <cellStyle name="40% - Акцент4 244" xfId="7742"/>
    <cellStyle name="40% - Акцент4 245" xfId="7743"/>
    <cellStyle name="40% - Акцент4 246" xfId="7744"/>
    <cellStyle name="40% - Акцент4 247" xfId="7745"/>
    <cellStyle name="40% - Акцент4 248" xfId="7746"/>
    <cellStyle name="40% - Акцент4 249" xfId="7747"/>
    <cellStyle name="40% - Акцент4 25" xfId="7748"/>
    <cellStyle name="40% - Акцент4 25 2" xfId="7749"/>
    <cellStyle name="40% - Акцент4 250" xfId="7750"/>
    <cellStyle name="40% - Акцент4 251" xfId="7751"/>
    <cellStyle name="40% - Акцент4 252" xfId="7752"/>
    <cellStyle name="40% - Акцент4 253" xfId="7753"/>
    <cellStyle name="40% - Акцент4 254" xfId="7754"/>
    <cellStyle name="40% - Акцент4 255" xfId="7755"/>
    <cellStyle name="40% - Акцент4 26" xfId="7756"/>
    <cellStyle name="40% - Акцент4 26 2" xfId="7757"/>
    <cellStyle name="40% - Акцент4 27" xfId="7758"/>
    <cellStyle name="40% - Акцент4 27 2" xfId="7759"/>
    <cellStyle name="40% - Акцент4 28" xfId="7760"/>
    <cellStyle name="40% - Акцент4 28 2" xfId="7761"/>
    <cellStyle name="40% - Акцент4 29" xfId="7762"/>
    <cellStyle name="40% - Акцент4 29 2" xfId="7763"/>
    <cellStyle name="40% - Акцент4 3" xfId="7764"/>
    <cellStyle name="40% - Акцент4 30" xfId="7765"/>
    <cellStyle name="40% - Акцент4 30 2" xfId="7766"/>
    <cellStyle name="40% - Акцент4 31" xfId="7767"/>
    <cellStyle name="40% - Акцент4 31 2" xfId="7768"/>
    <cellStyle name="40% - Акцент4 32" xfId="7769"/>
    <cellStyle name="40% - Акцент4 32 2" xfId="7770"/>
    <cellStyle name="40% - Акцент4 33" xfId="7771"/>
    <cellStyle name="40% - Акцент4 33 2" xfId="7772"/>
    <cellStyle name="40% - Акцент4 34" xfId="7773"/>
    <cellStyle name="40% - Акцент4 34 2" xfId="7774"/>
    <cellStyle name="40% - Акцент4 35" xfId="7775"/>
    <cellStyle name="40% - Акцент4 35 2" xfId="7776"/>
    <cellStyle name="40% - Акцент4 36" xfId="7777"/>
    <cellStyle name="40% - Акцент4 36 2" xfId="7778"/>
    <cellStyle name="40% - Акцент4 37" xfId="7779"/>
    <cellStyle name="40% - Акцент4 37 2" xfId="7780"/>
    <cellStyle name="40% - Акцент4 38" xfId="7781"/>
    <cellStyle name="40% - Акцент4 38 2" xfId="7782"/>
    <cellStyle name="40% - Акцент4 39" xfId="7783"/>
    <cellStyle name="40% - Акцент4 39 2" xfId="7784"/>
    <cellStyle name="40% - Акцент4 4" xfId="7785"/>
    <cellStyle name="40% - Акцент4 4 2" xfId="7786"/>
    <cellStyle name="40% - Акцент4 4 3" xfId="7787"/>
    <cellStyle name="40% - Акцент4 40" xfId="7788"/>
    <cellStyle name="40% - Акцент4 40 2" xfId="7789"/>
    <cellStyle name="40% - Акцент4 40 2 2" xfId="7790"/>
    <cellStyle name="40% - Акцент4 40 2 3" xfId="7791"/>
    <cellStyle name="40% - Акцент4 40 3" xfId="7792"/>
    <cellStyle name="40% - Акцент4 40 4" xfId="7793"/>
    <cellStyle name="40% - Акцент4 41" xfId="7794"/>
    <cellStyle name="40% - Акцент4 41 2" xfId="7795"/>
    <cellStyle name="40% - Акцент4 41 2 2" xfId="7796"/>
    <cellStyle name="40% - Акцент4 41 2 3" xfId="7797"/>
    <cellStyle name="40% - Акцент4 41 3" xfId="7798"/>
    <cellStyle name="40% - Акцент4 41 4" xfId="7799"/>
    <cellStyle name="40% - Акцент4 42" xfId="7800"/>
    <cellStyle name="40% - Акцент4 42 2" xfId="7801"/>
    <cellStyle name="40% - Акцент4 42 2 2" xfId="7802"/>
    <cellStyle name="40% - Акцент4 42 2 3" xfId="7803"/>
    <cellStyle name="40% - Акцент4 42 3" xfId="7804"/>
    <cellStyle name="40% - Акцент4 42 4" xfId="7805"/>
    <cellStyle name="40% - Акцент4 43" xfId="7806"/>
    <cellStyle name="40% - Акцент4 43 2" xfId="7807"/>
    <cellStyle name="40% - Акцент4 43 2 2" xfId="7808"/>
    <cellStyle name="40% - Акцент4 43 2 3" xfId="7809"/>
    <cellStyle name="40% - Акцент4 43 3" xfId="7810"/>
    <cellStyle name="40% - Акцент4 43 4" xfId="7811"/>
    <cellStyle name="40% - Акцент4 44" xfId="7812"/>
    <cellStyle name="40% - Акцент4 44 2" xfId="7813"/>
    <cellStyle name="40% - Акцент4 44 2 2" xfId="7814"/>
    <cellStyle name="40% - Акцент4 44 2 3" xfId="7815"/>
    <cellStyle name="40% - Акцент4 44 3" xfId="7816"/>
    <cellStyle name="40% - Акцент4 44 4" xfId="7817"/>
    <cellStyle name="40% - Акцент4 45" xfId="7818"/>
    <cellStyle name="40% - Акцент4 45 2" xfId="7819"/>
    <cellStyle name="40% - Акцент4 45 2 2" xfId="7820"/>
    <cellStyle name="40% - Акцент4 45 2 3" xfId="7821"/>
    <cellStyle name="40% - Акцент4 45 3" xfId="7822"/>
    <cellStyle name="40% - Акцент4 45 4" xfId="7823"/>
    <cellStyle name="40% - Акцент4 46" xfId="7824"/>
    <cellStyle name="40% - Акцент4 46 2" xfId="7825"/>
    <cellStyle name="40% - Акцент4 46 2 2" xfId="7826"/>
    <cellStyle name="40% - Акцент4 46 2 3" xfId="7827"/>
    <cellStyle name="40% - Акцент4 46 3" xfId="7828"/>
    <cellStyle name="40% - Акцент4 46 4" xfId="7829"/>
    <cellStyle name="40% - Акцент4 47" xfId="7830"/>
    <cellStyle name="40% - Акцент4 47 2" xfId="7831"/>
    <cellStyle name="40% - Акцент4 47 2 2" xfId="7832"/>
    <cellStyle name="40% - Акцент4 47 2 3" xfId="7833"/>
    <cellStyle name="40% - Акцент4 47 3" xfId="7834"/>
    <cellStyle name="40% - Акцент4 47 4" xfId="7835"/>
    <cellStyle name="40% - Акцент4 48" xfId="7836"/>
    <cellStyle name="40% - Акцент4 48 2" xfId="7837"/>
    <cellStyle name="40% - Акцент4 48 2 2" xfId="7838"/>
    <cellStyle name="40% - Акцент4 48 2 3" xfId="7839"/>
    <cellStyle name="40% - Акцент4 48 3" xfId="7840"/>
    <cellStyle name="40% - Акцент4 48 4" xfId="7841"/>
    <cellStyle name="40% - Акцент4 49" xfId="7842"/>
    <cellStyle name="40% - Акцент4 49 2" xfId="7843"/>
    <cellStyle name="40% - Акцент4 49 3" xfId="7844"/>
    <cellStyle name="40% - Акцент4 5" xfId="7845"/>
    <cellStyle name="40% - Акцент4 50" xfId="7846"/>
    <cellStyle name="40% - Акцент4 50 2" xfId="7847"/>
    <cellStyle name="40% - Акцент4 51" xfId="7848"/>
    <cellStyle name="40% - Акцент4 51 2" xfId="7849"/>
    <cellStyle name="40% - Акцент4 52" xfId="7850"/>
    <cellStyle name="40% - Акцент4 52 2" xfId="7851"/>
    <cellStyle name="40% - Акцент4 53" xfId="7852"/>
    <cellStyle name="40% - Акцент4 53 2" xfId="7853"/>
    <cellStyle name="40% - Акцент4 54" xfId="7854"/>
    <cellStyle name="40% - Акцент4 54 2" xfId="7855"/>
    <cellStyle name="40% - Акцент4 55" xfId="7856"/>
    <cellStyle name="40% - Акцент4 55 2" xfId="7857"/>
    <cellStyle name="40% - Акцент4 56" xfId="7858"/>
    <cellStyle name="40% - Акцент4 56 2" xfId="7859"/>
    <cellStyle name="40% - Акцент4 57" xfId="7860"/>
    <cellStyle name="40% - Акцент4 57 2" xfId="7861"/>
    <cellStyle name="40% - Акцент4 58" xfId="7862"/>
    <cellStyle name="40% - Акцент4 58 2" xfId="7863"/>
    <cellStyle name="40% - Акцент4 59" xfId="7864"/>
    <cellStyle name="40% - Акцент4 59 2" xfId="7865"/>
    <cellStyle name="40% - Акцент4 6" xfId="7866"/>
    <cellStyle name="40% - Акцент4 60" xfId="7867"/>
    <cellStyle name="40% - Акцент4 60 2" xfId="7868"/>
    <cellStyle name="40% - Акцент4 61" xfId="7869"/>
    <cellStyle name="40% - Акцент4 61 2" xfId="7870"/>
    <cellStyle name="40% - Акцент4 62" xfId="7871"/>
    <cellStyle name="40% - Акцент4 62 2" xfId="7872"/>
    <cellStyle name="40% - Акцент4 63" xfId="7873"/>
    <cellStyle name="40% - Акцент4 63 2" xfId="7874"/>
    <cellStyle name="40% - Акцент4 64" xfId="7875"/>
    <cellStyle name="40% - Акцент4 64 2" xfId="7876"/>
    <cellStyle name="40% - Акцент4 65" xfId="7877"/>
    <cellStyle name="40% - Акцент4 65 2" xfId="7878"/>
    <cellStyle name="40% - Акцент4 66" xfId="7879"/>
    <cellStyle name="40% - Акцент4 66 2" xfId="7880"/>
    <cellStyle name="40% - Акцент4 67" xfId="7881"/>
    <cellStyle name="40% - Акцент4 67 2" xfId="7882"/>
    <cellStyle name="40% - Акцент4 68" xfId="7883"/>
    <cellStyle name="40% - Акцент4 68 2" xfId="7884"/>
    <cellStyle name="40% - Акцент4 69" xfId="7885"/>
    <cellStyle name="40% - Акцент4 69 2" xfId="7886"/>
    <cellStyle name="40% - Акцент4 7" xfId="7887"/>
    <cellStyle name="40% - Акцент4 70" xfId="7888"/>
    <cellStyle name="40% - Акцент4 70 2" xfId="7889"/>
    <cellStyle name="40% - Акцент4 71" xfId="7890"/>
    <cellStyle name="40% - Акцент4 71 2" xfId="7891"/>
    <cellStyle name="40% - Акцент4 72" xfId="7892"/>
    <cellStyle name="40% - Акцент4 72 2" xfId="7893"/>
    <cellStyle name="40% - Акцент4 73" xfId="7894"/>
    <cellStyle name="40% - Акцент4 73 2" xfId="7895"/>
    <cellStyle name="40% - Акцент4 74" xfId="7896"/>
    <cellStyle name="40% - Акцент4 74 2" xfId="7897"/>
    <cellStyle name="40% - Акцент4 75" xfId="7898"/>
    <cellStyle name="40% - Акцент4 75 2" xfId="7899"/>
    <cellStyle name="40% - Акцент4 76" xfId="7900"/>
    <cellStyle name="40% - Акцент4 76 2" xfId="7901"/>
    <cellStyle name="40% - Акцент4 77" xfId="7902"/>
    <cellStyle name="40% - Акцент4 77 2" xfId="7903"/>
    <cellStyle name="40% - Акцент4 78" xfId="7904"/>
    <cellStyle name="40% - Акцент4 78 2" xfId="7905"/>
    <cellStyle name="40% - Акцент4 79" xfId="7906"/>
    <cellStyle name="40% - Акцент4 79 2" xfId="7907"/>
    <cellStyle name="40% - Акцент4 8" xfId="7908"/>
    <cellStyle name="40% - Акцент4 80" xfId="7909"/>
    <cellStyle name="40% - Акцент4 80 2" xfId="7910"/>
    <cellStyle name="40% - Акцент4 81" xfId="7911"/>
    <cellStyle name="40% - Акцент4 81 2" xfId="7912"/>
    <cellStyle name="40% - Акцент4 82" xfId="7913"/>
    <cellStyle name="40% - Акцент4 82 2" xfId="7914"/>
    <cellStyle name="40% - Акцент4 83" xfId="7915"/>
    <cellStyle name="40% - Акцент4 83 2" xfId="7916"/>
    <cellStyle name="40% - Акцент4 84" xfId="7917"/>
    <cellStyle name="40% - Акцент4 84 2" xfId="7918"/>
    <cellStyle name="40% - Акцент4 85" xfId="7919"/>
    <cellStyle name="40% - Акцент4 85 2" xfId="7920"/>
    <cellStyle name="40% - Акцент4 86" xfId="7921"/>
    <cellStyle name="40% - Акцент4 86 2" xfId="7922"/>
    <cellStyle name="40% - Акцент4 87" xfId="7923"/>
    <cellStyle name="40% - Акцент4 87 2" xfId="7924"/>
    <cellStyle name="40% - Акцент4 88" xfId="7925"/>
    <cellStyle name="40% - Акцент4 88 2" xfId="7926"/>
    <cellStyle name="40% - Акцент4 89" xfId="7927"/>
    <cellStyle name="40% - Акцент4 89 2" xfId="7928"/>
    <cellStyle name="40% - Акцент4 9" xfId="7929"/>
    <cellStyle name="40% - Акцент4 90" xfId="7930"/>
    <cellStyle name="40% - Акцент4 90 2" xfId="7931"/>
    <cellStyle name="40% - Акцент4 91" xfId="7932"/>
    <cellStyle name="40% - Акцент4 91 2" xfId="7933"/>
    <cellStyle name="40% - Акцент4 92" xfId="7934"/>
    <cellStyle name="40% - Акцент4 92 2" xfId="7935"/>
    <cellStyle name="40% - Акцент4 93" xfId="7936"/>
    <cellStyle name="40% - Акцент4 93 2" xfId="7937"/>
    <cellStyle name="40% - Акцент4 94" xfId="7938"/>
    <cellStyle name="40% - Акцент4 94 2" xfId="7939"/>
    <cellStyle name="40% - Акцент4 95" xfId="7940"/>
    <cellStyle name="40% - Акцент4 95 2" xfId="7941"/>
    <cellStyle name="40% - Акцент4 96" xfId="7942"/>
    <cellStyle name="40% - Акцент4 96 2" xfId="7943"/>
    <cellStyle name="40% - Акцент4 97" xfId="7944"/>
    <cellStyle name="40% - Акцент4 97 2" xfId="7945"/>
    <cellStyle name="40% - Акцент4 98" xfId="7946"/>
    <cellStyle name="40% - Акцент4 98 2" xfId="7947"/>
    <cellStyle name="40% - Акцент4 99" xfId="7948"/>
    <cellStyle name="40% - Акцент4 99 2" xfId="7949"/>
    <cellStyle name="40% - Акцент5 10" xfId="7950"/>
    <cellStyle name="40% - Акцент5 100" xfId="7951"/>
    <cellStyle name="40% - Акцент5 100 2" xfId="7952"/>
    <cellStyle name="40% - Акцент5 101" xfId="7953"/>
    <cellStyle name="40% - Акцент5 101 2" xfId="7954"/>
    <cellStyle name="40% - Акцент5 102" xfId="7955"/>
    <cellStyle name="40% - Акцент5 102 2" xfId="7956"/>
    <cellStyle name="40% - Акцент5 103" xfId="7957"/>
    <cellStyle name="40% - Акцент5 103 2" xfId="7958"/>
    <cellStyle name="40% - Акцент5 104" xfId="7959"/>
    <cellStyle name="40% - Акцент5 104 2" xfId="7960"/>
    <cellStyle name="40% - Акцент5 105" xfId="7961"/>
    <cellStyle name="40% - Акцент5 105 2" xfId="7962"/>
    <cellStyle name="40% - Акцент5 106" xfId="7963"/>
    <cellStyle name="40% - Акцент5 106 2" xfId="7964"/>
    <cellStyle name="40% - Акцент5 107" xfId="7965"/>
    <cellStyle name="40% - Акцент5 107 2" xfId="7966"/>
    <cellStyle name="40% - Акцент5 108" xfId="7967"/>
    <cellStyle name="40% - Акцент5 108 2" xfId="7968"/>
    <cellStyle name="40% - Акцент5 109" xfId="7969"/>
    <cellStyle name="40% - Акцент5 109 2" xfId="7970"/>
    <cellStyle name="40% - Акцент5 11" xfId="7971"/>
    <cellStyle name="40% - Акцент5 110" xfId="7972"/>
    <cellStyle name="40% - Акцент5 110 2" xfId="7973"/>
    <cellStyle name="40% - Акцент5 111" xfId="7974"/>
    <cellStyle name="40% - Акцент5 111 2" xfId="7975"/>
    <cellStyle name="40% - Акцент5 112" xfId="7976"/>
    <cellStyle name="40% - Акцент5 112 2" xfId="7977"/>
    <cellStyle name="40% - Акцент5 113" xfId="7978"/>
    <cellStyle name="40% - Акцент5 113 2" xfId="7979"/>
    <cellStyle name="40% - Акцент5 114" xfId="7980"/>
    <cellStyle name="40% - Акцент5 114 2" xfId="7981"/>
    <cellStyle name="40% - Акцент5 115" xfId="7982"/>
    <cellStyle name="40% - Акцент5 115 2" xfId="7983"/>
    <cellStyle name="40% - Акцент5 116" xfId="7984"/>
    <cellStyle name="40% - Акцент5 116 2" xfId="7985"/>
    <cellStyle name="40% - Акцент5 117" xfId="7986"/>
    <cellStyle name="40% - Акцент5 117 2" xfId="7987"/>
    <cellStyle name="40% - Акцент5 118" xfId="7988"/>
    <cellStyle name="40% - Акцент5 118 2" xfId="7989"/>
    <cellStyle name="40% - Акцент5 119" xfId="7990"/>
    <cellStyle name="40% - Акцент5 119 2" xfId="7991"/>
    <cellStyle name="40% - Акцент5 12" xfId="7992"/>
    <cellStyle name="40% - Акцент5 120" xfId="7993"/>
    <cellStyle name="40% - Акцент5 120 2" xfId="7994"/>
    <cellStyle name="40% - Акцент5 121" xfId="7995"/>
    <cellStyle name="40% - Акцент5 121 2" xfId="7996"/>
    <cellStyle name="40% - Акцент5 122" xfId="7997"/>
    <cellStyle name="40% - Акцент5 122 2" xfId="7998"/>
    <cellStyle name="40% - Акцент5 123" xfId="7999"/>
    <cellStyle name="40% - Акцент5 123 2" xfId="8000"/>
    <cellStyle name="40% - Акцент5 124" xfId="8001"/>
    <cellStyle name="40% - Акцент5 124 2" xfId="8002"/>
    <cellStyle name="40% - Акцент5 125" xfId="8003"/>
    <cellStyle name="40% - Акцент5 125 2" xfId="8004"/>
    <cellStyle name="40% - Акцент5 126" xfId="8005"/>
    <cellStyle name="40% - Акцент5 126 2" xfId="8006"/>
    <cellStyle name="40% - Акцент5 127" xfId="8007"/>
    <cellStyle name="40% - Акцент5 127 2" xfId="8008"/>
    <cellStyle name="40% - Акцент5 128" xfId="8009"/>
    <cellStyle name="40% - Акцент5 128 2" xfId="8010"/>
    <cellStyle name="40% - Акцент5 129" xfId="8011"/>
    <cellStyle name="40% - Акцент5 129 2" xfId="8012"/>
    <cellStyle name="40% - Акцент5 13" xfId="8013"/>
    <cellStyle name="40% - Акцент5 130" xfId="8014"/>
    <cellStyle name="40% - Акцент5 130 2" xfId="8015"/>
    <cellStyle name="40% - Акцент5 131" xfId="8016"/>
    <cellStyle name="40% - Акцент5 131 2" xfId="8017"/>
    <cellStyle name="40% - Акцент5 132" xfId="8018"/>
    <cellStyle name="40% - Акцент5 132 2" xfId="8019"/>
    <cellStyle name="40% - Акцент5 133" xfId="8020"/>
    <cellStyle name="40% - Акцент5 133 2" xfId="8021"/>
    <cellStyle name="40% - Акцент5 134" xfId="8022"/>
    <cellStyle name="40% - Акцент5 134 2" xfId="8023"/>
    <cellStyle name="40% - Акцент5 135" xfId="8024"/>
    <cellStyle name="40% - Акцент5 135 2" xfId="8025"/>
    <cellStyle name="40% - Акцент5 136" xfId="8026"/>
    <cellStyle name="40% - Акцент5 136 2" xfId="8027"/>
    <cellStyle name="40% - Акцент5 137" xfId="8028"/>
    <cellStyle name="40% - Акцент5 137 2" xfId="8029"/>
    <cellStyle name="40% - Акцент5 138" xfId="8030"/>
    <cellStyle name="40% - Акцент5 138 2" xfId="8031"/>
    <cellStyle name="40% - Акцент5 139" xfId="8032"/>
    <cellStyle name="40% - Акцент5 139 2" xfId="8033"/>
    <cellStyle name="40% - Акцент5 14" xfId="8034"/>
    <cellStyle name="40% - Акцент5 140" xfId="8035"/>
    <cellStyle name="40% - Акцент5 140 2" xfId="8036"/>
    <cellStyle name="40% - Акцент5 141" xfId="8037"/>
    <cellStyle name="40% - Акцент5 141 2" xfId="8038"/>
    <cellStyle name="40% - Акцент5 142" xfId="8039"/>
    <cellStyle name="40% - Акцент5 142 2" xfId="8040"/>
    <cellStyle name="40% - Акцент5 143" xfId="8041"/>
    <cellStyle name="40% - Акцент5 143 2" xfId="8042"/>
    <cellStyle name="40% - Акцент5 144" xfId="8043"/>
    <cellStyle name="40% - Акцент5 144 2" xfId="8044"/>
    <cellStyle name="40% - Акцент5 145" xfId="8045"/>
    <cellStyle name="40% - Акцент5 145 2" xfId="8046"/>
    <cellStyle name="40% - Акцент5 146" xfId="8047"/>
    <cellStyle name="40% - Акцент5 146 2" xfId="8048"/>
    <cellStyle name="40% - Акцент5 147" xfId="8049"/>
    <cellStyle name="40% - Акцент5 147 2" xfId="8050"/>
    <cellStyle name="40% - Акцент5 148" xfId="8051"/>
    <cellStyle name="40% - Акцент5 148 2" xfId="8052"/>
    <cellStyle name="40% - Акцент5 149" xfId="8053"/>
    <cellStyle name="40% - Акцент5 149 2" xfId="8054"/>
    <cellStyle name="40% - Акцент5 15" xfId="8055"/>
    <cellStyle name="40% - Акцент5 150" xfId="8056"/>
    <cellStyle name="40% - Акцент5 150 2" xfId="8057"/>
    <cellStyle name="40% - Акцент5 151" xfId="8058"/>
    <cellStyle name="40% - Акцент5 151 2" xfId="8059"/>
    <cellStyle name="40% - Акцент5 152" xfId="8060"/>
    <cellStyle name="40% - Акцент5 152 2" xfId="8061"/>
    <cellStyle name="40% - Акцент5 153" xfId="8062"/>
    <cellStyle name="40% - Акцент5 153 2" xfId="8063"/>
    <cellStyle name="40% - Акцент5 154" xfId="8064"/>
    <cellStyle name="40% - Акцент5 154 2" xfId="8065"/>
    <cellStyle name="40% - Акцент5 155" xfId="8066"/>
    <cellStyle name="40% - Акцент5 155 2" xfId="8067"/>
    <cellStyle name="40% - Акцент5 156" xfId="8068"/>
    <cellStyle name="40% - Акцент5 156 2" xfId="8069"/>
    <cellStyle name="40% - Акцент5 157" xfId="8070"/>
    <cellStyle name="40% - Акцент5 157 2" xfId="8071"/>
    <cellStyle name="40% - Акцент5 158" xfId="8072"/>
    <cellStyle name="40% - Акцент5 158 2" xfId="8073"/>
    <cellStyle name="40% - Акцент5 159" xfId="8074"/>
    <cellStyle name="40% - Акцент5 159 2" xfId="8075"/>
    <cellStyle name="40% - Акцент5 16" xfId="8076"/>
    <cellStyle name="40% - Акцент5 160" xfId="8077"/>
    <cellStyle name="40% - Акцент5 160 2" xfId="8078"/>
    <cellStyle name="40% - Акцент5 161" xfId="8079"/>
    <cellStyle name="40% - Акцент5 161 2" xfId="8080"/>
    <cellStyle name="40% - Акцент5 162" xfId="8081"/>
    <cellStyle name="40% - Акцент5 162 2" xfId="8082"/>
    <cellStyle name="40% - Акцент5 163" xfId="8083"/>
    <cellStyle name="40% - Акцент5 163 2" xfId="8084"/>
    <cellStyle name="40% - Акцент5 164" xfId="8085"/>
    <cellStyle name="40% - Акцент5 164 2" xfId="8086"/>
    <cellStyle name="40% - Акцент5 165" xfId="8087"/>
    <cellStyle name="40% - Акцент5 165 2" xfId="8088"/>
    <cellStyle name="40% - Акцент5 166" xfId="8089"/>
    <cellStyle name="40% - Акцент5 166 2" xfId="8090"/>
    <cellStyle name="40% - Акцент5 167" xfId="8091"/>
    <cellStyle name="40% - Акцент5 167 2" xfId="8092"/>
    <cellStyle name="40% - Акцент5 168" xfId="8093"/>
    <cellStyle name="40% - Акцент5 168 2" xfId="8094"/>
    <cellStyle name="40% - Акцент5 169" xfId="8095"/>
    <cellStyle name="40% - Акцент5 169 2" xfId="8096"/>
    <cellStyle name="40% - Акцент5 17" xfId="8097"/>
    <cellStyle name="40% - Акцент5 170" xfId="8098"/>
    <cellStyle name="40% - Акцент5 170 2" xfId="8099"/>
    <cellStyle name="40% - Акцент5 171" xfId="8100"/>
    <cellStyle name="40% - Акцент5 171 2" xfId="8101"/>
    <cellStyle name="40% - Акцент5 172" xfId="8102"/>
    <cellStyle name="40% - Акцент5 172 2" xfId="8103"/>
    <cellStyle name="40% - Акцент5 173" xfId="8104"/>
    <cellStyle name="40% - Акцент5 173 2" xfId="8105"/>
    <cellStyle name="40% - Акцент5 174" xfId="8106"/>
    <cellStyle name="40% - Акцент5 174 2" xfId="8107"/>
    <cellStyle name="40% - Акцент5 175" xfId="8108"/>
    <cellStyle name="40% - Акцент5 175 2" xfId="8109"/>
    <cellStyle name="40% - Акцент5 176" xfId="8110"/>
    <cellStyle name="40% - Акцент5 176 2" xfId="8111"/>
    <cellStyle name="40% - Акцент5 177" xfId="8112"/>
    <cellStyle name="40% - Акцент5 177 2" xfId="8113"/>
    <cellStyle name="40% - Акцент5 178" xfId="8114"/>
    <cellStyle name="40% - Акцент5 178 2" xfId="8115"/>
    <cellStyle name="40% - Акцент5 179" xfId="8116"/>
    <cellStyle name="40% - Акцент5 179 2" xfId="8117"/>
    <cellStyle name="40% - Акцент5 18" xfId="8118"/>
    <cellStyle name="40% - Акцент5 180" xfId="8119"/>
    <cellStyle name="40% - Акцент5 180 2" xfId="8120"/>
    <cellStyle name="40% - Акцент5 181" xfId="8121"/>
    <cellStyle name="40% - Акцент5 181 2" xfId="8122"/>
    <cellStyle name="40% - Акцент5 182" xfId="8123"/>
    <cellStyle name="40% - Акцент5 182 2" xfId="8124"/>
    <cellStyle name="40% - Акцент5 183" xfId="8125"/>
    <cellStyle name="40% - Акцент5 183 2" xfId="8126"/>
    <cellStyle name="40% - Акцент5 184" xfId="8127"/>
    <cellStyle name="40% - Акцент5 184 2" xfId="8128"/>
    <cellStyle name="40% - Акцент5 185" xfId="8129"/>
    <cellStyle name="40% - Акцент5 185 2" xfId="8130"/>
    <cellStyle name="40% - Акцент5 186" xfId="8131"/>
    <cellStyle name="40% - Акцент5 186 2" xfId="8132"/>
    <cellStyle name="40% - Акцент5 187" xfId="8133"/>
    <cellStyle name="40% - Акцент5 187 2" xfId="8134"/>
    <cellStyle name="40% - Акцент5 188" xfId="8135"/>
    <cellStyle name="40% - Акцент5 188 2" xfId="8136"/>
    <cellStyle name="40% - Акцент5 189" xfId="8137"/>
    <cellStyle name="40% - Акцент5 189 2" xfId="8138"/>
    <cellStyle name="40% - Акцент5 19" xfId="8139"/>
    <cellStyle name="40% - Акцент5 190" xfId="8140"/>
    <cellStyle name="40% - Акцент5 190 2" xfId="8141"/>
    <cellStyle name="40% - Акцент5 191" xfId="8142"/>
    <cellStyle name="40% - Акцент5 191 2" xfId="8143"/>
    <cellStyle name="40% - Акцент5 192" xfId="8144"/>
    <cellStyle name="40% - Акцент5 192 2" xfId="8145"/>
    <cellStyle name="40% - Акцент5 193" xfId="8146"/>
    <cellStyle name="40% - Акцент5 193 2" xfId="8147"/>
    <cellStyle name="40% - Акцент5 194" xfId="8148"/>
    <cellStyle name="40% - Акцент5 194 2" xfId="8149"/>
    <cellStyle name="40% - Акцент5 195" xfId="8150"/>
    <cellStyle name="40% - Акцент5 195 2" xfId="8151"/>
    <cellStyle name="40% - Акцент5 196" xfId="8152"/>
    <cellStyle name="40% - Акцент5 196 2" xfId="8153"/>
    <cellStyle name="40% - Акцент5 197" xfId="8154"/>
    <cellStyle name="40% - Акцент5 197 2" xfId="8155"/>
    <cellStyle name="40% - Акцент5 198" xfId="8156"/>
    <cellStyle name="40% - Акцент5 198 2" xfId="8157"/>
    <cellStyle name="40% - Акцент5 199" xfId="8158"/>
    <cellStyle name="40% - Акцент5 199 2" xfId="8159"/>
    <cellStyle name="40% - Акцент5 2" xfId="8160"/>
    <cellStyle name="40% - Акцент5 2 2" xfId="8161"/>
    <cellStyle name="40% - Акцент5 2 2 2" xfId="8162"/>
    <cellStyle name="40% - Акцент5 2 3" xfId="8163"/>
    <cellStyle name="40% - Акцент5 2 4" xfId="8164"/>
    <cellStyle name="40% - Акцент5 2 5" xfId="8165"/>
    <cellStyle name="40% - Акцент5 2 6" xfId="8166"/>
    <cellStyle name="40% - Акцент5 2 7" xfId="8167"/>
    <cellStyle name="40% - Акцент5 20" xfId="8168"/>
    <cellStyle name="40% - Акцент5 20 2" xfId="8169"/>
    <cellStyle name="40% - Акцент5 200" xfId="8170"/>
    <cellStyle name="40% - Акцент5 200 2" xfId="8171"/>
    <cellStyle name="40% - Акцент5 201" xfId="8172"/>
    <cellStyle name="40% - Акцент5 201 2" xfId="8173"/>
    <cellStyle name="40% - Акцент5 202" xfId="8174"/>
    <cellStyle name="40% - Акцент5 202 2" xfId="8175"/>
    <cellStyle name="40% - Акцент5 203" xfId="8176"/>
    <cellStyle name="40% - Акцент5 203 2" xfId="8177"/>
    <cellStyle name="40% - Акцент5 204" xfId="8178"/>
    <cellStyle name="40% - Акцент5 204 2" xfId="8179"/>
    <cellStyle name="40% - Акцент5 205" xfId="8180"/>
    <cellStyle name="40% - Акцент5 205 2" xfId="8181"/>
    <cellStyle name="40% - Акцент5 206" xfId="8182"/>
    <cellStyle name="40% - Акцент5 206 2" xfId="8183"/>
    <cellStyle name="40% - Акцент5 207" xfId="8184"/>
    <cellStyle name="40% - Акцент5 207 2" xfId="8185"/>
    <cellStyle name="40% - Акцент5 208" xfId="8186"/>
    <cellStyle name="40% - Акцент5 208 2" xfId="8187"/>
    <cellStyle name="40% - Акцент5 209" xfId="8188"/>
    <cellStyle name="40% - Акцент5 209 2" xfId="8189"/>
    <cellStyle name="40% - Акцент5 21" xfId="8190"/>
    <cellStyle name="40% - Акцент5 21 2" xfId="8191"/>
    <cellStyle name="40% - Акцент5 210" xfId="8192"/>
    <cellStyle name="40% - Акцент5 210 2" xfId="8193"/>
    <cellStyle name="40% - Акцент5 211" xfId="8194"/>
    <cellStyle name="40% - Акцент5 211 2" xfId="8195"/>
    <cellStyle name="40% - Акцент5 212" xfId="8196"/>
    <cellStyle name="40% - Акцент5 212 2" xfId="8197"/>
    <cellStyle name="40% - Акцент5 213" xfId="8198"/>
    <cellStyle name="40% - Акцент5 213 2" xfId="8199"/>
    <cellStyle name="40% - Акцент5 214" xfId="8200"/>
    <cellStyle name="40% - Акцент5 214 2" xfId="8201"/>
    <cellStyle name="40% - Акцент5 215" xfId="8202"/>
    <cellStyle name="40% - Акцент5 215 2" xfId="8203"/>
    <cellStyle name="40% - Акцент5 216" xfId="8204"/>
    <cellStyle name="40% - Акцент5 216 2" xfId="8205"/>
    <cellStyle name="40% - Акцент5 217" xfId="8206"/>
    <cellStyle name="40% - Акцент5 217 2" xfId="8207"/>
    <cellStyle name="40% - Акцент5 217 3" xfId="8208"/>
    <cellStyle name="40% - Акцент5 218" xfId="8209"/>
    <cellStyle name="40% - Акцент5 219" xfId="8210"/>
    <cellStyle name="40% - Акцент5 22" xfId="8211"/>
    <cellStyle name="40% - Акцент5 22 2" xfId="8212"/>
    <cellStyle name="40% - Акцент5 220" xfId="8213"/>
    <cellStyle name="40% - Акцент5 221" xfId="8214"/>
    <cellStyle name="40% - Акцент5 222" xfId="8215"/>
    <cellStyle name="40% - Акцент5 223" xfId="8216"/>
    <cellStyle name="40% - Акцент5 224" xfId="8217"/>
    <cellStyle name="40% - Акцент5 225" xfId="8218"/>
    <cellStyle name="40% - Акцент5 226" xfId="8219"/>
    <cellStyle name="40% - Акцент5 227" xfId="8220"/>
    <cellStyle name="40% - Акцент5 228" xfId="8221"/>
    <cellStyle name="40% - Акцент5 229" xfId="8222"/>
    <cellStyle name="40% - Акцент5 23" xfId="8223"/>
    <cellStyle name="40% - Акцент5 23 2" xfId="8224"/>
    <cellStyle name="40% - Акцент5 230" xfId="8225"/>
    <cellStyle name="40% - Акцент5 231" xfId="8226"/>
    <cellStyle name="40% - Акцент5 232" xfId="8227"/>
    <cellStyle name="40% - Акцент5 233" xfId="8228"/>
    <cellStyle name="40% - Акцент5 234" xfId="8229"/>
    <cellStyle name="40% - Акцент5 235" xfId="8230"/>
    <cellStyle name="40% - Акцент5 236" xfId="8231"/>
    <cellStyle name="40% - Акцент5 237" xfId="8232"/>
    <cellStyle name="40% - Акцент5 238" xfId="8233"/>
    <cellStyle name="40% - Акцент5 239" xfId="8234"/>
    <cellStyle name="40% - Акцент5 24" xfId="8235"/>
    <cellStyle name="40% - Акцент5 24 2" xfId="8236"/>
    <cellStyle name="40% - Акцент5 240" xfId="8237"/>
    <cellStyle name="40% - Акцент5 241" xfId="8238"/>
    <cellStyle name="40% - Акцент5 242" xfId="8239"/>
    <cellStyle name="40% - Акцент5 243" xfId="8240"/>
    <cellStyle name="40% - Акцент5 244" xfId="8241"/>
    <cellStyle name="40% - Акцент5 245" xfId="8242"/>
    <cellStyle name="40% - Акцент5 246" xfId="8243"/>
    <cellStyle name="40% - Акцент5 247" xfId="8244"/>
    <cellStyle name="40% - Акцент5 248" xfId="8245"/>
    <cellStyle name="40% - Акцент5 249" xfId="8246"/>
    <cellStyle name="40% - Акцент5 25" xfId="8247"/>
    <cellStyle name="40% - Акцент5 25 2" xfId="8248"/>
    <cellStyle name="40% - Акцент5 250" xfId="8249"/>
    <cellStyle name="40% - Акцент5 251" xfId="8250"/>
    <cellStyle name="40% - Акцент5 252" xfId="8251"/>
    <cellStyle name="40% - Акцент5 253" xfId="8252"/>
    <cellStyle name="40% - Акцент5 254" xfId="8253"/>
    <cellStyle name="40% - Акцент5 255" xfId="8254"/>
    <cellStyle name="40% - Акцент5 26" xfId="8255"/>
    <cellStyle name="40% - Акцент5 26 2" xfId="8256"/>
    <cellStyle name="40% - Акцент5 27" xfId="8257"/>
    <cellStyle name="40% - Акцент5 27 2" xfId="8258"/>
    <cellStyle name="40% - Акцент5 28" xfId="8259"/>
    <cellStyle name="40% - Акцент5 28 2" xfId="8260"/>
    <cellStyle name="40% - Акцент5 29" xfId="8261"/>
    <cellStyle name="40% - Акцент5 29 2" xfId="8262"/>
    <cellStyle name="40% - Акцент5 3" xfId="8263"/>
    <cellStyle name="40% - Акцент5 30" xfId="8264"/>
    <cellStyle name="40% - Акцент5 30 2" xfId="8265"/>
    <cellStyle name="40% - Акцент5 31" xfId="8266"/>
    <cellStyle name="40% - Акцент5 31 2" xfId="8267"/>
    <cellStyle name="40% - Акцент5 32" xfId="8268"/>
    <cellStyle name="40% - Акцент5 32 2" xfId="8269"/>
    <cellStyle name="40% - Акцент5 33" xfId="8270"/>
    <cellStyle name="40% - Акцент5 33 2" xfId="8271"/>
    <cellStyle name="40% - Акцент5 34" xfId="8272"/>
    <cellStyle name="40% - Акцент5 34 2" xfId="8273"/>
    <cellStyle name="40% - Акцент5 35" xfId="8274"/>
    <cellStyle name="40% - Акцент5 35 2" xfId="8275"/>
    <cellStyle name="40% - Акцент5 36" xfId="8276"/>
    <cellStyle name="40% - Акцент5 36 2" xfId="8277"/>
    <cellStyle name="40% - Акцент5 37" xfId="8278"/>
    <cellStyle name="40% - Акцент5 37 2" xfId="8279"/>
    <cellStyle name="40% - Акцент5 38" xfId="8280"/>
    <cellStyle name="40% - Акцент5 38 2" xfId="8281"/>
    <cellStyle name="40% - Акцент5 39" xfId="8282"/>
    <cellStyle name="40% - Акцент5 39 2" xfId="8283"/>
    <cellStyle name="40% - Акцент5 4" xfId="8284"/>
    <cellStyle name="40% - Акцент5 40" xfId="8285"/>
    <cellStyle name="40% - Акцент5 40 2" xfId="8286"/>
    <cellStyle name="40% - Акцент5 41" xfId="8287"/>
    <cellStyle name="40% - Акцент5 41 2" xfId="8288"/>
    <cellStyle name="40% - Акцент5 42" xfId="8289"/>
    <cellStyle name="40% - Акцент5 42 2" xfId="8290"/>
    <cellStyle name="40% - Акцент5 43" xfId="8291"/>
    <cellStyle name="40% - Акцент5 43 2" xfId="8292"/>
    <cellStyle name="40% - Акцент5 44" xfId="8293"/>
    <cellStyle name="40% - Акцент5 44 2" xfId="8294"/>
    <cellStyle name="40% - Акцент5 45" xfId="8295"/>
    <cellStyle name="40% - Акцент5 45 2" xfId="8296"/>
    <cellStyle name="40% - Акцент5 46" xfId="8297"/>
    <cellStyle name="40% - Акцент5 46 2" xfId="8298"/>
    <cellStyle name="40% - Акцент5 47" xfId="8299"/>
    <cellStyle name="40% - Акцент5 47 2" xfId="8300"/>
    <cellStyle name="40% - Акцент5 48" xfId="8301"/>
    <cellStyle name="40% - Акцент5 48 2" xfId="8302"/>
    <cellStyle name="40% - Акцент5 49" xfId="8303"/>
    <cellStyle name="40% - Акцент5 49 2" xfId="8304"/>
    <cellStyle name="40% - Акцент5 5" xfId="8305"/>
    <cellStyle name="40% - Акцент5 50" xfId="8306"/>
    <cellStyle name="40% - Акцент5 50 2" xfId="8307"/>
    <cellStyle name="40% - Акцент5 51" xfId="8308"/>
    <cellStyle name="40% - Акцент5 51 2" xfId="8309"/>
    <cellStyle name="40% - Акцент5 52" xfId="8310"/>
    <cellStyle name="40% - Акцент5 52 2" xfId="8311"/>
    <cellStyle name="40% - Акцент5 53" xfId="8312"/>
    <cellStyle name="40% - Акцент5 53 2" xfId="8313"/>
    <cellStyle name="40% - Акцент5 54" xfId="8314"/>
    <cellStyle name="40% - Акцент5 54 2" xfId="8315"/>
    <cellStyle name="40% - Акцент5 55" xfId="8316"/>
    <cellStyle name="40% - Акцент5 55 2" xfId="8317"/>
    <cellStyle name="40% - Акцент5 56" xfId="8318"/>
    <cellStyle name="40% - Акцент5 56 2" xfId="8319"/>
    <cellStyle name="40% - Акцент5 57" xfId="8320"/>
    <cellStyle name="40% - Акцент5 57 2" xfId="8321"/>
    <cellStyle name="40% - Акцент5 58" xfId="8322"/>
    <cellStyle name="40% - Акцент5 58 2" xfId="8323"/>
    <cellStyle name="40% - Акцент5 59" xfId="8324"/>
    <cellStyle name="40% - Акцент5 59 2" xfId="8325"/>
    <cellStyle name="40% - Акцент5 6" xfId="8326"/>
    <cellStyle name="40% - Акцент5 60" xfId="8327"/>
    <cellStyle name="40% - Акцент5 60 2" xfId="8328"/>
    <cellStyle name="40% - Акцент5 61" xfId="8329"/>
    <cellStyle name="40% - Акцент5 61 2" xfId="8330"/>
    <cellStyle name="40% - Акцент5 62" xfId="8331"/>
    <cellStyle name="40% - Акцент5 62 2" xfId="8332"/>
    <cellStyle name="40% - Акцент5 63" xfId="8333"/>
    <cellStyle name="40% - Акцент5 63 2" xfId="8334"/>
    <cellStyle name="40% - Акцент5 64" xfId="8335"/>
    <cellStyle name="40% - Акцент5 64 2" xfId="8336"/>
    <cellStyle name="40% - Акцент5 65" xfId="8337"/>
    <cellStyle name="40% - Акцент5 65 2" xfId="8338"/>
    <cellStyle name="40% - Акцент5 66" xfId="8339"/>
    <cellStyle name="40% - Акцент5 66 2" xfId="8340"/>
    <cellStyle name="40% - Акцент5 67" xfId="8341"/>
    <cellStyle name="40% - Акцент5 67 2" xfId="8342"/>
    <cellStyle name="40% - Акцент5 68" xfId="8343"/>
    <cellStyle name="40% - Акцент5 68 2" xfId="8344"/>
    <cellStyle name="40% - Акцент5 69" xfId="8345"/>
    <cellStyle name="40% - Акцент5 69 2" xfId="8346"/>
    <cellStyle name="40% - Акцент5 7" xfId="8347"/>
    <cellStyle name="40% - Акцент5 70" xfId="8348"/>
    <cellStyle name="40% - Акцент5 70 2" xfId="8349"/>
    <cellStyle name="40% - Акцент5 71" xfId="8350"/>
    <cellStyle name="40% - Акцент5 71 2" xfId="8351"/>
    <cellStyle name="40% - Акцент5 72" xfId="8352"/>
    <cellStyle name="40% - Акцент5 72 2" xfId="8353"/>
    <cellStyle name="40% - Акцент5 73" xfId="8354"/>
    <cellStyle name="40% - Акцент5 73 2" xfId="8355"/>
    <cellStyle name="40% - Акцент5 74" xfId="8356"/>
    <cellStyle name="40% - Акцент5 74 2" xfId="8357"/>
    <cellStyle name="40% - Акцент5 75" xfId="8358"/>
    <cellStyle name="40% - Акцент5 75 2" xfId="8359"/>
    <cellStyle name="40% - Акцент5 76" xfId="8360"/>
    <cellStyle name="40% - Акцент5 76 2" xfId="8361"/>
    <cellStyle name="40% - Акцент5 77" xfId="8362"/>
    <cellStyle name="40% - Акцент5 77 2" xfId="8363"/>
    <cellStyle name="40% - Акцент5 78" xfId="8364"/>
    <cellStyle name="40% - Акцент5 78 2" xfId="8365"/>
    <cellStyle name="40% - Акцент5 79" xfId="8366"/>
    <cellStyle name="40% - Акцент5 79 2" xfId="8367"/>
    <cellStyle name="40% - Акцент5 8" xfId="8368"/>
    <cellStyle name="40% - Акцент5 80" xfId="8369"/>
    <cellStyle name="40% - Акцент5 80 2" xfId="8370"/>
    <cellStyle name="40% - Акцент5 81" xfId="8371"/>
    <cellStyle name="40% - Акцент5 81 2" xfId="8372"/>
    <cellStyle name="40% - Акцент5 82" xfId="8373"/>
    <cellStyle name="40% - Акцент5 82 2" xfId="8374"/>
    <cellStyle name="40% - Акцент5 83" xfId="8375"/>
    <cellStyle name="40% - Акцент5 83 2" xfId="8376"/>
    <cellStyle name="40% - Акцент5 84" xfId="8377"/>
    <cellStyle name="40% - Акцент5 84 2" xfId="8378"/>
    <cellStyle name="40% - Акцент5 85" xfId="8379"/>
    <cellStyle name="40% - Акцент5 85 2" xfId="8380"/>
    <cellStyle name="40% - Акцент5 86" xfId="8381"/>
    <cellStyle name="40% - Акцент5 86 2" xfId="8382"/>
    <cellStyle name="40% - Акцент5 87" xfId="8383"/>
    <cellStyle name="40% - Акцент5 87 2" xfId="8384"/>
    <cellStyle name="40% - Акцент5 88" xfId="8385"/>
    <cellStyle name="40% - Акцент5 88 2" xfId="8386"/>
    <cellStyle name="40% - Акцент5 89" xfId="8387"/>
    <cellStyle name="40% - Акцент5 89 2" xfId="8388"/>
    <cellStyle name="40% - Акцент5 9" xfId="8389"/>
    <cellStyle name="40% - Акцент5 90" xfId="8390"/>
    <cellStyle name="40% - Акцент5 90 2" xfId="8391"/>
    <cellStyle name="40% - Акцент5 91" xfId="8392"/>
    <cellStyle name="40% - Акцент5 91 2" xfId="8393"/>
    <cellStyle name="40% - Акцент5 92" xfId="8394"/>
    <cellStyle name="40% - Акцент5 92 2" xfId="8395"/>
    <cellStyle name="40% - Акцент5 93" xfId="8396"/>
    <cellStyle name="40% - Акцент5 93 2" xfId="8397"/>
    <cellStyle name="40% - Акцент5 94" xfId="8398"/>
    <cellStyle name="40% - Акцент5 94 2" xfId="8399"/>
    <cellStyle name="40% - Акцент5 95" xfId="8400"/>
    <cellStyle name="40% - Акцент5 95 2" xfId="8401"/>
    <cellStyle name="40% - Акцент5 96" xfId="8402"/>
    <cellStyle name="40% - Акцент5 96 2" xfId="8403"/>
    <cellStyle name="40% - Акцент5 97" xfId="8404"/>
    <cellStyle name="40% - Акцент5 97 2" xfId="8405"/>
    <cellStyle name="40% - Акцент5 98" xfId="8406"/>
    <cellStyle name="40% - Акцент5 98 2" xfId="8407"/>
    <cellStyle name="40% - Акцент5 99" xfId="8408"/>
    <cellStyle name="40% - Акцент5 99 2" xfId="8409"/>
    <cellStyle name="40% - Акцент6 10" xfId="8410"/>
    <cellStyle name="40% - Акцент6 100" xfId="8411"/>
    <cellStyle name="40% - Акцент6 100 2" xfId="8412"/>
    <cellStyle name="40% - Акцент6 101" xfId="8413"/>
    <cellStyle name="40% - Акцент6 101 2" xfId="8414"/>
    <cellStyle name="40% - Акцент6 102" xfId="8415"/>
    <cellStyle name="40% - Акцент6 102 2" xfId="8416"/>
    <cellStyle name="40% - Акцент6 103" xfId="8417"/>
    <cellStyle name="40% - Акцент6 103 2" xfId="8418"/>
    <cellStyle name="40% - Акцент6 104" xfId="8419"/>
    <cellStyle name="40% - Акцент6 104 2" xfId="8420"/>
    <cellStyle name="40% - Акцент6 105" xfId="8421"/>
    <cellStyle name="40% - Акцент6 105 2" xfId="8422"/>
    <cellStyle name="40% - Акцент6 106" xfId="8423"/>
    <cellStyle name="40% - Акцент6 106 2" xfId="8424"/>
    <cellStyle name="40% - Акцент6 107" xfId="8425"/>
    <cellStyle name="40% - Акцент6 107 2" xfId="8426"/>
    <cellStyle name="40% - Акцент6 108" xfId="8427"/>
    <cellStyle name="40% - Акцент6 108 2" xfId="8428"/>
    <cellStyle name="40% - Акцент6 109" xfId="8429"/>
    <cellStyle name="40% - Акцент6 109 2" xfId="8430"/>
    <cellStyle name="40% - Акцент6 11" xfId="8431"/>
    <cellStyle name="40% - Акцент6 110" xfId="8432"/>
    <cellStyle name="40% - Акцент6 110 2" xfId="8433"/>
    <cellStyle name="40% - Акцент6 111" xfId="8434"/>
    <cellStyle name="40% - Акцент6 111 2" xfId="8435"/>
    <cellStyle name="40% - Акцент6 112" xfId="8436"/>
    <cellStyle name="40% - Акцент6 112 2" xfId="8437"/>
    <cellStyle name="40% - Акцент6 113" xfId="8438"/>
    <cellStyle name="40% - Акцент6 113 2" xfId="8439"/>
    <cellStyle name="40% - Акцент6 114" xfId="8440"/>
    <cellStyle name="40% - Акцент6 114 2" xfId="8441"/>
    <cellStyle name="40% - Акцент6 115" xfId="8442"/>
    <cellStyle name="40% - Акцент6 115 2" xfId="8443"/>
    <cellStyle name="40% - Акцент6 116" xfId="8444"/>
    <cellStyle name="40% - Акцент6 116 2" xfId="8445"/>
    <cellStyle name="40% - Акцент6 117" xfId="8446"/>
    <cellStyle name="40% - Акцент6 117 2" xfId="8447"/>
    <cellStyle name="40% - Акцент6 118" xfId="8448"/>
    <cellStyle name="40% - Акцент6 118 2" xfId="8449"/>
    <cellStyle name="40% - Акцент6 119" xfId="8450"/>
    <cellStyle name="40% - Акцент6 119 2" xfId="8451"/>
    <cellStyle name="40% - Акцент6 12" xfId="8452"/>
    <cellStyle name="40% - Акцент6 120" xfId="8453"/>
    <cellStyle name="40% - Акцент6 120 2" xfId="8454"/>
    <cellStyle name="40% - Акцент6 121" xfId="8455"/>
    <cellStyle name="40% - Акцент6 121 2" xfId="8456"/>
    <cellStyle name="40% - Акцент6 122" xfId="8457"/>
    <cellStyle name="40% - Акцент6 122 2" xfId="8458"/>
    <cellStyle name="40% - Акцент6 123" xfId="8459"/>
    <cellStyle name="40% - Акцент6 123 2" xfId="8460"/>
    <cellStyle name="40% - Акцент6 124" xfId="8461"/>
    <cellStyle name="40% - Акцент6 124 2" xfId="8462"/>
    <cellStyle name="40% - Акцент6 125" xfId="8463"/>
    <cellStyle name="40% - Акцент6 125 2" xfId="8464"/>
    <cellStyle name="40% - Акцент6 126" xfId="8465"/>
    <cellStyle name="40% - Акцент6 126 2" xfId="8466"/>
    <cellStyle name="40% - Акцент6 127" xfId="8467"/>
    <cellStyle name="40% - Акцент6 127 2" xfId="8468"/>
    <cellStyle name="40% - Акцент6 128" xfId="8469"/>
    <cellStyle name="40% - Акцент6 128 2" xfId="8470"/>
    <cellStyle name="40% - Акцент6 129" xfId="8471"/>
    <cellStyle name="40% - Акцент6 129 2" xfId="8472"/>
    <cellStyle name="40% - Акцент6 13" xfId="8473"/>
    <cellStyle name="40% - Акцент6 130" xfId="8474"/>
    <cellStyle name="40% - Акцент6 130 2" xfId="8475"/>
    <cellStyle name="40% - Акцент6 131" xfId="8476"/>
    <cellStyle name="40% - Акцент6 131 2" xfId="8477"/>
    <cellStyle name="40% - Акцент6 132" xfId="8478"/>
    <cellStyle name="40% - Акцент6 132 2" xfId="8479"/>
    <cellStyle name="40% - Акцент6 133" xfId="8480"/>
    <cellStyle name="40% - Акцент6 133 2" xfId="8481"/>
    <cellStyle name="40% - Акцент6 134" xfId="8482"/>
    <cellStyle name="40% - Акцент6 134 2" xfId="8483"/>
    <cellStyle name="40% - Акцент6 135" xfId="8484"/>
    <cellStyle name="40% - Акцент6 135 2" xfId="8485"/>
    <cellStyle name="40% - Акцент6 136" xfId="8486"/>
    <cellStyle name="40% - Акцент6 136 2" xfId="8487"/>
    <cellStyle name="40% - Акцент6 137" xfId="8488"/>
    <cellStyle name="40% - Акцент6 137 2" xfId="8489"/>
    <cellStyle name="40% - Акцент6 138" xfId="8490"/>
    <cellStyle name="40% - Акцент6 138 2" xfId="8491"/>
    <cellStyle name="40% - Акцент6 139" xfId="8492"/>
    <cellStyle name="40% - Акцент6 139 2" xfId="8493"/>
    <cellStyle name="40% - Акцент6 14" xfId="8494"/>
    <cellStyle name="40% - Акцент6 140" xfId="8495"/>
    <cellStyle name="40% - Акцент6 140 2" xfId="8496"/>
    <cellStyle name="40% - Акцент6 141" xfId="8497"/>
    <cellStyle name="40% - Акцент6 141 2" xfId="8498"/>
    <cellStyle name="40% - Акцент6 142" xfId="8499"/>
    <cellStyle name="40% - Акцент6 142 2" xfId="8500"/>
    <cellStyle name="40% - Акцент6 143" xfId="8501"/>
    <cellStyle name="40% - Акцент6 143 2" xfId="8502"/>
    <cellStyle name="40% - Акцент6 144" xfId="8503"/>
    <cellStyle name="40% - Акцент6 144 2" xfId="8504"/>
    <cellStyle name="40% - Акцент6 145" xfId="8505"/>
    <cellStyle name="40% - Акцент6 145 2" xfId="8506"/>
    <cellStyle name="40% - Акцент6 146" xfId="8507"/>
    <cellStyle name="40% - Акцент6 146 2" xfId="8508"/>
    <cellStyle name="40% - Акцент6 147" xfId="8509"/>
    <cellStyle name="40% - Акцент6 147 2" xfId="8510"/>
    <cellStyle name="40% - Акцент6 148" xfId="8511"/>
    <cellStyle name="40% - Акцент6 148 2" xfId="8512"/>
    <cellStyle name="40% - Акцент6 149" xfId="8513"/>
    <cellStyle name="40% - Акцент6 149 2" xfId="8514"/>
    <cellStyle name="40% - Акцент6 15" xfId="8515"/>
    <cellStyle name="40% - Акцент6 150" xfId="8516"/>
    <cellStyle name="40% - Акцент6 150 2" xfId="8517"/>
    <cellStyle name="40% - Акцент6 151" xfId="8518"/>
    <cellStyle name="40% - Акцент6 151 2" xfId="8519"/>
    <cellStyle name="40% - Акцент6 152" xfId="8520"/>
    <cellStyle name="40% - Акцент6 152 2" xfId="8521"/>
    <cellStyle name="40% - Акцент6 153" xfId="8522"/>
    <cellStyle name="40% - Акцент6 153 2" xfId="8523"/>
    <cellStyle name="40% - Акцент6 154" xfId="8524"/>
    <cellStyle name="40% - Акцент6 154 2" xfId="8525"/>
    <cellStyle name="40% - Акцент6 155" xfId="8526"/>
    <cellStyle name="40% - Акцент6 155 2" xfId="8527"/>
    <cellStyle name="40% - Акцент6 156" xfId="8528"/>
    <cellStyle name="40% - Акцент6 156 2" xfId="8529"/>
    <cellStyle name="40% - Акцент6 157" xfId="8530"/>
    <cellStyle name="40% - Акцент6 157 2" xfId="8531"/>
    <cellStyle name="40% - Акцент6 158" xfId="8532"/>
    <cellStyle name="40% - Акцент6 158 2" xfId="8533"/>
    <cellStyle name="40% - Акцент6 159" xfId="8534"/>
    <cellStyle name="40% - Акцент6 159 2" xfId="8535"/>
    <cellStyle name="40% - Акцент6 16" xfId="8536"/>
    <cellStyle name="40% - Акцент6 160" xfId="8537"/>
    <cellStyle name="40% - Акцент6 160 2" xfId="8538"/>
    <cellStyle name="40% - Акцент6 161" xfId="8539"/>
    <cellStyle name="40% - Акцент6 161 2" xfId="8540"/>
    <cellStyle name="40% - Акцент6 162" xfId="8541"/>
    <cellStyle name="40% - Акцент6 162 2" xfId="8542"/>
    <cellStyle name="40% - Акцент6 163" xfId="8543"/>
    <cellStyle name="40% - Акцент6 163 2" xfId="8544"/>
    <cellStyle name="40% - Акцент6 164" xfId="8545"/>
    <cellStyle name="40% - Акцент6 164 2" xfId="8546"/>
    <cellStyle name="40% - Акцент6 165" xfId="8547"/>
    <cellStyle name="40% - Акцент6 165 2" xfId="8548"/>
    <cellStyle name="40% - Акцент6 166" xfId="8549"/>
    <cellStyle name="40% - Акцент6 166 2" xfId="8550"/>
    <cellStyle name="40% - Акцент6 167" xfId="8551"/>
    <cellStyle name="40% - Акцент6 167 2" xfId="8552"/>
    <cellStyle name="40% - Акцент6 168" xfId="8553"/>
    <cellStyle name="40% - Акцент6 168 2" xfId="8554"/>
    <cellStyle name="40% - Акцент6 169" xfId="8555"/>
    <cellStyle name="40% - Акцент6 169 2" xfId="8556"/>
    <cellStyle name="40% - Акцент6 17" xfId="8557"/>
    <cellStyle name="40% - Акцент6 170" xfId="8558"/>
    <cellStyle name="40% - Акцент6 170 2" xfId="8559"/>
    <cellStyle name="40% - Акцент6 171" xfId="8560"/>
    <cellStyle name="40% - Акцент6 171 2" xfId="8561"/>
    <cellStyle name="40% - Акцент6 172" xfId="8562"/>
    <cellStyle name="40% - Акцент6 172 2" xfId="8563"/>
    <cellStyle name="40% - Акцент6 173" xfId="8564"/>
    <cellStyle name="40% - Акцент6 173 2" xfId="8565"/>
    <cellStyle name="40% - Акцент6 174" xfId="8566"/>
    <cellStyle name="40% - Акцент6 174 2" xfId="8567"/>
    <cellStyle name="40% - Акцент6 175" xfId="8568"/>
    <cellStyle name="40% - Акцент6 175 2" xfId="8569"/>
    <cellStyle name="40% - Акцент6 176" xfId="8570"/>
    <cellStyle name="40% - Акцент6 176 2" xfId="8571"/>
    <cellStyle name="40% - Акцент6 177" xfId="8572"/>
    <cellStyle name="40% - Акцент6 177 2" xfId="8573"/>
    <cellStyle name="40% - Акцент6 178" xfId="8574"/>
    <cellStyle name="40% - Акцент6 178 2" xfId="8575"/>
    <cellStyle name="40% - Акцент6 179" xfId="8576"/>
    <cellStyle name="40% - Акцент6 179 2" xfId="8577"/>
    <cellStyle name="40% - Акцент6 18" xfId="8578"/>
    <cellStyle name="40% - Акцент6 180" xfId="8579"/>
    <cellStyle name="40% - Акцент6 180 2" xfId="8580"/>
    <cellStyle name="40% - Акцент6 181" xfId="8581"/>
    <cellStyle name="40% - Акцент6 181 2" xfId="8582"/>
    <cellStyle name="40% - Акцент6 182" xfId="8583"/>
    <cellStyle name="40% - Акцент6 182 2" xfId="8584"/>
    <cellStyle name="40% - Акцент6 183" xfId="8585"/>
    <cellStyle name="40% - Акцент6 183 2" xfId="8586"/>
    <cellStyle name="40% - Акцент6 184" xfId="8587"/>
    <cellStyle name="40% - Акцент6 184 2" xfId="8588"/>
    <cellStyle name="40% - Акцент6 185" xfId="8589"/>
    <cellStyle name="40% - Акцент6 185 2" xfId="8590"/>
    <cellStyle name="40% - Акцент6 186" xfId="8591"/>
    <cellStyle name="40% - Акцент6 186 2" xfId="8592"/>
    <cellStyle name="40% - Акцент6 187" xfId="8593"/>
    <cellStyle name="40% - Акцент6 187 2" xfId="8594"/>
    <cellStyle name="40% - Акцент6 188" xfId="8595"/>
    <cellStyle name="40% - Акцент6 188 2" xfId="8596"/>
    <cellStyle name="40% - Акцент6 189" xfId="8597"/>
    <cellStyle name="40% - Акцент6 189 2" xfId="8598"/>
    <cellStyle name="40% - Акцент6 19" xfId="8599"/>
    <cellStyle name="40% - Акцент6 190" xfId="8600"/>
    <cellStyle name="40% - Акцент6 190 2" xfId="8601"/>
    <cellStyle name="40% - Акцент6 191" xfId="8602"/>
    <cellStyle name="40% - Акцент6 191 2" xfId="8603"/>
    <cellStyle name="40% - Акцент6 192" xfId="8604"/>
    <cellStyle name="40% - Акцент6 192 2" xfId="8605"/>
    <cellStyle name="40% - Акцент6 193" xfId="8606"/>
    <cellStyle name="40% - Акцент6 193 2" xfId="8607"/>
    <cellStyle name="40% - Акцент6 194" xfId="8608"/>
    <cellStyle name="40% - Акцент6 194 2" xfId="8609"/>
    <cellStyle name="40% - Акцент6 195" xfId="8610"/>
    <cellStyle name="40% - Акцент6 195 2" xfId="8611"/>
    <cellStyle name="40% - Акцент6 196" xfId="8612"/>
    <cellStyle name="40% - Акцент6 196 2" xfId="8613"/>
    <cellStyle name="40% - Акцент6 197" xfId="8614"/>
    <cellStyle name="40% - Акцент6 197 2" xfId="8615"/>
    <cellStyle name="40% - Акцент6 198" xfId="8616"/>
    <cellStyle name="40% - Акцент6 198 2" xfId="8617"/>
    <cellStyle name="40% - Акцент6 199" xfId="8618"/>
    <cellStyle name="40% - Акцент6 199 2" xfId="8619"/>
    <cellStyle name="40% - Акцент6 2" xfId="8620"/>
    <cellStyle name="40% - Акцент6 2 2" xfId="8621"/>
    <cellStyle name="40% - Акцент6 2 2 2" xfId="8622"/>
    <cellStyle name="40% - Акцент6 2 3" xfId="8623"/>
    <cellStyle name="40% - Акцент6 2 4" xfId="8624"/>
    <cellStyle name="40% - Акцент6 2 5" xfId="8625"/>
    <cellStyle name="40% - Акцент6 2 6" xfId="8626"/>
    <cellStyle name="40% - Акцент6 2 7" xfId="8627"/>
    <cellStyle name="40% - Акцент6 20" xfId="8628"/>
    <cellStyle name="40% - Акцент6 20 2" xfId="8629"/>
    <cellStyle name="40% - Акцент6 200" xfId="8630"/>
    <cellStyle name="40% - Акцент6 200 2" xfId="8631"/>
    <cellStyle name="40% - Акцент6 201" xfId="8632"/>
    <cellStyle name="40% - Акцент6 201 2" xfId="8633"/>
    <cellStyle name="40% - Акцент6 202" xfId="8634"/>
    <cellStyle name="40% - Акцент6 202 2" xfId="8635"/>
    <cellStyle name="40% - Акцент6 203" xfId="8636"/>
    <cellStyle name="40% - Акцент6 203 2" xfId="8637"/>
    <cellStyle name="40% - Акцент6 204" xfId="8638"/>
    <cellStyle name="40% - Акцент6 204 2" xfId="8639"/>
    <cellStyle name="40% - Акцент6 205" xfId="8640"/>
    <cellStyle name="40% - Акцент6 205 2" xfId="8641"/>
    <cellStyle name="40% - Акцент6 206" xfId="8642"/>
    <cellStyle name="40% - Акцент6 206 2" xfId="8643"/>
    <cellStyle name="40% - Акцент6 207" xfId="8644"/>
    <cellStyle name="40% - Акцент6 207 2" xfId="8645"/>
    <cellStyle name="40% - Акцент6 208" xfId="8646"/>
    <cellStyle name="40% - Акцент6 208 2" xfId="8647"/>
    <cellStyle name="40% - Акцент6 209" xfId="8648"/>
    <cellStyle name="40% - Акцент6 209 2" xfId="8649"/>
    <cellStyle name="40% - Акцент6 21" xfId="8650"/>
    <cellStyle name="40% - Акцент6 21 2" xfId="8651"/>
    <cellStyle name="40% - Акцент6 210" xfId="8652"/>
    <cellStyle name="40% - Акцент6 210 2" xfId="8653"/>
    <cellStyle name="40% - Акцент6 211" xfId="8654"/>
    <cellStyle name="40% - Акцент6 211 2" xfId="8655"/>
    <cellStyle name="40% - Акцент6 212" xfId="8656"/>
    <cellStyle name="40% - Акцент6 212 2" xfId="8657"/>
    <cellStyle name="40% - Акцент6 213" xfId="8658"/>
    <cellStyle name="40% - Акцент6 213 2" xfId="8659"/>
    <cellStyle name="40% - Акцент6 214" xfId="8660"/>
    <cellStyle name="40% - Акцент6 214 2" xfId="8661"/>
    <cellStyle name="40% - Акцент6 215" xfId="8662"/>
    <cellStyle name="40% - Акцент6 215 2" xfId="8663"/>
    <cellStyle name="40% - Акцент6 216" xfId="8664"/>
    <cellStyle name="40% - Акцент6 216 2" xfId="8665"/>
    <cellStyle name="40% - Акцент6 217" xfId="8666"/>
    <cellStyle name="40% - Акцент6 217 2" xfId="8667"/>
    <cellStyle name="40% - Акцент6 217 3" xfId="8668"/>
    <cellStyle name="40% - Акцент6 218" xfId="8669"/>
    <cellStyle name="40% - Акцент6 219" xfId="8670"/>
    <cellStyle name="40% - Акцент6 22" xfId="8671"/>
    <cellStyle name="40% - Акцент6 22 2" xfId="8672"/>
    <cellStyle name="40% - Акцент6 220" xfId="8673"/>
    <cellStyle name="40% - Акцент6 221" xfId="8674"/>
    <cellStyle name="40% - Акцент6 222" xfId="8675"/>
    <cellStyle name="40% - Акцент6 223" xfId="8676"/>
    <cellStyle name="40% - Акцент6 224" xfId="8677"/>
    <cellStyle name="40% - Акцент6 225" xfId="8678"/>
    <cellStyle name="40% - Акцент6 226" xfId="8679"/>
    <cellStyle name="40% - Акцент6 227" xfId="8680"/>
    <cellStyle name="40% - Акцент6 228" xfId="8681"/>
    <cellStyle name="40% - Акцент6 229" xfId="8682"/>
    <cellStyle name="40% - Акцент6 23" xfId="8683"/>
    <cellStyle name="40% - Акцент6 23 2" xfId="8684"/>
    <cellStyle name="40% - Акцент6 230" xfId="8685"/>
    <cellStyle name="40% - Акцент6 231" xfId="8686"/>
    <cellStyle name="40% - Акцент6 232" xfId="8687"/>
    <cellStyle name="40% - Акцент6 233" xfId="8688"/>
    <cellStyle name="40% - Акцент6 234" xfId="8689"/>
    <cellStyle name="40% - Акцент6 235" xfId="8690"/>
    <cellStyle name="40% - Акцент6 236" xfId="8691"/>
    <cellStyle name="40% - Акцент6 237" xfId="8692"/>
    <cellStyle name="40% - Акцент6 238" xfId="8693"/>
    <cellStyle name="40% - Акцент6 239" xfId="8694"/>
    <cellStyle name="40% - Акцент6 24" xfId="8695"/>
    <cellStyle name="40% - Акцент6 24 2" xfId="8696"/>
    <cellStyle name="40% - Акцент6 240" xfId="8697"/>
    <cellStyle name="40% - Акцент6 241" xfId="8698"/>
    <cellStyle name="40% - Акцент6 242" xfId="8699"/>
    <cellStyle name="40% - Акцент6 243" xfId="8700"/>
    <cellStyle name="40% - Акцент6 244" xfId="8701"/>
    <cellStyle name="40% - Акцент6 245" xfId="8702"/>
    <cellStyle name="40% - Акцент6 246" xfId="8703"/>
    <cellStyle name="40% - Акцент6 247" xfId="8704"/>
    <cellStyle name="40% - Акцент6 248" xfId="8705"/>
    <cellStyle name="40% - Акцент6 249" xfId="8706"/>
    <cellStyle name="40% - Акцент6 25" xfId="8707"/>
    <cellStyle name="40% - Акцент6 25 2" xfId="8708"/>
    <cellStyle name="40% - Акцент6 250" xfId="8709"/>
    <cellStyle name="40% - Акцент6 251" xfId="8710"/>
    <cellStyle name="40% - Акцент6 252" xfId="8711"/>
    <cellStyle name="40% - Акцент6 253" xfId="8712"/>
    <cellStyle name="40% - Акцент6 254" xfId="8713"/>
    <cellStyle name="40% - Акцент6 255" xfId="8714"/>
    <cellStyle name="40% - Акцент6 26" xfId="8715"/>
    <cellStyle name="40% - Акцент6 26 2" xfId="8716"/>
    <cellStyle name="40% - Акцент6 27" xfId="8717"/>
    <cellStyle name="40% - Акцент6 27 2" xfId="8718"/>
    <cellStyle name="40% - Акцент6 28" xfId="8719"/>
    <cellStyle name="40% - Акцент6 28 2" xfId="8720"/>
    <cellStyle name="40% - Акцент6 29" xfId="8721"/>
    <cellStyle name="40% - Акцент6 29 2" xfId="8722"/>
    <cellStyle name="40% - Акцент6 3" xfId="8723"/>
    <cellStyle name="40% - Акцент6 30" xfId="8724"/>
    <cellStyle name="40% - Акцент6 30 2" xfId="8725"/>
    <cellStyle name="40% - Акцент6 31" xfId="8726"/>
    <cellStyle name="40% - Акцент6 31 2" xfId="8727"/>
    <cellStyle name="40% - Акцент6 32" xfId="8728"/>
    <cellStyle name="40% - Акцент6 32 2" xfId="8729"/>
    <cellStyle name="40% - Акцент6 33" xfId="8730"/>
    <cellStyle name="40% - Акцент6 33 2" xfId="8731"/>
    <cellStyle name="40% - Акцент6 34" xfId="8732"/>
    <cellStyle name="40% - Акцент6 34 2" xfId="8733"/>
    <cellStyle name="40% - Акцент6 35" xfId="8734"/>
    <cellStyle name="40% - Акцент6 35 2" xfId="8735"/>
    <cellStyle name="40% - Акцент6 36" xfId="8736"/>
    <cellStyle name="40% - Акцент6 36 2" xfId="8737"/>
    <cellStyle name="40% - Акцент6 37" xfId="8738"/>
    <cellStyle name="40% - Акцент6 37 2" xfId="8739"/>
    <cellStyle name="40% - Акцент6 38" xfId="8740"/>
    <cellStyle name="40% - Акцент6 38 2" xfId="8741"/>
    <cellStyle name="40% - Акцент6 39" xfId="8742"/>
    <cellStyle name="40% - Акцент6 39 2" xfId="8743"/>
    <cellStyle name="40% - Акцент6 4" xfId="8744"/>
    <cellStyle name="40% - Акцент6 40" xfId="8745"/>
    <cellStyle name="40% - Акцент6 40 2" xfId="8746"/>
    <cellStyle name="40% - Акцент6 41" xfId="8747"/>
    <cellStyle name="40% - Акцент6 41 2" xfId="8748"/>
    <cellStyle name="40% - Акцент6 42" xfId="8749"/>
    <cellStyle name="40% - Акцент6 42 2" xfId="8750"/>
    <cellStyle name="40% - Акцент6 43" xfId="8751"/>
    <cellStyle name="40% - Акцент6 43 2" xfId="8752"/>
    <cellStyle name="40% - Акцент6 44" xfId="8753"/>
    <cellStyle name="40% - Акцент6 44 2" xfId="8754"/>
    <cellStyle name="40% - Акцент6 45" xfId="8755"/>
    <cellStyle name="40% - Акцент6 45 2" xfId="8756"/>
    <cellStyle name="40% - Акцент6 46" xfId="8757"/>
    <cellStyle name="40% - Акцент6 46 2" xfId="8758"/>
    <cellStyle name="40% - Акцент6 47" xfId="8759"/>
    <cellStyle name="40% - Акцент6 47 2" xfId="8760"/>
    <cellStyle name="40% - Акцент6 48" xfId="8761"/>
    <cellStyle name="40% - Акцент6 48 2" xfId="8762"/>
    <cellStyle name="40% - Акцент6 49" xfId="8763"/>
    <cellStyle name="40% - Акцент6 49 2" xfId="8764"/>
    <cellStyle name="40% - Акцент6 5" xfId="8765"/>
    <cellStyle name="40% - Акцент6 50" xfId="8766"/>
    <cellStyle name="40% - Акцент6 50 2" xfId="8767"/>
    <cellStyle name="40% - Акцент6 51" xfId="8768"/>
    <cellStyle name="40% - Акцент6 51 2" xfId="8769"/>
    <cellStyle name="40% - Акцент6 52" xfId="8770"/>
    <cellStyle name="40% - Акцент6 52 2" xfId="8771"/>
    <cellStyle name="40% - Акцент6 53" xfId="8772"/>
    <cellStyle name="40% - Акцент6 53 2" xfId="8773"/>
    <cellStyle name="40% - Акцент6 54" xfId="8774"/>
    <cellStyle name="40% - Акцент6 54 2" xfId="8775"/>
    <cellStyle name="40% - Акцент6 55" xfId="8776"/>
    <cellStyle name="40% - Акцент6 55 2" xfId="8777"/>
    <cellStyle name="40% - Акцент6 56" xfId="8778"/>
    <cellStyle name="40% - Акцент6 56 2" xfId="8779"/>
    <cellStyle name="40% - Акцент6 57" xfId="8780"/>
    <cellStyle name="40% - Акцент6 57 2" xfId="8781"/>
    <cellStyle name="40% - Акцент6 58" xfId="8782"/>
    <cellStyle name="40% - Акцент6 58 2" xfId="8783"/>
    <cellStyle name="40% - Акцент6 59" xfId="8784"/>
    <cellStyle name="40% - Акцент6 59 2" xfId="8785"/>
    <cellStyle name="40% - Акцент6 6" xfId="8786"/>
    <cellStyle name="40% - Акцент6 60" xfId="8787"/>
    <cellStyle name="40% - Акцент6 60 2" xfId="8788"/>
    <cellStyle name="40% - Акцент6 61" xfId="8789"/>
    <cellStyle name="40% - Акцент6 61 2" xfId="8790"/>
    <cellStyle name="40% - Акцент6 62" xfId="8791"/>
    <cellStyle name="40% - Акцент6 62 2" xfId="8792"/>
    <cellStyle name="40% - Акцент6 63" xfId="8793"/>
    <cellStyle name="40% - Акцент6 63 2" xfId="8794"/>
    <cellStyle name="40% - Акцент6 64" xfId="8795"/>
    <cellStyle name="40% - Акцент6 64 2" xfId="8796"/>
    <cellStyle name="40% - Акцент6 65" xfId="8797"/>
    <cellStyle name="40% - Акцент6 65 2" xfId="8798"/>
    <cellStyle name="40% - Акцент6 66" xfId="8799"/>
    <cellStyle name="40% - Акцент6 66 2" xfId="8800"/>
    <cellStyle name="40% - Акцент6 67" xfId="8801"/>
    <cellStyle name="40% - Акцент6 67 2" xfId="8802"/>
    <cellStyle name="40% - Акцент6 68" xfId="8803"/>
    <cellStyle name="40% - Акцент6 68 2" xfId="8804"/>
    <cellStyle name="40% - Акцент6 69" xfId="8805"/>
    <cellStyle name="40% - Акцент6 69 2" xfId="8806"/>
    <cellStyle name="40% - Акцент6 7" xfId="8807"/>
    <cellStyle name="40% - Акцент6 70" xfId="8808"/>
    <cellStyle name="40% - Акцент6 70 2" xfId="8809"/>
    <cellStyle name="40% - Акцент6 71" xfId="8810"/>
    <cellStyle name="40% - Акцент6 71 2" xfId="8811"/>
    <cellStyle name="40% - Акцент6 72" xfId="8812"/>
    <cellStyle name="40% - Акцент6 72 2" xfId="8813"/>
    <cellStyle name="40% - Акцент6 73" xfId="8814"/>
    <cellStyle name="40% - Акцент6 73 2" xfId="8815"/>
    <cellStyle name="40% - Акцент6 74" xfId="8816"/>
    <cellStyle name="40% - Акцент6 74 2" xfId="8817"/>
    <cellStyle name="40% - Акцент6 75" xfId="8818"/>
    <cellStyle name="40% - Акцент6 75 2" xfId="8819"/>
    <cellStyle name="40% - Акцент6 76" xfId="8820"/>
    <cellStyle name="40% - Акцент6 76 2" xfId="8821"/>
    <cellStyle name="40% - Акцент6 77" xfId="8822"/>
    <cellStyle name="40% - Акцент6 77 2" xfId="8823"/>
    <cellStyle name="40% - Акцент6 78" xfId="8824"/>
    <cellStyle name="40% - Акцент6 78 2" xfId="8825"/>
    <cellStyle name="40% - Акцент6 79" xfId="8826"/>
    <cellStyle name="40% - Акцент6 79 2" xfId="8827"/>
    <cellStyle name="40% - Акцент6 8" xfId="8828"/>
    <cellStyle name="40% - Акцент6 80" xfId="8829"/>
    <cellStyle name="40% - Акцент6 80 2" xfId="8830"/>
    <cellStyle name="40% - Акцент6 81" xfId="8831"/>
    <cellStyle name="40% - Акцент6 81 2" xfId="8832"/>
    <cellStyle name="40% - Акцент6 82" xfId="8833"/>
    <cellStyle name="40% - Акцент6 82 2" xfId="8834"/>
    <cellStyle name="40% - Акцент6 83" xfId="8835"/>
    <cellStyle name="40% - Акцент6 83 2" xfId="8836"/>
    <cellStyle name="40% - Акцент6 84" xfId="8837"/>
    <cellStyle name="40% - Акцент6 84 2" xfId="8838"/>
    <cellStyle name="40% - Акцент6 85" xfId="8839"/>
    <cellStyle name="40% - Акцент6 85 2" xfId="8840"/>
    <cellStyle name="40% - Акцент6 86" xfId="8841"/>
    <cellStyle name="40% - Акцент6 86 2" xfId="8842"/>
    <cellStyle name="40% - Акцент6 87" xfId="8843"/>
    <cellStyle name="40% - Акцент6 87 2" xfId="8844"/>
    <cellStyle name="40% - Акцент6 88" xfId="8845"/>
    <cellStyle name="40% - Акцент6 88 2" xfId="8846"/>
    <cellStyle name="40% - Акцент6 89" xfId="8847"/>
    <cellStyle name="40% - Акцент6 89 2" xfId="8848"/>
    <cellStyle name="40% - Акцент6 9" xfId="8849"/>
    <cellStyle name="40% - Акцент6 90" xfId="8850"/>
    <cellStyle name="40% - Акцент6 90 2" xfId="8851"/>
    <cellStyle name="40% - Акцент6 91" xfId="8852"/>
    <cellStyle name="40% - Акцент6 91 2" xfId="8853"/>
    <cellStyle name="40% - Акцент6 92" xfId="8854"/>
    <cellStyle name="40% - Акцент6 92 2" xfId="8855"/>
    <cellStyle name="40% - Акцент6 93" xfId="8856"/>
    <cellStyle name="40% - Акцент6 93 2" xfId="8857"/>
    <cellStyle name="40% - Акцент6 94" xfId="8858"/>
    <cellStyle name="40% - Акцент6 94 2" xfId="8859"/>
    <cellStyle name="40% - Акцент6 95" xfId="8860"/>
    <cellStyle name="40% - Акцент6 95 2" xfId="8861"/>
    <cellStyle name="40% - Акцент6 96" xfId="8862"/>
    <cellStyle name="40% - Акцент6 96 2" xfId="8863"/>
    <cellStyle name="40% - Акцент6 97" xfId="8864"/>
    <cellStyle name="40% - Акцент6 97 2" xfId="8865"/>
    <cellStyle name="40% - Акцент6 98" xfId="8866"/>
    <cellStyle name="40% - Акцент6 98 2" xfId="8867"/>
    <cellStyle name="40% - Акцент6 99" xfId="8868"/>
    <cellStyle name="40% - Акцент6 99 2" xfId="8869"/>
    <cellStyle name="60% - Accent1" xfId="8870"/>
    <cellStyle name="60% - Accent2" xfId="8871"/>
    <cellStyle name="60% - Accent3" xfId="8872"/>
    <cellStyle name="60% - Accent4" xfId="8873"/>
    <cellStyle name="60% - Accent5" xfId="8874"/>
    <cellStyle name="60% - Accent6" xfId="8875"/>
    <cellStyle name="60% - Акцент1 10" xfId="8876"/>
    <cellStyle name="60% - Акцент1 100" xfId="8877"/>
    <cellStyle name="60% - Акцент1 101" xfId="8878"/>
    <cellStyle name="60% - Акцент1 102" xfId="8879"/>
    <cellStyle name="60% - Акцент1 103" xfId="8880"/>
    <cellStyle name="60% - Акцент1 104" xfId="8881"/>
    <cellStyle name="60% - Акцент1 105" xfId="8882"/>
    <cellStyle name="60% - Акцент1 106" xfId="8883"/>
    <cellStyle name="60% - Акцент1 107" xfId="8884"/>
    <cellStyle name="60% - Акцент1 108" xfId="8885"/>
    <cellStyle name="60% - Акцент1 109" xfId="8886"/>
    <cellStyle name="60% - Акцент1 11" xfId="8887"/>
    <cellStyle name="60% - Акцент1 110" xfId="8888"/>
    <cellStyle name="60% - Акцент1 111" xfId="8889"/>
    <cellStyle name="60% - Акцент1 112" xfId="8890"/>
    <cellStyle name="60% - Акцент1 113" xfId="8891"/>
    <cellStyle name="60% - Акцент1 114" xfId="8892"/>
    <cellStyle name="60% - Акцент1 115" xfId="8893"/>
    <cellStyle name="60% - Акцент1 116" xfId="8894"/>
    <cellStyle name="60% - Акцент1 117" xfId="8895"/>
    <cellStyle name="60% - Акцент1 118" xfId="8896"/>
    <cellStyle name="60% - Акцент1 119" xfId="8897"/>
    <cellStyle name="60% - Акцент1 12" xfId="8898"/>
    <cellStyle name="60% - Акцент1 120" xfId="8899"/>
    <cellStyle name="60% - Акцент1 121" xfId="8900"/>
    <cellStyle name="60% - Акцент1 122" xfId="8901"/>
    <cellStyle name="60% - Акцент1 123" xfId="8902"/>
    <cellStyle name="60% - Акцент1 124" xfId="8903"/>
    <cellStyle name="60% - Акцент1 125" xfId="8904"/>
    <cellStyle name="60% - Акцент1 126" xfId="8905"/>
    <cellStyle name="60% - Акцент1 127" xfId="8906"/>
    <cellStyle name="60% - Акцент1 128" xfId="8907"/>
    <cellStyle name="60% - Акцент1 129" xfId="8908"/>
    <cellStyle name="60% - Акцент1 13" xfId="8909"/>
    <cellStyle name="60% - Акцент1 130" xfId="8910"/>
    <cellStyle name="60% - Акцент1 131" xfId="8911"/>
    <cellStyle name="60% - Акцент1 132" xfId="8912"/>
    <cellStyle name="60% - Акцент1 133" xfId="8913"/>
    <cellStyle name="60% - Акцент1 134" xfId="8914"/>
    <cellStyle name="60% - Акцент1 135" xfId="8915"/>
    <cellStyle name="60% - Акцент1 136" xfId="8916"/>
    <cellStyle name="60% - Акцент1 137" xfId="8917"/>
    <cellStyle name="60% - Акцент1 138" xfId="8918"/>
    <cellStyle name="60% - Акцент1 139" xfId="8919"/>
    <cellStyle name="60% - Акцент1 14" xfId="8920"/>
    <cellStyle name="60% - Акцент1 140" xfId="8921"/>
    <cellStyle name="60% - Акцент1 141" xfId="8922"/>
    <cellStyle name="60% - Акцент1 142" xfId="8923"/>
    <cellStyle name="60% - Акцент1 143" xfId="8924"/>
    <cellStyle name="60% - Акцент1 144" xfId="8925"/>
    <cellStyle name="60% - Акцент1 145" xfId="8926"/>
    <cellStyle name="60% - Акцент1 146" xfId="8927"/>
    <cellStyle name="60% - Акцент1 147" xfId="8928"/>
    <cellStyle name="60% - Акцент1 148" xfId="8929"/>
    <cellStyle name="60% - Акцент1 149" xfId="8930"/>
    <cellStyle name="60% - Акцент1 15" xfId="8931"/>
    <cellStyle name="60% - Акцент1 150" xfId="8932"/>
    <cellStyle name="60% - Акцент1 151" xfId="8933"/>
    <cellStyle name="60% - Акцент1 152" xfId="8934"/>
    <cellStyle name="60% - Акцент1 16" xfId="8935"/>
    <cellStyle name="60% - Акцент1 17" xfId="8936"/>
    <cellStyle name="60% - Акцент1 18" xfId="8937"/>
    <cellStyle name="60% - Акцент1 19" xfId="8938"/>
    <cellStyle name="60% - Акцент1 2" xfId="8939"/>
    <cellStyle name="60% - Акцент1 2 2" xfId="8940"/>
    <cellStyle name="60% - Акцент1 2 3" xfId="8941"/>
    <cellStyle name="60% - Акцент1 2 4" xfId="8942"/>
    <cellStyle name="60% - Акцент1 2 5" xfId="8943"/>
    <cellStyle name="60% - Акцент1 2 6" xfId="8944"/>
    <cellStyle name="60% - Акцент1 2 7" xfId="8945"/>
    <cellStyle name="60% - Акцент1 20" xfId="8946"/>
    <cellStyle name="60% - Акцент1 20 2" xfId="8947"/>
    <cellStyle name="60% - Акцент1 21" xfId="8948"/>
    <cellStyle name="60% - Акцент1 22" xfId="8949"/>
    <cellStyle name="60% - Акцент1 23" xfId="8950"/>
    <cellStyle name="60% - Акцент1 24" xfId="8951"/>
    <cellStyle name="60% - Акцент1 25" xfId="8952"/>
    <cellStyle name="60% - Акцент1 26" xfId="8953"/>
    <cellStyle name="60% - Акцент1 27" xfId="8954"/>
    <cellStyle name="60% - Акцент1 28" xfId="8955"/>
    <cellStyle name="60% - Акцент1 29" xfId="8956"/>
    <cellStyle name="60% - Акцент1 3" xfId="8957"/>
    <cellStyle name="60% - Акцент1 30" xfId="8958"/>
    <cellStyle name="60% - Акцент1 31" xfId="8959"/>
    <cellStyle name="60% - Акцент1 32" xfId="8960"/>
    <cellStyle name="60% - Акцент1 33" xfId="8961"/>
    <cellStyle name="60% - Акцент1 34" xfId="8962"/>
    <cellStyle name="60% - Акцент1 35" xfId="8963"/>
    <cellStyle name="60% - Акцент1 36" xfId="8964"/>
    <cellStyle name="60% - Акцент1 37" xfId="8965"/>
    <cellStyle name="60% - Акцент1 38" xfId="8966"/>
    <cellStyle name="60% - Акцент1 39" xfId="8967"/>
    <cellStyle name="60% - Акцент1 4" xfId="8968"/>
    <cellStyle name="60% - Акцент1 40" xfId="8969"/>
    <cellStyle name="60% - Акцент1 41" xfId="8970"/>
    <cellStyle name="60% - Акцент1 42" xfId="8971"/>
    <cellStyle name="60% - Акцент1 43" xfId="8972"/>
    <cellStyle name="60% - Акцент1 44" xfId="8973"/>
    <cellStyle name="60% - Акцент1 45" xfId="8974"/>
    <cellStyle name="60% - Акцент1 46" xfId="8975"/>
    <cellStyle name="60% - Акцент1 47" xfId="8976"/>
    <cellStyle name="60% - Акцент1 48" xfId="8977"/>
    <cellStyle name="60% - Акцент1 49" xfId="8978"/>
    <cellStyle name="60% - Акцент1 5" xfId="8979"/>
    <cellStyle name="60% - Акцент1 50" xfId="8980"/>
    <cellStyle name="60% - Акцент1 51" xfId="8981"/>
    <cellStyle name="60% - Акцент1 52" xfId="8982"/>
    <cellStyle name="60% - Акцент1 53" xfId="8983"/>
    <cellStyle name="60% - Акцент1 54" xfId="8984"/>
    <cellStyle name="60% - Акцент1 55" xfId="8985"/>
    <cellStyle name="60% - Акцент1 56" xfId="8986"/>
    <cellStyle name="60% - Акцент1 57" xfId="8987"/>
    <cellStyle name="60% - Акцент1 58" xfId="8988"/>
    <cellStyle name="60% - Акцент1 59" xfId="8989"/>
    <cellStyle name="60% - Акцент1 6" xfId="8990"/>
    <cellStyle name="60% - Акцент1 60" xfId="8991"/>
    <cellStyle name="60% - Акцент1 61" xfId="8992"/>
    <cellStyle name="60% - Акцент1 62" xfId="8993"/>
    <cellStyle name="60% - Акцент1 63" xfId="8994"/>
    <cellStyle name="60% - Акцент1 64" xfId="8995"/>
    <cellStyle name="60% - Акцент1 65" xfId="8996"/>
    <cellStyle name="60% - Акцент1 66" xfId="8997"/>
    <cellStyle name="60% - Акцент1 67" xfId="8998"/>
    <cellStyle name="60% - Акцент1 68" xfId="8999"/>
    <cellStyle name="60% - Акцент1 69" xfId="9000"/>
    <cellStyle name="60% - Акцент1 7" xfId="9001"/>
    <cellStyle name="60% - Акцент1 70" xfId="9002"/>
    <cellStyle name="60% - Акцент1 71" xfId="9003"/>
    <cellStyle name="60% - Акцент1 72" xfId="9004"/>
    <cellStyle name="60% - Акцент1 73" xfId="9005"/>
    <cellStyle name="60% - Акцент1 74" xfId="9006"/>
    <cellStyle name="60% - Акцент1 75" xfId="9007"/>
    <cellStyle name="60% - Акцент1 76" xfId="9008"/>
    <cellStyle name="60% - Акцент1 77" xfId="9009"/>
    <cellStyle name="60% - Акцент1 78" xfId="9010"/>
    <cellStyle name="60% - Акцент1 79" xfId="9011"/>
    <cellStyle name="60% - Акцент1 8" xfId="9012"/>
    <cellStyle name="60% - Акцент1 80" xfId="9013"/>
    <cellStyle name="60% - Акцент1 81" xfId="9014"/>
    <cellStyle name="60% - Акцент1 82" xfId="9015"/>
    <cellStyle name="60% - Акцент1 83" xfId="9016"/>
    <cellStyle name="60% - Акцент1 84" xfId="9017"/>
    <cellStyle name="60% - Акцент1 85" xfId="9018"/>
    <cellStyle name="60% - Акцент1 86" xfId="9019"/>
    <cellStyle name="60% - Акцент1 87" xfId="9020"/>
    <cellStyle name="60% - Акцент1 88" xfId="9021"/>
    <cellStyle name="60% - Акцент1 89" xfId="9022"/>
    <cellStyle name="60% - Акцент1 9" xfId="9023"/>
    <cellStyle name="60% - Акцент1 90" xfId="9024"/>
    <cellStyle name="60% - Акцент1 91" xfId="9025"/>
    <cellStyle name="60% - Акцент1 92" xfId="9026"/>
    <cellStyle name="60% - Акцент1 93" xfId="9027"/>
    <cellStyle name="60% - Акцент1 94" xfId="9028"/>
    <cellStyle name="60% - Акцент1 95" xfId="9029"/>
    <cellStyle name="60% - Акцент1 96" xfId="9030"/>
    <cellStyle name="60% - Акцент1 97" xfId="9031"/>
    <cellStyle name="60% - Акцент1 98" xfId="9032"/>
    <cellStyle name="60% - Акцент1 99" xfId="9033"/>
    <cellStyle name="60% - Акцент2 10" xfId="9034"/>
    <cellStyle name="60% - Акцент2 100" xfId="9035"/>
    <cellStyle name="60% - Акцент2 101" xfId="9036"/>
    <cellStyle name="60% - Акцент2 102" xfId="9037"/>
    <cellStyle name="60% - Акцент2 103" xfId="9038"/>
    <cellStyle name="60% - Акцент2 104" xfId="9039"/>
    <cellStyle name="60% - Акцент2 105" xfId="9040"/>
    <cellStyle name="60% - Акцент2 106" xfId="9041"/>
    <cellStyle name="60% - Акцент2 107" xfId="9042"/>
    <cellStyle name="60% - Акцент2 108" xfId="9043"/>
    <cellStyle name="60% - Акцент2 109" xfId="9044"/>
    <cellStyle name="60% - Акцент2 11" xfId="9045"/>
    <cellStyle name="60% - Акцент2 110" xfId="9046"/>
    <cellStyle name="60% - Акцент2 111" xfId="9047"/>
    <cellStyle name="60% - Акцент2 112" xfId="9048"/>
    <cellStyle name="60% - Акцент2 113" xfId="9049"/>
    <cellStyle name="60% - Акцент2 114" xfId="9050"/>
    <cellStyle name="60% - Акцент2 115" xfId="9051"/>
    <cellStyle name="60% - Акцент2 116" xfId="9052"/>
    <cellStyle name="60% - Акцент2 117" xfId="9053"/>
    <cellStyle name="60% - Акцент2 118" xfId="9054"/>
    <cellStyle name="60% - Акцент2 119" xfId="9055"/>
    <cellStyle name="60% - Акцент2 12" xfId="9056"/>
    <cellStyle name="60% - Акцент2 120" xfId="9057"/>
    <cellStyle name="60% - Акцент2 121" xfId="9058"/>
    <cellStyle name="60% - Акцент2 122" xfId="9059"/>
    <cellStyle name="60% - Акцент2 123" xfId="9060"/>
    <cellStyle name="60% - Акцент2 124" xfId="9061"/>
    <cellStyle name="60% - Акцент2 125" xfId="9062"/>
    <cellStyle name="60% - Акцент2 126" xfId="9063"/>
    <cellStyle name="60% - Акцент2 127" xfId="9064"/>
    <cellStyle name="60% - Акцент2 128" xfId="9065"/>
    <cellStyle name="60% - Акцент2 129" xfId="9066"/>
    <cellStyle name="60% - Акцент2 13" xfId="9067"/>
    <cellStyle name="60% - Акцент2 130" xfId="9068"/>
    <cellStyle name="60% - Акцент2 131" xfId="9069"/>
    <cellStyle name="60% - Акцент2 132" xfId="9070"/>
    <cellStyle name="60% - Акцент2 133" xfId="9071"/>
    <cellStyle name="60% - Акцент2 134" xfId="9072"/>
    <cellStyle name="60% - Акцент2 135" xfId="9073"/>
    <cellStyle name="60% - Акцент2 136" xfId="9074"/>
    <cellStyle name="60% - Акцент2 137" xfId="9075"/>
    <cellStyle name="60% - Акцент2 138" xfId="9076"/>
    <cellStyle name="60% - Акцент2 139" xfId="9077"/>
    <cellStyle name="60% - Акцент2 14" xfId="9078"/>
    <cellStyle name="60% - Акцент2 140" xfId="9079"/>
    <cellStyle name="60% - Акцент2 141" xfId="9080"/>
    <cellStyle name="60% - Акцент2 142" xfId="9081"/>
    <cellStyle name="60% - Акцент2 143" xfId="9082"/>
    <cellStyle name="60% - Акцент2 144" xfId="9083"/>
    <cellStyle name="60% - Акцент2 145" xfId="9084"/>
    <cellStyle name="60% - Акцент2 146" xfId="9085"/>
    <cellStyle name="60% - Акцент2 147" xfId="9086"/>
    <cellStyle name="60% - Акцент2 148" xfId="9087"/>
    <cellStyle name="60% - Акцент2 149" xfId="9088"/>
    <cellStyle name="60% - Акцент2 15" xfId="9089"/>
    <cellStyle name="60% - Акцент2 150" xfId="9090"/>
    <cellStyle name="60% - Акцент2 151" xfId="9091"/>
    <cellStyle name="60% - Акцент2 152" xfId="9092"/>
    <cellStyle name="60% - Акцент2 16" xfId="9093"/>
    <cellStyle name="60% - Акцент2 17" xfId="9094"/>
    <cellStyle name="60% - Акцент2 18" xfId="9095"/>
    <cellStyle name="60% - Акцент2 19" xfId="9096"/>
    <cellStyle name="60% - Акцент2 2" xfId="9097"/>
    <cellStyle name="60% - Акцент2 2 2" xfId="9098"/>
    <cellStyle name="60% - Акцент2 2 3" xfId="9099"/>
    <cellStyle name="60% - Акцент2 2 4" xfId="9100"/>
    <cellStyle name="60% - Акцент2 2 5" xfId="9101"/>
    <cellStyle name="60% - Акцент2 2 6" xfId="9102"/>
    <cellStyle name="60% - Акцент2 2 7" xfId="9103"/>
    <cellStyle name="60% - Акцент2 20" xfId="9104"/>
    <cellStyle name="60% - Акцент2 20 2" xfId="9105"/>
    <cellStyle name="60% - Акцент2 21" xfId="9106"/>
    <cellStyle name="60% - Акцент2 22" xfId="9107"/>
    <cellStyle name="60% - Акцент2 23" xfId="9108"/>
    <cellStyle name="60% - Акцент2 24" xfId="9109"/>
    <cellStyle name="60% - Акцент2 25" xfId="9110"/>
    <cellStyle name="60% - Акцент2 26" xfId="9111"/>
    <cellStyle name="60% - Акцент2 27" xfId="9112"/>
    <cellStyle name="60% - Акцент2 28" xfId="9113"/>
    <cellStyle name="60% - Акцент2 29" xfId="9114"/>
    <cellStyle name="60% - Акцент2 3" xfId="9115"/>
    <cellStyle name="60% - Акцент2 30" xfId="9116"/>
    <cellStyle name="60% - Акцент2 31" xfId="9117"/>
    <cellStyle name="60% - Акцент2 32" xfId="9118"/>
    <cellStyle name="60% - Акцент2 33" xfId="9119"/>
    <cellStyle name="60% - Акцент2 34" xfId="9120"/>
    <cellStyle name="60% - Акцент2 35" xfId="9121"/>
    <cellStyle name="60% - Акцент2 36" xfId="9122"/>
    <cellStyle name="60% - Акцент2 37" xfId="9123"/>
    <cellStyle name="60% - Акцент2 38" xfId="9124"/>
    <cellStyle name="60% - Акцент2 39" xfId="9125"/>
    <cellStyle name="60% - Акцент2 4" xfId="9126"/>
    <cellStyle name="60% - Акцент2 40" xfId="9127"/>
    <cellStyle name="60% - Акцент2 41" xfId="9128"/>
    <cellStyle name="60% - Акцент2 42" xfId="9129"/>
    <cellStyle name="60% - Акцент2 43" xfId="9130"/>
    <cellStyle name="60% - Акцент2 44" xfId="9131"/>
    <cellStyle name="60% - Акцент2 45" xfId="9132"/>
    <cellStyle name="60% - Акцент2 46" xfId="9133"/>
    <cellStyle name="60% - Акцент2 47" xfId="9134"/>
    <cellStyle name="60% - Акцент2 48" xfId="9135"/>
    <cellStyle name="60% - Акцент2 49" xfId="9136"/>
    <cellStyle name="60% - Акцент2 5" xfId="9137"/>
    <cellStyle name="60% - Акцент2 50" xfId="9138"/>
    <cellStyle name="60% - Акцент2 51" xfId="9139"/>
    <cellStyle name="60% - Акцент2 52" xfId="9140"/>
    <cellStyle name="60% - Акцент2 53" xfId="9141"/>
    <cellStyle name="60% - Акцент2 54" xfId="9142"/>
    <cellStyle name="60% - Акцент2 55" xfId="9143"/>
    <cellStyle name="60% - Акцент2 56" xfId="9144"/>
    <cellStyle name="60% - Акцент2 57" xfId="9145"/>
    <cellStyle name="60% - Акцент2 58" xfId="9146"/>
    <cellStyle name="60% - Акцент2 59" xfId="9147"/>
    <cellStyle name="60% - Акцент2 6" xfId="9148"/>
    <cellStyle name="60% - Акцент2 60" xfId="9149"/>
    <cellStyle name="60% - Акцент2 61" xfId="9150"/>
    <cellStyle name="60% - Акцент2 62" xfId="9151"/>
    <cellStyle name="60% - Акцент2 63" xfId="9152"/>
    <cellStyle name="60% - Акцент2 64" xfId="9153"/>
    <cellStyle name="60% - Акцент2 65" xfId="9154"/>
    <cellStyle name="60% - Акцент2 66" xfId="9155"/>
    <cellStyle name="60% - Акцент2 67" xfId="9156"/>
    <cellStyle name="60% - Акцент2 68" xfId="9157"/>
    <cellStyle name="60% - Акцент2 69" xfId="9158"/>
    <cellStyle name="60% - Акцент2 7" xfId="9159"/>
    <cellStyle name="60% - Акцент2 70" xfId="9160"/>
    <cellStyle name="60% - Акцент2 71" xfId="9161"/>
    <cellStyle name="60% - Акцент2 72" xfId="9162"/>
    <cellStyle name="60% - Акцент2 73" xfId="9163"/>
    <cellStyle name="60% - Акцент2 74" xfId="9164"/>
    <cellStyle name="60% - Акцент2 75" xfId="9165"/>
    <cellStyle name="60% - Акцент2 76" xfId="9166"/>
    <cellStyle name="60% - Акцент2 77" xfId="9167"/>
    <cellStyle name="60% - Акцент2 78" xfId="9168"/>
    <cellStyle name="60% - Акцент2 79" xfId="9169"/>
    <cellStyle name="60% - Акцент2 8" xfId="9170"/>
    <cellStyle name="60% - Акцент2 80" xfId="9171"/>
    <cellStyle name="60% - Акцент2 81" xfId="9172"/>
    <cellStyle name="60% - Акцент2 82" xfId="9173"/>
    <cellStyle name="60% - Акцент2 83" xfId="9174"/>
    <cellStyle name="60% - Акцент2 84" xfId="9175"/>
    <cellStyle name="60% - Акцент2 85" xfId="9176"/>
    <cellStyle name="60% - Акцент2 86" xfId="9177"/>
    <cellStyle name="60% - Акцент2 87" xfId="9178"/>
    <cellStyle name="60% - Акцент2 88" xfId="9179"/>
    <cellStyle name="60% - Акцент2 89" xfId="9180"/>
    <cellStyle name="60% - Акцент2 9" xfId="9181"/>
    <cellStyle name="60% - Акцент2 90" xfId="9182"/>
    <cellStyle name="60% - Акцент2 91" xfId="9183"/>
    <cellStyle name="60% - Акцент2 92" xfId="9184"/>
    <cellStyle name="60% - Акцент2 93" xfId="9185"/>
    <cellStyle name="60% - Акцент2 94" xfId="9186"/>
    <cellStyle name="60% - Акцент2 95" xfId="9187"/>
    <cellStyle name="60% - Акцент2 96" xfId="9188"/>
    <cellStyle name="60% - Акцент2 97" xfId="9189"/>
    <cellStyle name="60% - Акцент2 98" xfId="9190"/>
    <cellStyle name="60% - Акцент2 99" xfId="9191"/>
    <cellStyle name="60% - Акцент3 10" xfId="9192"/>
    <cellStyle name="60% - Акцент3 100" xfId="9193"/>
    <cellStyle name="60% - Акцент3 101" xfId="9194"/>
    <cellStyle name="60% - Акцент3 102" xfId="9195"/>
    <cellStyle name="60% - Акцент3 103" xfId="9196"/>
    <cellStyle name="60% - Акцент3 104" xfId="9197"/>
    <cellStyle name="60% - Акцент3 105" xfId="9198"/>
    <cellStyle name="60% - Акцент3 106" xfId="9199"/>
    <cellStyle name="60% - Акцент3 107" xfId="9200"/>
    <cellStyle name="60% - Акцент3 108" xfId="9201"/>
    <cellStyle name="60% - Акцент3 109" xfId="9202"/>
    <cellStyle name="60% - Акцент3 11" xfId="9203"/>
    <cellStyle name="60% - Акцент3 110" xfId="9204"/>
    <cellStyle name="60% - Акцент3 111" xfId="9205"/>
    <cellStyle name="60% - Акцент3 112" xfId="9206"/>
    <cellStyle name="60% - Акцент3 113" xfId="9207"/>
    <cellStyle name="60% - Акцент3 114" xfId="9208"/>
    <cellStyle name="60% - Акцент3 115" xfId="9209"/>
    <cellStyle name="60% - Акцент3 116" xfId="9210"/>
    <cellStyle name="60% - Акцент3 117" xfId="9211"/>
    <cellStyle name="60% - Акцент3 118" xfId="9212"/>
    <cellStyle name="60% - Акцент3 119" xfId="9213"/>
    <cellStyle name="60% - Акцент3 12" xfId="9214"/>
    <cellStyle name="60% - Акцент3 120" xfId="9215"/>
    <cellStyle name="60% - Акцент3 121" xfId="9216"/>
    <cellStyle name="60% - Акцент3 122" xfId="9217"/>
    <cellStyle name="60% - Акцент3 123" xfId="9218"/>
    <cellStyle name="60% - Акцент3 124" xfId="9219"/>
    <cellStyle name="60% - Акцент3 125" xfId="9220"/>
    <cellStyle name="60% - Акцент3 126" xfId="9221"/>
    <cellStyle name="60% - Акцент3 127" xfId="9222"/>
    <cellStyle name="60% - Акцент3 128" xfId="9223"/>
    <cellStyle name="60% - Акцент3 129" xfId="9224"/>
    <cellStyle name="60% - Акцент3 13" xfId="9225"/>
    <cellStyle name="60% - Акцент3 130" xfId="9226"/>
    <cellStyle name="60% - Акцент3 131" xfId="9227"/>
    <cellStyle name="60% - Акцент3 132" xfId="9228"/>
    <cellStyle name="60% - Акцент3 133" xfId="9229"/>
    <cellStyle name="60% - Акцент3 134" xfId="9230"/>
    <cellStyle name="60% - Акцент3 135" xfId="9231"/>
    <cellStyle name="60% - Акцент3 136" xfId="9232"/>
    <cellStyle name="60% - Акцент3 137" xfId="9233"/>
    <cellStyle name="60% - Акцент3 138" xfId="9234"/>
    <cellStyle name="60% - Акцент3 139" xfId="9235"/>
    <cellStyle name="60% - Акцент3 14" xfId="9236"/>
    <cellStyle name="60% - Акцент3 140" xfId="9237"/>
    <cellStyle name="60% - Акцент3 141" xfId="9238"/>
    <cellStyle name="60% - Акцент3 142" xfId="9239"/>
    <cellStyle name="60% - Акцент3 143" xfId="9240"/>
    <cellStyle name="60% - Акцент3 144" xfId="9241"/>
    <cellStyle name="60% - Акцент3 145" xfId="9242"/>
    <cellStyle name="60% - Акцент3 146" xfId="9243"/>
    <cellStyle name="60% - Акцент3 147" xfId="9244"/>
    <cellStyle name="60% - Акцент3 148" xfId="9245"/>
    <cellStyle name="60% - Акцент3 149" xfId="9246"/>
    <cellStyle name="60% - Акцент3 15" xfId="9247"/>
    <cellStyle name="60% - Акцент3 150" xfId="9248"/>
    <cellStyle name="60% - Акцент3 151" xfId="9249"/>
    <cellStyle name="60% - Акцент3 152" xfId="9250"/>
    <cellStyle name="60% - Акцент3 16" xfId="9251"/>
    <cellStyle name="60% - Акцент3 17" xfId="9252"/>
    <cellStyle name="60% - Акцент3 18" xfId="9253"/>
    <cellStyle name="60% - Акцент3 19" xfId="9254"/>
    <cellStyle name="60% - Акцент3 2" xfId="9255"/>
    <cellStyle name="60% - Акцент3 2 2" xfId="9256"/>
    <cellStyle name="60% - Акцент3 2 3" xfId="9257"/>
    <cellStyle name="60% - Акцент3 2 4" xfId="9258"/>
    <cellStyle name="60% - Акцент3 2 5" xfId="9259"/>
    <cellStyle name="60% - Акцент3 2 6" xfId="9260"/>
    <cellStyle name="60% - Акцент3 2 7" xfId="9261"/>
    <cellStyle name="60% - Акцент3 20" xfId="9262"/>
    <cellStyle name="60% - Акцент3 20 2" xfId="9263"/>
    <cellStyle name="60% - Акцент3 21" xfId="9264"/>
    <cellStyle name="60% - Акцент3 22" xfId="9265"/>
    <cellStyle name="60% - Акцент3 23" xfId="9266"/>
    <cellStyle name="60% - Акцент3 24" xfId="9267"/>
    <cellStyle name="60% - Акцент3 25" xfId="9268"/>
    <cellStyle name="60% - Акцент3 26" xfId="9269"/>
    <cellStyle name="60% - Акцент3 27" xfId="9270"/>
    <cellStyle name="60% - Акцент3 28" xfId="9271"/>
    <cellStyle name="60% - Акцент3 29" xfId="9272"/>
    <cellStyle name="60% - Акцент3 3" xfId="9273"/>
    <cellStyle name="60% - Акцент3 30" xfId="9274"/>
    <cellStyle name="60% - Акцент3 31" xfId="9275"/>
    <cellStyle name="60% - Акцент3 32" xfId="9276"/>
    <cellStyle name="60% - Акцент3 33" xfId="9277"/>
    <cellStyle name="60% - Акцент3 34" xfId="9278"/>
    <cellStyle name="60% - Акцент3 35" xfId="9279"/>
    <cellStyle name="60% - Акцент3 36" xfId="9280"/>
    <cellStyle name="60% - Акцент3 37" xfId="9281"/>
    <cellStyle name="60% - Акцент3 38" xfId="9282"/>
    <cellStyle name="60% - Акцент3 39" xfId="9283"/>
    <cellStyle name="60% - Акцент3 4" xfId="9284"/>
    <cellStyle name="60% - Акцент3 40" xfId="9285"/>
    <cellStyle name="60% - Акцент3 41" xfId="9286"/>
    <cellStyle name="60% - Акцент3 42" xfId="9287"/>
    <cellStyle name="60% - Акцент3 43" xfId="9288"/>
    <cellStyle name="60% - Акцент3 44" xfId="9289"/>
    <cellStyle name="60% - Акцент3 45" xfId="9290"/>
    <cellStyle name="60% - Акцент3 46" xfId="9291"/>
    <cellStyle name="60% - Акцент3 47" xfId="9292"/>
    <cellStyle name="60% - Акцент3 48" xfId="9293"/>
    <cellStyle name="60% - Акцент3 49" xfId="9294"/>
    <cellStyle name="60% - Акцент3 5" xfId="9295"/>
    <cellStyle name="60% - Акцент3 50" xfId="9296"/>
    <cellStyle name="60% - Акцент3 51" xfId="9297"/>
    <cellStyle name="60% - Акцент3 52" xfId="9298"/>
    <cellStyle name="60% - Акцент3 53" xfId="9299"/>
    <cellStyle name="60% - Акцент3 54" xfId="9300"/>
    <cellStyle name="60% - Акцент3 55" xfId="9301"/>
    <cellStyle name="60% - Акцент3 56" xfId="9302"/>
    <cellStyle name="60% - Акцент3 57" xfId="9303"/>
    <cellStyle name="60% - Акцент3 58" xfId="9304"/>
    <cellStyle name="60% - Акцент3 59" xfId="9305"/>
    <cellStyle name="60% - Акцент3 6" xfId="9306"/>
    <cellStyle name="60% - Акцент3 60" xfId="9307"/>
    <cellStyle name="60% - Акцент3 61" xfId="9308"/>
    <cellStyle name="60% - Акцент3 62" xfId="9309"/>
    <cellStyle name="60% - Акцент3 63" xfId="9310"/>
    <cellStyle name="60% - Акцент3 64" xfId="9311"/>
    <cellStyle name="60% - Акцент3 65" xfId="9312"/>
    <cellStyle name="60% - Акцент3 66" xfId="9313"/>
    <cellStyle name="60% - Акцент3 67" xfId="9314"/>
    <cellStyle name="60% - Акцент3 68" xfId="9315"/>
    <cellStyle name="60% - Акцент3 69" xfId="9316"/>
    <cellStyle name="60% - Акцент3 7" xfId="9317"/>
    <cellStyle name="60% - Акцент3 70" xfId="9318"/>
    <cellStyle name="60% - Акцент3 71" xfId="9319"/>
    <cellStyle name="60% - Акцент3 72" xfId="9320"/>
    <cellStyle name="60% - Акцент3 73" xfId="9321"/>
    <cellStyle name="60% - Акцент3 74" xfId="9322"/>
    <cellStyle name="60% - Акцент3 75" xfId="9323"/>
    <cellStyle name="60% - Акцент3 76" xfId="9324"/>
    <cellStyle name="60% - Акцент3 77" xfId="9325"/>
    <cellStyle name="60% - Акцент3 78" xfId="9326"/>
    <cellStyle name="60% - Акцент3 79" xfId="9327"/>
    <cellStyle name="60% - Акцент3 8" xfId="9328"/>
    <cellStyle name="60% - Акцент3 80" xfId="9329"/>
    <cellStyle name="60% - Акцент3 81" xfId="9330"/>
    <cellStyle name="60% - Акцент3 82" xfId="9331"/>
    <cellStyle name="60% - Акцент3 83" xfId="9332"/>
    <cellStyle name="60% - Акцент3 84" xfId="9333"/>
    <cellStyle name="60% - Акцент3 85" xfId="9334"/>
    <cellStyle name="60% - Акцент3 86" xfId="9335"/>
    <cellStyle name="60% - Акцент3 87" xfId="9336"/>
    <cellStyle name="60% - Акцент3 88" xfId="9337"/>
    <cellStyle name="60% - Акцент3 89" xfId="9338"/>
    <cellStyle name="60% - Акцент3 9" xfId="9339"/>
    <cellStyle name="60% - Акцент3 90" xfId="9340"/>
    <cellStyle name="60% - Акцент3 91" xfId="9341"/>
    <cellStyle name="60% - Акцент3 92" xfId="9342"/>
    <cellStyle name="60% - Акцент3 93" xfId="9343"/>
    <cellStyle name="60% - Акцент3 94" xfId="9344"/>
    <cellStyle name="60% - Акцент3 95" xfId="9345"/>
    <cellStyle name="60% - Акцент3 96" xfId="9346"/>
    <cellStyle name="60% - Акцент3 97" xfId="9347"/>
    <cellStyle name="60% - Акцент3 98" xfId="9348"/>
    <cellStyle name="60% - Акцент3 99" xfId="9349"/>
    <cellStyle name="60% - Акцент4 10" xfId="9350"/>
    <cellStyle name="60% - Акцент4 100" xfId="9351"/>
    <cellStyle name="60% - Акцент4 101" xfId="9352"/>
    <cellStyle name="60% - Акцент4 102" xfId="9353"/>
    <cellStyle name="60% - Акцент4 103" xfId="9354"/>
    <cellStyle name="60% - Акцент4 104" xfId="9355"/>
    <cellStyle name="60% - Акцент4 105" xfId="9356"/>
    <cellStyle name="60% - Акцент4 106" xfId="9357"/>
    <cellStyle name="60% - Акцент4 107" xfId="9358"/>
    <cellStyle name="60% - Акцент4 108" xfId="9359"/>
    <cellStyle name="60% - Акцент4 109" xfId="9360"/>
    <cellStyle name="60% - Акцент4 11" xfId="9361"/>
    <cellStyle name="60% - Акцент4 110" xfId="9362"/>
    <cellStyle name="60% - Акцент4 111" xfId="9363"/>
    <cellStyle name="60% - Акцент4 112" xfId="9364"/>
    <cellStyle name="60% - Акцент4 113" xfId="9365"/>
    <cellStyle name="60% - Акцент4 114" xfId="9366"/>
    <cellStyle name="60% - Акцент4 115" xfId="9367"/>
    <cellStyle name="60% - Акцент4 116" xfId="9368"/>
    <cellStyle name="60% - Акцент4 117" xfId="9369"/>
    <cellStyle name="60% - Акцент4 118" xfId="9370"/>
    <cellStyle name="60% - Акцент4 119" xfId="9371"/>
    <cellStyle name="60% - Акцент4 12" xfId="9372"/>
    <cellStyle name="60% - Акцент4 120" xfId="9373"/>
    <cellStyle name="60% - Акцент4 121" xfId="9374"/>
    <cellStyle name="60% - Акцент4 122" xfId="9375"/>
    <cellStyle name="60% - Акцент4 123" xfId="9376"/>
    <cellStyle name="60% - Акцент4 124" xfId="9377"/>
    <cellStyle name="60% - Акцент4 125" xfId="9378"/>
    <cellStyle name="60% - Акцент4 126" xfId="9379"/>
    <cellStyle name="60% - Акцент4 127" xfId="9380"/>
    <cellStyle name="60% - Акцент4 128" xfId="9381"/>
    <cellStyle name="60% - Акцент4 129" xfId="9382"/>
    <cellStyle name="60% - Акцент4 13" xfId="9383"/>
    <cellStyle name="60% - Акцент4 130" xfId="9384"/>
    <cellStyle name="60% - Акцент4 131" xfId="9385"/>
    <cellStyle name="60% - Акцент4 132" xfId="9386"/>
    <cellStyle name="60% - Акцент4 133" xfId="9387"/>
    <cellStyle name="60% - Акцент4 134" xfId="9388"/>
    <cellStyle name="60% - Акцент4 135" xfId="9389"/>
    <cellStyle name="60% - Акцент4 136" xfId="9390"/>
    <cellStyle name="60% - Акцент4 137" xfId="9391"/>
    <cellStyle name="60% - Акцент4 138" xfId="9392"/>
    <cellStyle name="60% - Акцент4 139" xfId="9393"/>
    <cellStyle name="60% - Акцент4 14" xfId="9394"/>
    <cellStyle name="60% - Акцент4 140" xfId="9395"/>
    <cellStyle name="60% - Акцент4 141" xfId="9396"/>
    <cellStyle name="60% - Акцент4 142" xfId="9397"/>
    <cellStyle name="60% - Акцент4 143" xfId="9398"/>
    <cellStyle name="60% - Акцент4 144" xfId="9399"/>
    <cellStyle name="60% - Акцент4 145" xfId="9400"/>
    <cellStyle name="60% - Акцент4 146" xfId="9401"/>
    <cellStyle name="60% - Акцент4 147" xfId="9402"/>
    <cellStyle name="60% - Акцент4 148" xfId="9403"/>
    <cellStyle name="60% - Акцент4 149" xfId="9404"/>
    <cellStyle name="60% - Акцент4 15" xfId="9405"/>
    <cellStyle name="60% - Акцент4 150" xfId="9406"/>
    <cellStyle name="60% - Акцент4 151" xfId="9407"/>
    <cellStyle name="60% - Акцент4 152" xfId="9408"/>
    <cellStyle name="60% - Акцент4 16" xfId="9409"/>
    <cellStyle name="60% - Акцент4 17" xfId="9410"/>
    <cellStyle name="60% - Акцент4 18" xfId="9411"/>
    <cellStyle name="60% - Акцент4 19" xfId="9412"/>
    <cellStyle name="60% - Акцент4 2" xfId="9413"/>
    <cellStyle name="60% - Акцент4 2 2" xfId="9414"/>
    <cellStyle name="60% - Акцент4 2 3" xfId="9415"/>
    <cellStyle name="60% - Акцент4 2 4" xfId="9416"/>
    <cellStyle name="60% - Акцент4 2 5" xfId="9417"/>
    <cellStyle name="60% - Акцент4 2 6" xfId="9418"/>
    <cellStyle name="60% - Акцент4 2 7" xfId="9419"/>
    <cellStyle name="60% - Акцент4 20" xfId="9420"/>
    <cellStyle name="60% - Акцент4 20 2" xfId="9421"/>
    <cellStyle name="60% - Акцент4 21" xfId="9422"/>
    <cellStyle name="60% - Акцент4 22" xfId="9423"/>
    <cellStyle name="60% - Акцент4 23" xfId="9424"/>
    <cellStyle name="60% - Акцент4 24" xfId="9425"/>
    <cellStyle name="60% - Акцент4 25" xfId="9426"/>
    <cellStyle name="60% - Акцент4 26" xfId="9427"/>
    <cellStyle name="60% - Акцент4 27" xfId="9428"/>
    <cellStyle name="60% - Акцент4 28" xfId="9429"/>
    <cellStyle name="60% - Акцент4 29" xfId="9430"/>
    <cellStyle name="60% - Акцент4 3" xfId="9431"/>
    <cellStyle name="60% - Акцент4 30" xfId="9432"/>
    <cellStyle name="60% - Акцент4 31" xfId="9433"/>
    <cellStyle name="60% - Акцент4 32" xfId="9434"/>
    <cellStyle name="60% - Акцент4 33" xfId="9435"/>
    <cellStyle name="60% - Акцент4 34" xfId="9436"/>
    <cellStyle name="60% - Акцент4 35" xfId="9437"/>
    <cellStyle name="60% - Акцент4 36" xfId="9438"/>
    <cellStyle name="60% - Акцент4 37" xfId="9439"/>
    <cellStyle name="60% - Акцент4 38" xfId="9440"/>
    <cellStyle name="60% - Акцент4 39" xfId="9441"/>
    <cellStyle name="60% - Акцент4 4" xfId="9442"/>
    <cellStyle name="60% - Акцент4 40" xfId="9443"/>
    <cellStyle name="60% - Акцент4 41" xfId="9444"/>
    <cellStyle name="60% - Акцент4 42" xfId="9445"/>
    <cellStyle name="60% - Акцент4 43" xfId="9446"/>
    <cellStyle name="60% - Акцент4 44" xfId="9447"/>
    <cellStyle name="60% - Акцент4 45" xfId="9448"/>
    <cellStyle name="60% - Акцент4 46" xfId="9449"/>
    <cellStyle name="60% - Акцент4 47" xfId="9450"/>
    <cellStyle name="60% - Акцент4 48" xfId="9451"/>
    <cellStyle name="60% - Акцент4 49" xfId="9452"/>
    <cellStyle name="60% - Акцент4 5" xfId="9453"/>
    <cellStyle name="60% - Акцент4 50" xfId="9454"/>
    <cellStyle name="60% - Акцент4 51" xfId="9455"/>
    <cellStyle name="60% - Акцент4 52" xfId="9456"/>
    <cellStyle name="60% - Акцент4 53" xfId="9457"/>
    <cellStyle name="60% - Акцент4 54" xfId="9458"/>
    <cellStyle name="60% - Акцент4 55" xfId="9459"/>
    <cellStyle name="60% - Акцент4 56" xfId="9460"/>
    <cellStyle name="60% - Акцент4 57" xfId="9461"/>
    <cellStyle name="60% - Акцент4 58" xfId="9462"/>
    <cellStyle name="60% - Акцент4 59" xfId="9463"/>
    <cellStyle name="60% - Акцент4 6" xfId="9464"/>
    <cellStyle name="60% - Акцент4 60" xfId="9465"/>
    <cellStyle name="60% - Акцент4 61" xfId="9466"/>
    <cellStyle name="60% - Акцент4 62" xfId="9467"/>
    <cellStyle name="60% - Акцент4 63" xfId="9468"/>
    <cellStyle name="60% - Акцент4 64" xfId="9469"/>
    <cellStyle name="60% - Акцент4 65" xfId="9470"/>
    <cellStyle name="60% - Акцент4 66" xfId="9471"/>
    <cellStyle name="60% - Акцент4 67" xfId="9472"/>
    <cellStyle name="60% - Акцент4 68" xfId="9473"/>
    <cellStyle name="60% - Акцент4 69" xfId="9474"/>
    <cellStyle name="60% - Акцент4 7" xfId="9475"/>
    <cellStyle name="60% - Акцент4 70" xfId="9476"/>
    <cellStyle name="60% - Акцент4 71" xfId="9477"/>
    <cellStyle name="60% - Акцент4 72" xfId="9478"/>
    <cellStyle name="60% - Акцент4 73" xfId="9479"/>
    <cellStyle name="60% - Акцент4 74" xfId="9480"/>
    <cellStyle name="60% - Акцент4 75" xfId="9481"/>
    <cellStyle name="60% - Акцент4 76" xfId="9482"/>
    <cellStyle name="60% - Акцент4 77" xfId="9483"/>
    <cellStyle name="60% - Акцент4 78" xfId="9484"/>
    <cellStyle name="60% - Акцент4 79" xfId="9485"/>
    <cellStyle name="60% - Акцент4 8" xfId="9486"/>
    <cellStyle name="60% - Акцент4 80" xfId="9487"/>
    <cellStyle name="60% - Акцент4 81" xfId="9488"/>
    <cellStyle name="60% - Акцент4 82" xfId="9489"/>
    <cellStyle name="60% - Акцент4 83" xfId="9490"/>
    <cellStyle name="60% - Акцент4 84" xfId="9491"/>
    <cellStyle name="60% - Акцент4 85" xfId="9492"/>
    <cellStyle name="60% - Акцент4 86" xfId="9493"/>
    <cellStyle name="60% - Акцент4 87" xfId="9494"/>
    <cellStyle name="60% - Акцент4 88" xfId="9495"/>
    <cellStyle name="60% - Акцент4 89" xfId="9496"/>
    <cellStyle name="60% - Акцент4 9" xfId="9497"/>
    <cellStyle name="60% - Акцент4 90" xfId="9498"/>
    <cellStyle name="60% - Акцент4 91" xfId="9499"/>
    <cellStyle name="60% - Акцент4 92" xfId="9500"/>
    <cellStyle name="60% - Акцент4 93" xfId="9501"/>
    <cellStyle name="60% - Акцент4 94" xfId="9502"/>
    <cellStyle name="60% - Акцент4 95" xfId="9503"/>
    <cellStyle name="60% - Акцент4 96" xfId="9504"/>
    <cellStyle name="60% - Акцент4 97" xfId="9505"/>
    <cellStyle name="60% - Акцент4 98" xfId="9506"/>
    <cellStyle name="60% - Акцент4 99" xfId="9507"/>
    <cellStyle name="60% - Акцент5 10" xfId="9508"/>
    <cellStyle name="60% - Акцент5 100" xfId="9509"/>
    <cellStyle name="60% - Акцент5 101" xfId="9510"/>
    <cellStyle name="60% - Акцент5 102" xfId="9511"/>
    <cellStyle name="60% - Акцент5 103" xfId="9512"/>
    <cellStyle name="60% - Акцент5 104" xfId="9513"/>
    <cellStyle name="60% - Акцент5 105" xfId="9514"/>
    <cellStyle name="60% - Акцент5 106" xfId="9515"/>
    <cellStyle name="60% - Акцент5 107" xfId="9516"/>
    <cellStyle name="60% - Акцент5 108" xfId="9517"/>
    <cellStyle name="60% - Акцент5 109" xfId="9518"/>
    <cellStyle name="60% - Акцент5 11" xfId="9519"/>
    <cellStyle name="60% - Акцент5 110" xfId="9520"/>
    <cellStyle name="60% - Акцент5 111" xfId="9521"/>
    <cellStyle name="60% - Акцент5 112" xfId="9522"/>
    <cellStyle name="60% - Акцент5 113" xfId="9523"/>
    <cellStyle name="60% - Акцент5 114" xfId="9524"/>
    <cellStyle name="60% - Акцент5 115" xfId="9525"/>
    <cellStyle name="60% - Акцент5 116" xfId="9526"/>
    <cellStyle name="60% - Акцент5 117" xfId="9527"/>
    <cellStyle name="60% - Акцент5 118" xfId="9528"/>
    <cellStyle name="60% - Акцент5 119" xfId="9529"/>
    <cellStyle name="60% - Акцент5 12" xfId="9530"/>
    <cellStyle name="60% - Акцент5 120" xfId="9531"/>
    <cellStyle name="60% - Акцент5 121" xfId="9532"/>
    <cellStyle name="60% - Акцент5 122" xfId="9533"/>
    <cellStyle name="60% - Акцент5 123" xfId="9534"/>
    <cellStyle name="60% - Акцент5 124" xfId="9535"/>
    <cellStyle name="60% - Акцент5 125" xfId="9536"/>
    <cellStyle name="60% - Акцент5 126" xfId="9537"/>
    <cellStyle name="60% - Акцент5 127" xfId="9538"/>
    <cellStyle name="60% - Акцент5 128" xfId="9539"/>
    <cellStyle name="60% - Акцент5 129" xfId="9540"/>
    <cellStyle name="60% - Акцент5 13" xfId="9541"/>
    <cellStyle name="60% - Акцент5 130" xfId="9542"/>
    <cellStyle name="60% - Акцент5 131" xfId="9543"/>
    <cellStyle name="60% - Акцент5 132" xfId="9544"/>
    <cellStyle name="60% - Акцент5 133" xfId="9545"/>
    <cellStyle name="60% - Акцент5 134" xfId="9546"/>
    <cellStyle name="60% - Акцент5 135" xfId="9547"/>
    <cellStyle name="60% - Акцент5 136" xfId="9548"/>
    <cellStyle name="60% - Акцент5 137" xfId="9549"/>
    <cellStyle name="60% - Акцент5 138" xfId="9550"/>
    <cellStyle name="60% - Акцент5 139" xfId="9551"/>
    <cellStyle name="60% - Акцент5 14" xfId="9552"/>
    <cellStyle name="60% - Акцент5 140" xfId="9553"/>
    <cellStyle name="60% - Акцент5 141" xfId="9554"/>
    <cellStyle name="60% - Акцент5 142" xfId="9555"/>
    <cellStyle name="60% - Акцент5 143" xfId="9556"/>
    <cellStyle name="60% - Акцент5 144" xfId="9557"/>
    <cellStyle name="60% - Акцент5 145" xfId="9558"/>
    <cellStyle name="60% - Акцент5 146" xfId="9559"/>
    <cellStyle name="60% - Акцент5 147" xfId="9560"/>
    <cellStyle name="60% - Акцент5 148" xfId="9561"/>
    <cellStyle name="60% - Акцент5 149" xfId="9562"/>
    <cellStyle name="60% - Акцент5 15" xfId="9563"/>
    <cellStyle name="60% - Акцент5 150" xfId="9564"/>
    <cellStyle name="60% - Акцент5 151" xfId="9565"/>
    <cellStyle name="60% - Акцент5 152" xfId="9566"/>
    <cellStyle name="60% - Акцент5 16" xfId="9567"/>
    <cellStyle name="60% - Акцент5 17" xfId="9568"/>
    <cellStyle name="60% - Акцент5 18" xfId="9569"/>
    <cellStyle name="60% - Акцент5 19" xfId="9570"/>
    <cellStyle name="60% - Акцент5 2" xfId="9571"/>
    <cellStyle name="60% - Акцент5 2 2" xfId="9572"/>
    <cellStyle name="60% - Акцент5 2 3" xfId="9573"/>
    <cellStyle name="60% - Акцент5 2 4" xfId="9574"/>
    <cellStyle name="60% - Акцент5 2 5" xfId="9575"/>
    <cellStyle name="60% - Акцент5 2 6" xfId="9576"/>
    <cellStyle name="60% - Акцент5 2 7" xfId="9577"/>
    <cellStyle name="60% - Акцент5 20" xfId="9578"/>
    <cellStyle name="60% - Акцент5 20 2" xfId="9579"/>
    <cellStyle name="60% - Акцент5 21" xfId="9580"/>
    <cellStyle name="60% - Акцент5 22" xfId="9581"/>
    <cellStyle name="60% - Акцент5 23" xfId="9582"/>
    <cellStyle name="60% - Акцент5 24" xfId="9583"/>
    <cellStyle name="60% - Акцент5 25" xfId="9584"/>
    <cellStyle name="60% - Акцент5 26" xfId="9585"/>
    <cellStyle name="60% - Акцент5 27" xfId="9586"/>
    <cellStyle name="60% - Акцент5 28" xfId="9587"/>
    <cellStyle name="60% - Акцент5 29" xfId="9588"/>
    <cellStyle name="60% - Акцент5 3" xfId="9589"/>
    <cellStyle name="60% - Акцент5 30" xfId="9590"/>
    <cellStyle name="60% - Акцент5 31" xfId="9591"/>
    <cellStyle name="60% - Акцент5 32" xfId="9592"/>
    <cellStyle name="60% - Акцент5 33" xfId="9593"/>
    <cellStyle name="60% - Акцент5 34" xfId="9594"/>
    <cellStyle name="60% - Акцент5 35" xfId="9595"/>
    <cellStyle name="60% - Акцент5 36" xfId="9596"/>
    <cellStyle name="60% - Акцент5 37" xfId="9597"/>
    <cellStyle name="60% - Акцент5 38" xfId="9598"/>
    <cellStyle name="60% - Акцент5 39" xfId="9599"/>
    <cellStyle name="60% - Акцент5 4" xfId="9600"/>
    <cellStyle name="60% - Акцент5 40" xfId="9601"/>
    <cellStyle name="60% - Акцент5 41" xfId="9602"/>
    <cellStyle name="60% - Акцент5 42" xfId="9603"/>
    <cellStyle name="60% - Акцент5 43" xfId="9604"/>
    <cellStyle name="60% - Акцент5 44" xfId="9605"/>
    <cellStyle name="60% - Акцент5 45" xfId="9606"/>
    <cellStyle name="60% - Акцент5 46" xfId="9607"/>
    <cellStyle name="60% - Акцент5 47" xfId="9608"/>
    <cellStyle name="60% - Акцент5 48" xfId="9609"/>
    <cellStyle name="60% - Акцент5 49" xfId="9610"/>
    <cellStyle name="60% - Акцент5 5" xfId="9611"/>
    <cellStyle name="60% - Акцент5 50" xfId="9612"/>
    <cellStyle name="60% - Акцент5 51" xfId="9613"/>
    <cellStyle name="60% - Акцент5 52" xfId="9614"/>
    <cellStyle name="60% - Акцент5 53" xfId="9615"/>
    <cellStyle name="60% - Акцент5 54" xfId="9616"/>
    <cellStyle name="60% - Акцент5 55" xfId="9617"/>
    <cellStyle name="60% - Акцент5 56" xfId="9618"/>
    <cellStyle name="60% - Акцент5 57" xfId="9619"/>
    <cellStyle name="60% - Акцент5 58" xfId="9620"/>
    <cellStyle name="60% - Акцент5 59" xfId="9621"/>
    <cellStyle name="60% - Акцент5 6" xfId="9622"/>
    <cellStyle name="60% - Акцент5 60" xfId="9623"/>
    <cellStyle name="60% - Акцент5 61" xfId="9624"/>
    <cellStyle name="60% - Акцент5 62" xfId="9625"/>
    <cellStyle name="60% - Акцент5 63" xfId="9626"/>
    <cellStyle name="60% - Акцент5 64" xfId="9627"/>
    <cellStyle name="60% - Акцент5 65" xfId="9628"/>
    <cellStyle name="60% - Акцент5 66" xfId="9629"/>
    <cellStyle name="60% - Акцент5 67" xfId="9630"/>
    <cellStyle name="60% - Акцент5 68" xfId="9631"/>
    <cellStyle name="60% - Акцент5 69" xfId="9632"/>
    <cellStyle name="60% - Акцент5 7" xfId="9633"/>
    <cellStyle name="60% - Акцент5 70" xfId="9634"/>
    <cellStyle name="60% - Акцент5 71" xfId="9635"/>
    <cellStyle name="60% - Акцент5 72" xfId="9636"/>
    <cellStyle name="60% - Акцент5 73" xfId="9637"/>
    <cellStyle name="60% - Акцент5 74" xfId="9638"/>
    <cellStyle name="60% - Акцент5 75" xfId="9639"/>
    <cellStyle name="60% - Акцент5 76" xfId="9640"/>
    <cellStyle name="60% - Акцент5 77" xfId="9641"/>
    <cellStyle name="60% - Акцент5 78" xfId="9642"/>
    <cellStyle name="60% - Акцент5 79" xfId="9643"/>
    <cellStyle name="60% - Акцент5 8" xfId="9644"/>
    <cellStyle name="60% - Акцент5 80" xfId="9645"/>
    <cellStyle name="60% - Акцент5 81" xfId="9646"/>
    <cellStyle name="60% - Акцент5 82" xfId="9647"/>
    <cellStyle name="60% - Акцент5 83" xfId="9648"/>
    <cellStyle name="60% - Акцент5 84" xfId="9649"/>
    <cellStyle name="60% - Акцент5 85" xfId="9650"/>
    <cellStyle name="60% - Акцент5 86" xfId="9651"/>
    <cellStyle name="60% - Акцент5 87" xfId="9652"/>
    <cellStyle name="60% - Акцент5 88" xfId="9653"/>
    <cellStyle name="60% - Акцент5 89" xfId="9654"/>
    <cellStyle name="60% - Акцент5 9" xfId="9655"/>
    <cellStyle name="60% - Акцент5 90" xfId="9656"/>
    <cellStyle name="60% - Акцент5 91" xfId="9657"/>
    <cellStyle name="60% - Акцент5 92" xfId="9658"/>
    <cellStyle name="60% - Акцент5 93" xfId="9659"/>
    <cellStyle name="60% - Акцент5 94" xfId="9660"/>
    <cellStyle name="60% - Акцент5 95" xfId="9661"/>
    <cellStyle name="60% - Акцент5 96" xfId="9662"/>
    <cellStyle name="60% - Акцент5 97" xfId="9663"/>
    <cellStyle name="60% - Акцент5 98" xfId="9664"/>
    <cellStyle name="60% - Акцент5 99" xfId="9665"/>
    <cellStyle name="60% - Акцент6 10" xfId="9666"/>
    <cellStyle name="60% - Акцент6 100" xfId="9667"/>
    <cellStyle name="60% - Акцент6 101" xfId="9668"/>
    <cellStyle name="60% - Акцент6 102" xfId="9669"/>
    <cellStyle name="60% - Акцент6 103" xfId="9670"/>
    <cellStyle name="60% - Акцент6 104" xfId="9671"/>
    <cellStyle name="60% - Акцент6 105" xfId="9672"/>
    <cellStyle name="60% - Акцент6 106" xfId="9673"/>
    <cellStyle name="60% - Акцент6 107" xfId="9674"/>
    <cellStyle name="60% - Акцент6 108" xfId="9675"/>
    <cellStyle name="60% - Акцент6 109" xfId="9676"/>
    <cellStyle name="60% - Акцент6 11" xfId="9677"/>
    <cellStyle name="60% - Акцент6 110" xfId="9678"/>
    <cellStyle name="60% - Акцент6 111" xfId="9679"/>
    <cellStyle name="60% - Акцент6 112" xfId="9680"/>
    <cellStyle name="60% - Акцент6 113" xfId="9681"/>
    <cellStyle name="60% - Акцент6 114" xfId="9682"/>
    <cellStyle name="60% - Акцент6 115" xfId="9683"/>
    <cellStyle name="60% - Акцент6 116" xfId="9684"/>
    <cellStyle name="60% - Акцент6 117" xfId="9685"/>
    <cellStyle name="60% - Акцент6 118" xfId="9686"/>
    <cellStyle name="60% - Акцент6 119" xfId="9687"/>
    <cellStyle name="60% - Акцент6 12" xfId="9688"/>
    <cellStyle name="60% - Акцент6 120" xfId="9689"/>
    <cellStyle name="60% - Акцент6 121" xfId="9690"/>
    <cellStyle name="60% - Акцент6 122" xfId="9691"/>
    <cellStyle name="60% - Акцент6 123" xfId="9692"/>
    <cellStyle name="60% - Акцент6 124" xfId="9693"/>
    <cellStyle name="60% - Акцент6 125" xfId="9694"/>
    <cellStyle name="60% - Акцент6 126" xfId="9695"/>
    <cellStyle name="60% - Акцент6 127" xfId="9696"/>
    <cellStyle name="60% - Акцент6 128" xfId="9697"/>
    <cellStyle name="60% - Акцент6 129" xfId="9698"/>
    <cellStyle name="60% - Акцент6 13" xfId="9699"/>
    <cellStyle name="60% - Акцент6 130" xfId="9700"/>
    <cellStyle name="60% - Акцент6 131" xfId="9701"/>
    <cellStyle name="60% - Акцент6 132" xfId="9702"/>
    <cellStyle name="60% - Акцент6 133" xfId="9703"/>
    <cellStyle name="60% - Акцент6 134" xfId="9704"/>
    <cellStyle name="60% - Акцент6 135" xfId="9705"/>
    <cellStyle name="60% - Акцент6 136" xfId="9706"/>
    <cellStyle name="60% - Акцент6 137" xfId="9707"/>
    <cellStyle name="60% - Акцент6 138" xfId="9708"/>
    <cellStyle name="60% - Акцент6 139" xfId="9709"/>
    <cellStyle name="60% - Акцент6 14" xfId="9710"/>
    <cellStyle name="60% - Акцент6 140" xfId="9711"/>
    <cellStyle name="60% - Акцент6 141" xfId="9712"/>
    <cellStyle name="60% - Акцент6 142" xfId="9713"/>
    <cellStyle name="60% - Акцент6 143" xfId="9714"/>
    <cellStyle name="60% - Акцент6 144" xfId="9715"/>
    <cellStyle name="60% - Акцент6 145" xfId="9716"/>
    <cellStyle name="60% - Акцент6 146" xfId="9717"/>
    <cellStyle name="60% - Акцент6 147" xfId="9718"/>
    <cellStyle name="60% - Акцент6 148" xfId="9719"/>
    <cellStyle name="60% - Акцент6 149" xfId="9720"/>
    <cellStyle name="60% - Акцент6 15" xfId="9721"/>
    <cellStyle name="60% - Акцент6 150" xfId="9722"/>
    <cellStyle name="60% - Акцент6 151" xfId="9723"/>
    <cellStyle name="60% - Акцент6 152" xfId="9724"/>
    <cellStyle name="60% - Акцент6 16" xfId="9725"/>
    <cellStyle name="60% - Акцент6 17" xfId="9726"/>
    <cellStyle name="60% - Акцент6 18" xfId="9727"/>
    <cellStyle name="60% - Акцент6 19" xfId="9728"/>
    <cellStyle name="60% - Акцент6 2" xfId="9729"/>
    <cellStyle name="60% - Акцент6 2 2" xfId="9730"/>
    <cellStyle name="60% - Акцент6 2 3" xfId="9731"/>
    <cellStyle name="60% - Акцент6 2 4" xfId="9732"/>
    <cellStyle name="60% - Акцент6 2 5" xfId="9733"/>
    <cellStyle name="60% - Акцент6 2 6" xfId="9734"/>
    <cellStyle name="60% - Акцент6 2 7" xfId="9735"/>
    <cellStyle name="60% - Акцент6 20" xfId="9736"/>
    <cellStyle name="60% - Акцент6 20 2" xfId="9737"/>
    <cellStyle name="60% - Акцент6 21" xfId="9738"/>
    <cellStyle name="60% - Акцент6 22" xfId="9739"/>
    <cellStyle name="60% - Акцент6 23" xfId="9740"/>
    <cellStyle name="60% - Акцент6 24" xfId="9741"/>
    <cellStyle name="60% - Акцент6 25" xfId="9742"/>
    <cellStyle name="60% - Акцент6 26" xfId="9743"/>
    <cellStyle name="60% - Акцент6 27" xfId="9744"/>
    <cellStyle name="60% - Акцент6 28" xfId="9745"/>
    <cellStyle name="60% - Акцент6 29" xfId="9746"/>
    <cellStyle name="60% - Акцент6 3" xfId="9747"/>
    <cellStyle name="60% - Акцент6 30" xfId="9748"/>
    <cellStyle name="60% - Акцент6 31" xfId="9749"/>
    <cellStyle name="60% - Акцент6 32" xfId="9750"/>
    <cellStyle name="60% - Акцент6 33" xfId="9751"/>
    <cellStyle name="60% - Акцент6 34" xfId="9752"/>
    <cellStyle name="60% - Акцент6 35" xfId="9753"/>
    <cellStyle name="60% - Акцент6 36" xfId="9754"/>
    <cellStyle name="60% - Акцент6 37" xfId="9755"/>
    <cellStyle name="60% - Акцент6 38" xfId="9756"/>
    <cellStyle name="60% - Акцент6 39" xfId="9757"/>
    <cellStyle name="60% - Акцент6 4" xfId="9758"/>
    <cellStyle name="60% - Акцент6 40" xfId="9759"/>
    <cellStyle name="60% - Акцент6 41" xfId="9760"/>
    <cellStyle name="60% - Акцент6 42" xfId="9761"/>
    <cellStyle name="60% - Акцент6 43" xfId="9762"/>
    <cellStyle name="60% - Акцент6 44" xfId="9763"/>
    <cellStyle name="60% - Акцент6 45" xfId="9764"/>
    <cellStyle name="60% - Акцент6 46" xfId="9765"/>
    <cellStyle name="60% - Акцент6 47" xfId="9766"/>
    <cellStyle name="60% - Акцент6 48" xfId="9767"/>
    <cellStyle name="60% - Акцент6 49" xfId="9768"/>
    <cellStyle name="60% - Акцент6 5" xfId="9769"/>
    <cellStyle name="60% - Акцент6 50" xfId="9770"/>
    <cellStyle name="60% - Акцент6 51" xfId="9771"/>
    <cellStyle name="60% - Акцент6 52" xfId="9772"/>
    <cellStyle name="60% - Акцент6 53" xfId="9773"/>
    <cellStyle name="60% - Акцент6 54" xfId="9774"/>
    <cellStyle name="60% - Акцент6 55" xfId="9775"/>
    <cellStyle name="60% - Акцент6 56" xfId="9776"/>
    <cellStyle name="60% - Акцент6 57" xfId="9777"/>
    <cellStyle name="60% - Акцент6 58" xfId="9778"/>
    <cellStyle name="60% - Акцент6 59" xfId="9779"/>
    <cellStyle name="60% - Акцент6 6" xfId="9780"/>
    <cellStyle name="60% - Акцент6 60" xfId="9781"/>
    <cellStyle name="60% - Акцент6 61" xfId="9782"/>
    <cellStyle name="60% - Акцент6 62" xfId="9783"/>
    <cellStyle name="60% - Акцент6 63" xfId="9784"/>
    <cellStyle name="60% - Акцент6 64" xfId="9785"/>
    <cellStyle name="60% - Акцент6 65" xfId="9786"/>
    <cellStyle name="60% - Акцент6 66" xfId="9787"/>
    <cellStyle name="60% - Акцент6 67" xfId="9788"/>
    <cellStyle name="60% - Акцент6 68" xfId="9789"/>
    <cellStyle name="60% - Акцент6 69" xfId="9790"/>
    <cellStyle name="60% - Акцент6 7" xfId="9791"/>
    <cellStyle name="60% - Акцент6 70" xfId="9792"/>
    <cellStyle name="60% - Акцент6 71" xfId="9793"/>
    <cellStyle name="60% - Акцент6 72" xfId="9794"/>
    <cellStyle name="60% - Акцент6 73" xfId="9795"/>
    <cellStyle name="60% - Акцент6 74" xfId="9796"/>
    <cellStyle name="60% - Акцент6 75" xfId="9797"/>
    <cellStyle name="60% - Акцент6 76" xfId="9798"/>
    <cellStyle name="60% - Акцент6 77" xfId="9799"/>
    <cellStyle name="60% - Акцент6 78" xfId="9800"/>
    <cellStyle name="60% - Акцент6 79" xfId="9801"/>
    <cellStyle name="60% - Акцент6 8" xfId="9802"/>
    <cellStyle name="60% - Акцент6 80" xfId="9803"/>
    <cellStyle name="60% - Акцент6 81" xfId="9804"/>
    <cellStyle name="60% - Акцент6 82" xfId="9805"/>
    <cellStyle name="60% - Акцент6 83" xfId="9806"/>
    <cellStyle name="60% - Акцент6 84" xfId="9807"/>
    <cellStyle name="60% - Акцент6 85" xfId="9808"/>
    <cellStyle name="60% - Акцент6 86" xfId="9809"/>
    <cellStyle name="60% - Акцент6 87" xfId="9810"/>
    <cellStyle name="60% - Акцент6 88" xfId="9811"/>
    <cellStyle name="60% - Акцент6 89" xfId="9812"/>
    <cellStyle name="60% - Акцент6 9" xfId="9813"/>
    <cellStyle name="60% - Акцент6 90" xfId="9814"/>
    <cellStyle name="60% - Акцент6 91" xfId="9815"/>
    <cellStyle name="60% - Акцент6 92" xfId="9816"/>
    <cellStyle name="60% - Акцент6 93" xfId="9817"/>
    <cellStyle name="60% - Акцент6 94" xfId="9818"/>
    <cellStyle name="60% - Акцент6 95" xfId="9819"/>
    <cellStyle name="60% - Акцент6 96" xfId="9820"/>
    <cellStyle name="60% - Акцент6 97" xfId="9821"/>
    <cellStyle name="60% - Акцент6 98" xfId="9822"/>
    <cellStyle name="60% - Акцент6 99" xfId="9823"/>
    <cellStyle name="8pt" xfId="9824"/>
    <cellStyle name="8pt 2" xfId="9825"/>
    <cellStyle name="8pt 2 2" xfId="9826"/>
    <cellStyle name="8pt 3" xfId="9827"/>
    <cellStyle name="8pt 3 2" xfId="9828"/>
    <cellStyle name="8pt 4" xfId="9829"/>
    <cellStyle name="8pt 4 2" xfId="9830"/>
    <cellStyle name="8pt 5" xfId="9831"/>
    <cellStyle name="Aaia?iue [0]_vaqduGfTSN7qyUJNWHRlcWo3H" xfId="9832"/>
    <cellStyle name="Aaia?iue_vaqduGfTSN7qyUJNWHRlcWo3H" xfId="9833"/>
    <cellStyle name="Äåíåæíûé [0]_vaqduGfTSN7qyUJNWHRlcWo3H" xfId="9834"/>
    <cellStyle name="Äåíåæíûé_vaqduGfTSN7qyUJNWHRlcWo3H" xfId="9835"/>
    <cellStyle name="Accent1" xfId="9836"/>
    <cellStyle name="Accent1 - 20%" xfId="2"/>
    <cellStyle name="Accent1 - 40%" xfId="3"/>
    <cellStyle name="Accent1 - 60%" xfId="4"/>
    <cellStyle name="Accent1_акции по годам 2009-2012" xfId="9837"/>
    <cellStyle name="Accent2" xfId="9838"/>
    <cellStyle name="Accent2 - 20%" xfId="5"/>
    <cellStyle name="Accent2 - 40%" xfId="6"/>
    <cellStyle name="Accent2 - 60%" xfId="7"/>
    <cellStyle name="Accent2_акции по годам 2009-2012" xfId="9839"/>
    <cellStyle name="Accent3" xfId="9840"/>
    <cellStyle name="Accent3 - 20%" xfId="8"/>
    <cellStyle name="Accent3 - 40%" xfId="9"/>
    <cellStyle name="Accent3 - 60%" xfId="10"/>
    <cellStyle name="Accent3_FI_GL_VEDOM_1" xfId="9841"/>
    <cellStyle name="Accent4" xfId="9842"/>
    <cellStyle name="Accent4 - 20%" xfId="11"/>
    <cellStyle name="Accent4 - 40%" xfId="12"/>
    <cellStyle name="Accent4 - 60%" xfId="13"/>
    <cellStyle name="Accent4_FI_GL_VEDOM_1" xfId="9843"/>
    <cellStyle name="Accent5" xfId="9844"/>
    <cellStyle name="Accent5 - 20%" xfId="14"/>
    <cellStyle name="Accent5 - 40%" xfId="15"/>
    <cellStyle name="Accent5 - 60%" xfId="16"/>
    <cellStyle name="Accent5_FI_GL_VEDOM_1" xfId="9845"/>
    <cellStyle name="Accent6" xfId="9846"/>
    <cellStyle name="Accent6 - 20%" xfId="17"/>
    <cellStyle name="Accent6 - 40%" xfId="18"/>
    <cellStyle name="Accent6 - 60%" xfId="19"/>
    <cellStyle name="Accent6 2" xfId="9847"/>
    <cellStyle name="Accent6 3" xfId="9848"/>
    <cellStyle name="Accent6 4" xfId="9849"/>
    <cellStyle name="Accent6 5" xfId="9850"/>
    <cellStyle name="Accent6 6" xfId="9851"/>
    <cellStyle name="Accent6_FI_GL_VEDOM_1" xfId="9852"/>
    <cellStyle name="acct" xfId="9853"/>
    <cellStyle name="AeE­ [0]_?A°??µAoC?" xfId="9854"/>
    <cellStyle name="AeE­_?A°??µAoC?" xfId="9855"/>
    <cellStyle name="Aeia?nnueea" xfId="9856"/>
    <cellStyle name="Aeia?nnueea 2" xfId="9857"/>
    <cellStyle name="Aeia?nnueea 3" xfId="9858"/>
    <cellStyle name="Aeia?nnueea 4" xfId="9859"/>
    <cellStyle name="AFE" xfId="9860"/>
    <cellStyle name="AFE 2" xfId="9861"/>
    <cellStyle name="AFE 3" xfId="9862"/>
    <cellStyle name="AFE 4" xfId="9863"/>
    <cellStyle name="Annotations Cell - PerformancePoint" xfId="9864"/>
    <cellStyle name="Arial 10" xfId="9865"/>
    <cellStyle name="Arial 10 2" xfId="9866"/>
    <cellStyle name="Arial 10 3" xfId="9867"/>
    <cellStyle name="Arial 10 4" xfId="9868"/>
    <cellStyle name="Arial 12" xfId="9869"/>
    <cellStyle name="Arial 12 2" xfId="9870"/>
    <cellStyle name="Arial 12 3" xfId="9871"/>
    <cellStyle name="Arial 12 4" xfId="9872"/>
    <cellStyle name="Arial007000001514155735" xfId="9873"/>
    <cellStyle name="Arial007000001514155735 2" xfId="9874"/>
    <cellStyle name="Arial007000001514155735 2 2" xfId="9875"/>
    <cellStyle name="Arial007000001514155735 3" xfId="9876"/>
    <cellStyle name="Arial007000001514155735 3 2" xfId="9877"/>
    <cellStyle name="Arial0070000015536870911" xfId="9878"/>
    <cellStyle name="Arial0070000015536870911 2" xfId="9879"/>
    <cellStyle name="Arial0070000015536870911 2 2" xfId="9880"/>
    <cellStyle name="Arial0070000015536870911 3" xfId="9881"/>
    <cellStyle name="Arial0070000015536870911 3 2" xfId="9882"/>
    <cellStyle name="Arial007000001565535" xfId="9883"/>
    <cellStyle name="Arial007000001565535 2" xfId="9884"/>
    <cellStyle name="Arial007000001565535 2 2" xfId="9885"/>
    <cellStyle name="Arial007000001565535 3" xfId="9886"/>
    <cellStyle name="Arial007000001565535 3 2" xfId="9887"/>
    <cellStyle name="Arial0110010000536870911" xfId="9888"/>
    <cellStyle name="Arial01101000015536870911" xfId="9889"/>
    <cellStyle name="Arial01101000015536870911 2" xfId="9890"/>
    <cellStyle name="Arial01101000015536870911 2 2" xfId="9891"/>
    <cellStyle name="Arial01101000015536870911 2 2 2" xfId="9892"/>
    <cellStyle name="Arial01101000015536870911 2 3" xfId="9893"/>
    <cellStyle name="Arial01101000015536870911 2 3 2" xfId="9894"/>
    <cellStyle name="Arial01101000015536870911 2 4" xfId="9895"/>
    <cellStyle name="Arial01101000015536870911 3" xfId="9896"/>
    <cellStyle name="Arial01101000015536870911 3 2" xfId="9897"/>
    <cellStyle name="Arial01101000015536870911 3 2 2" xfId="9898"/>
    <cellStyle name="Arial01101000015536870911 3 3" xfId="9899"/>
    <cellStyle name="Arial01101000015536870911 3 3 2" xfId="9900"/>
    <cellStyle name="Arial01101000015536870911 3 4" xfId="9901"/>
    <cellStyle name="Arial01101000015536870911 4" xfId="9902"/>
    <cellStyle name="Arial01101000015536870911 4 2" xfId="9903"/>
    <cellStyle name="Arial01101000015536870911 5" xfId="9904"/>
    <cellStyle name="Arial01101000015536870911 5 2" xfId="9905"/>
    <cellStyle name="Arial01101000015536870911 6" xfId="9906"/>
    <cellStyle name="Arial01121000015536870911" xfId="9907"/>
    <cellStyle name="Arial017000001516777215" xfId="20"/>
    <cellStyle name="Arial017010000536870911" xfId="9908"/>
    <cellStyle name="Arial018000000536870911" xfId="9909"/>
    <cellStyle name="Arial10110100001516777215" xfId="21"/>
    <cellStyle name="Arial10170100015536870911" xfId="9910"/>
    <cellStyle name="Arial10170100015536870911 2" xfId="9911"/>
    <cellStyle name="Arial10170100015536870911 2 2" xfId="9912"/>
    <cellStyle name="Arial10170100015536870911 3" xfId="9913"/>
    <cellStyle name="Arial10170100015536870911 3 2" xfId="9914"/>
    <cellStyle name="Arial10170100015536870911 4" xfId="9915"/>
    <cellStyle name="Arial107000000536870911" xfId="9916"/>
    <cellStyle name="Arial107000001514155735" xfId="9917"/>
    <cellStyle name="Arial107000001514155735 2" xfId="9918"/>
    <cellStyle name="Arial107000001514155735 2 2" xfId="9919"/>
    <cellStyle name="Arial107000001514155735 3" xfId="9920"/>
    <cellStyle name="Arial107000001514155735 3 2" xfId="9921"/>
    <cellStyle name="Arial107000001514155735 4" xfId="9922"/>
    <cellStyle name="Arial107000001514155735FMT" xfId="9923"/>
    <cellStyle name="Arial107000001514155735FMT 2" xfId="9924"/>
    <cellStyle name="Arial107000001514155735FMT 2 2" xfId="9925"/>
    <cellStyle name="Arial107000001514155735FMT 3" xfId="9926"/>
    <cellStyle name="Arial107000001514155735FMT 3 2" xfId="9927"/>
    <cellStyle name="Arial107000001514155735FMT 4" xfId="9928"/>
    <cellStyle name="Arial1070000015536870911" xfId="9929"/>
    <cellStyle name="Arial1070000015536870911 2" xfId="9930"/>
    <cellStyle name="Arial1070000015536870911 2 2" xfId="9931"/>
    <cellStyle name="Arial1070000015536870911 3" xfId="9932"/>
    <cellStyle name="Arial1070000015536870911 3 2" xfId="9933"/>
    <cellStyle name="Arial1070000015536870911 4" xfId="9934"/>
    <cellStyle name="Arial1070000015536870911FMT" xfId="9935"/>
    <cellStyle name="Arial1070000015536870911FMT 2" xfId="9936"/>
    <cellStyle name="Arial1070000015536870911FMT 2 2" xfId="9937"/>
    <cellStyle name="Arial1070000015536870911FMT 3" xfId="9938"/>
    <cellStyle name="Arial1070000015536870911FMT 3 2" xfId="9939"/>
    <cellStyle name="Arial1070000015536870911FMT 4" xfId="9940"/>
    <cellStyle name="Arial107000001565535" xfId="9941"/>
    <cellStyle name="Arial107000001565535 2" xfId="9942"/>
    <cellStyle name="Arial107000001565535 2 2" xfId="9943"/>
    <cellStyle name="Arial107000001565535 3" xfId="9944"/>
    <cellStyle name="Arial107000001565535 3 2" xfId="9945"/>
    <cellStyle name="Arial107000001565535 4" xfId="9946"/>
    <cellStyle name="Arial107000001565535FMT" xfId="9947"/>
    <cellStyle name="Arial107000001565535FMT 2" xfId="9948"/>
    <cellStyle name="Arial107000001565535FMT 2 2" xfId="9949"/>
    <cellStyle name="Arial107000001565535FMT 3" xfId="9950"/>
    <cellStyle name="Arial107000001565535FMT 3 2" xfId="9951"/>
    <cellStyle name="Arial107000001565535FMT 4" xfId="9952"/>
    <cellStyle name="Arial11100000-2147483640016777215" xfId="22"/>
    <cellStyle name="Arial117100000536870911" xfId="9953"/>
    <cellStyle name="Arial118000000536870911" xfId="9954"/>
    <cellStyle name="Arial21100000-2147483640016777215" xfId="23"/>
    <cellStyle name="Arial2110100000536870911" xfId="9955"/>
    <cellStyle name="Arial21101000015536870911" xfId="9956"/>
    <cellStyle name="Arial21101000015536870911 2" xfId="9957"/>
    <cellStyle name="Arial21101000015536870911 2 2" xfId="9958"/>
    <cellStyle name="Arial21101000015536870911 2 2 2" xfId="9959"/>
    <cellStyle name="Arial21101000015536870911 2 3" xfId="9960"/>
    <cellStyle name="Arial21101000015536870911 2 3 2" xfId="9961"/>
    <cellStyle name="Arial21101000015536870911 2 4" xfId="9962"/>
    <cellStyle name="Arial21101000015536870911 3" xfId="9963"/>
    <cellStyle name="Arial21101000015536870911 3 2" xfId="9964"/>
    <cellStyle name="Arial21101000015536870911 3 2 2" xfId="9965"/>
    <cellStyle name="Arial21101000015536870911 3 3" xfId="9966"/>
    <cellStyle name="Arial21101000015536870911 3 3 2" xfId="9967"/>
    <cellStyle name="Arial21101000015536870911 3 4" xfId="9968"/>
    <cellStyle name="Arial21101000015536870911 4" xfId="9969"/>
    <cellStyle name="Arial21101000015536870911 4 2" xfId="9970"/>
    <cellStyle name="Arial21101000015536870911 5" xfId="9971"/>
    <cellStyle name="Arial21101000015536870911 5 2" xfId="9972"/>
    <cellStyle name="Arial21101000015536870911 6" xfId="9973"/>
    <cellStyle name="Arial2112100000536870911" xfId="9974"/>
    <cellStyle name="Arial2170000015536870911" xfId="9975"/>
    <cellStyle name="Arial2170000015536870911 2" xfId="9976"/>
    <cellStyle name="Arial2170000015536870911 2 2" xfId="9977"/>
    <cellStyle name="Arial2170000015536870911 3" xfId="9978"/>
    <cellStyle name="Arial2170000015536870911 3 2" xfId="9979"/>
    <cellStyle name="Arial2170000015536870911 4" xfId="9980"/>
    <cellStyle name="Arial2170000015536870911FMT" xfId="9981"/>
    <cellStyle name="Arial2170000015536870911FMT 2" xfId="9982"/>
    <cellStyle name="Arial2170000015536870911FMT 2 2" xfId="9983"/>
    <cellStyle name="Arial2170000015536870911FMT 3" xfId="9984"/>
    <cellStyle name="Arial2170000015536870911FMT 3 2" xfId="9985"/>
    <cellStyle name="Arial2170000015536870911FMT 4" xfId="9986"/>
    <cellStyle name="Arial81120100-2147483640016777215" xfId="24"/>
    <cellStyle name="Bad" xfId="9987"/>
    <cellStyle name="Balance" xfId="9988"/>
    <cellStyle name="Balance 2" xfId="9989"/>
    <cellStyle name="Balance 3" xfId="9990"/>
    <cellStyle name="Balance 4" xfId="9991"/>
    <cellStyle name="BalanceBold" xfId="9992"/>
    <cellStyle name="BalanceBold 2" xfId="9993"/>
    <cellStyle name="BalanceBold 3" xfId="9994"/>
    <cellStyle name="BalanceBold 4" xfId="9995"/>
    <cellStyle name="BLACK" xfId="9996"/>
    <cellStyle name="BLACK 2" xfId="9997"/>
    <cellStyle name="BLACK 2 2" xfId="9998"/>
    <cellStyle name="BLACK 3" xfId="9999"/>
    <cellStyle name="BLACK 3 2" xfId="10000"/>
    <cellStyle name="BLACK 4" xfId="10001"/>
    <cellStyle name="BLACK 4 2" xfId="10002"/>
    <cellStyle name="BLACK 5" xfId="10003"/>
    <cellStyle name="Blue" xfId="10004"/>
    <cellStyle name="Body" xfId="10005"/>
    <cellStyle name="Body 2" xfId="10006"/>
    <cellStyle name="Body 2 2" xfId="10007"/>
    <cellStyle name="Body 3" xfId="10008"/>
    <cellStyle name="Body 3 2" xfId="10009"/>
    <cellStyle name="Body 4" xfId="10010"/>
    <cellStyle name="Body 4 2" xfId="10011"/>
    <cellStyle name="Body 5" xfId="10012"/>
    <cellStyle name="British Pound" xfId="10013"/>
    <cellStyle name="C?AO_?A°??µAoC?" xfId="10014"/>
    <cellStyle name="Calc Currency (0)" xfId="10015"/>
    <cellStyle name="Calc Currency (0) 2" xfId="10016"/>
    <cellStyle name="Calc Currency (0) 3" xfId="10017"/>
    <cellStyle name="Calc Currency (0) 4" xfId="10018"/>
    <cellStyle name="Calc Currency (2)" xfId="10019"/>
    <cellStyle name="Calc Percent (0)" xfId="10020"/>
    <cellStyle name="Calc Percent (1)" xfId="10021"/>
    <cellStyle name="Calc Percent (2)" xfId="10022"/>
    <cellStyle name="Calc Units (0)" xfId="10023"/>
    <cellStyle name="Calc Units (1)" xfId="10024"/>
    <cellStyle name="Calc Units (2)" xfId="10025"/>
    <cellStyle name="Calculation" xfId="10026"/>
    <cellStyle name="Calculation 10" xfId="10027"/>
    <cellStyle name="Calculation 11" xfId="10028"/>
    <cellStyle name="Calculation 12" xfId="10029"/>
    <cellStyle name="Calculation 13" xfId="10030"/>
    <cellStyle name="Calculation 14" xfId="10031"/>
    <cellStyle name="Calculation 2" xfId="10032"/>
    <cellStyle name="Calculation 2 2" xfId="10033"/>
    <cellStyle name="Calculation 2 2 2" xfId="10034"/>
    <cellStyle name="Calculation 2 3" xfId="10035"/>
    <cellStyle name="Calculation 2 3 2" xfId="10036"/>
    <cellStyle name="Calculation 2 4" xfId="10037"/>
    <cellStyle name="Calculation 3" xfId="10038"/>
    <cellStyle name="Calculation 3 2" xfId="10039"/>
    <cellStyle name="Calculation 3 2 2" xfId="10040"/>
    <cellStyle name="Calculation 3 3" xfId="10041"/>
    <cellStyle name="Calculation 3 3 2" xfId="10042"/>
    <cellStyle name="Calculation 3 4" xfId="10043"/>
    <cellStyle name="Calculation 4" xfId="10044"/>
    <cellStyle name="Calculation 4 2" xfId="10045"/>
    <cellStyle name="Calculation 5" xfId="10046"/>
    <cellStyle name="Calculation 5 2" xfId="10047"/>
    <cellStyle name="Calculation 6" xfId="10048"/>
    <cellStyle name="Calculation 7" xfId="10049"/>
    <cellStyle name="Calculation 8" xfId="10050"/>
    <cellStyle name="Calculation 9" xfId="10051"/>
    <cellStyle name="Case" xfId="10052"/>
    <cellStyle name="Case 2" xfId="10053"/>
    <cellStyle name="Case 3" xfId="10054"/>
    <cellStyle name="Case 4" xfId="10055"/>
    <cellStyle name="Center Across" xfId="10056"/>
    <cellStyle name="Center Across 2" xfId="10057"/>
    <cellStyle name="Center Across 3" xfId="10058"/>
    <cellStyle name="Center Across 4" xfId="10059"/>
    <cellStyle name="Check" xfId="10060"/>
    <cellStyle name="Check Cell" xfId="10061"/>
    <cellStyle name="Code" xfId="10062"/>
    <cellStyle name="Column Heading" xfId="10063"/>
    <cellStyle name="Column Heading 2" xfId="10064"/>
    <cellStyle name="Column Heading 3" xfId="10065"/>
    <cellStyle name="Column Heading 4" xfId="10066"/>
    <cellStyle name="Comma [0]_#6 Temps &amp; Contractors" xfId="10067"/>
    <cellStyle name="Comma [00]" xfId="10068"/>
    <cellStyle name="Comma [1]" xfId="10069"/>
    <cellStyle name="Comma [1] 2" xfId="10070"/>
    <cellStyle name="Comma [1] 3" xfId="10071"/>
    <cellStyle name="Comma [1] 4" xfId="10072"/>
    <cellStyle name="Comma 0" xfId="10073"/>
    <cellStyle name="Comma 0 2" xfId="10074"/>
    <cellStyle name="Comma 0 3" xfId="10075"/>
    <cellStyle name="Comma 0 4" xfId="10076"/>
    <cellStyle name="Comma 0*" xfId="10077"/>
    <cellStyle name="Comma 0* 2" xfId="10078"/>
    <cellStyle name="Comma 0* 3" xfId="10079"/>
    <cellStyle name="Comma 0* 4" xfId="10080"/>
    <cellStyle name="Comma 2" xfId="10081"/>
    <cellStyle name="Comma 2 2" xfId="10082"/>
    <cellStyle name="Comma 2 3" xfId="10083"/>
    <cellStyle name="Comma 2 4" xfId="10084"/>
    <cellStyle name="Comma 3" xfId="10085"/>
    <cellStyle name="Comma_#6 Temps &amp; Contractors" xfId="10086"/>
    <cellStyle name="Comma0" xfId="10087"/>
    <cellStyle name="Currency [0]_#6 Temps &amp; Contractors" xfId="10088"/>
    <cellStyle name="Currency [00]" xfId="10089"/>
    <cellStyle name="Currency [1]" xfId="10090"/>
    <cellStyle name="Currency 0" xfId="10091"/>
    <cellStyle name="Currency 0 2" xfId="10092"/>
    <cellStyle name="Currency 0 3" xfId="10093"/>
    <cellStyle name="Currency 0 4" xfId="10094"/>
    <cellStyle name="Currency 2" xfId="10095"/>
    <cellStyle name="Currency 2 2" xfId="10096"/>
    <cellStyle name="Currency 2 3" xfId="10097"/>
    <cellStyle name="Currency 2 4" xfId="10098"/>
    <cellStyle name="Currency_#6 Temps &amp; Contractors" xfId="10099"/>
    <cellStyle name="Currency0" xfId="10100"/>
    <cellStyle name="D001" xfId="10101"/>
    <cellStyle name="D002" xfId="10102"/>
    <cellStyle name="D003" xfId="10103"/>
    <cellStyle name="D004" xfId="10104"/>
    <cellStyle name="D005" xfId="10105"/>
    <cellStyle name="D006" xfId="10106"/>
    <cellStyle name="D007" xfId="10107"/>
    <cellStyle name="D008" xfId="10108"/>
    <cellStyle name="D009" xfId="10109"/>
    <cellStyle name="D010" xfId="10110"/>
    <cellStyle name="D011" xfId="10111"/>
    <cellStyle name="D012" xfId="10112"/>
    <cellStyle name="D013" xfId="10113"/>
    <cellStyle name="D014" xfId="10114"/>
    <cellStyle name="D015" xfId="10115"/>
    <cellStyle name="D016" xfId="10116"/>
    <cellStyle name="D017" xfId="10117"/>
    <cellStyle name="D018" xfId="10118"/>
    <cellStyle name="D019" xfId="10119"/>
    <cellStyle name="D020" xfId="10120"/>
    <cellStyle name="Data" xfId="10121"/>
    <cellStyle name="Data 2" xfId="10122"/>
    <cellStyle name="Data 3" xfId="10123"/>
    <cellStyle name="Data 4" xfId="10124"/>
    <cellStyle name="Data Cell - PerformancePoint" xfId="10125"/>
    <cellStyle name="Data Entry Cell - PerformancePoint" xfId="10126"/>
    <cellStyle name="Data style" xfId="25"/>
    <cellStyle name="DataBold" xfId="10127"/>
    <cellStyle name="DataBold 2" xfId="10128"/>
    <cellStyle name="DataBold 3" xfId="10129"/>
    <cellStyle name="DataBold 4" xfId="10130"/>
    <cellStyle name="Date" xfId="10131"/>
    <cellStyle name="Date Aligned" xfId="10132"/>
    <cellStyle name="Date Aligned 2" xfId="10133"/>
    <cellStyle name="Date Aligned 3" xfId="10134"/>
    <cellStyle name="Date Aligned 4" xfId="10135"/>
    <cellStyle name="Date Short" xfId="10136"/>
    <cellStyle name="Date_07.12.2005  КЭШ и баланс " xfId="10137"/>
    <cellStyle name="Dec_0" xfId="10138"/>
    <cellStyle name="Deviant" xfId="10139"/>
    <cellStyle name="Dezimal [0]_PERSONAL" xfId="10140"/>
    <cellStyle name="Dezimal_PERSONAL" xfId="10141"/>
    <cellStyle name="Dollars" xfId="10142"/>
    <cellStyle name="Dotted Line" xfId="10143"/>
    <cellStyle name="Dotted Line 2" xfId="10144"/>
    <cellStyle name="Dotted Line 3" xfId="10145"/>
    <cellStyle name="Dotted Line 4" xfId="10146"/>
    <cellStyle name="Double Accounting" xfId="10147"/>
    <cellStyle name="Double Accounting 2" xfId="10148"/>
    <cellStyle name="Double Accounting 3" xfId="10149"/>
    <cellStyle name="Double Accounting 4" xfId="10150"/>
    <cellStyle name="E&amp;Y House" xfId="10151"/>
    <cellStyle name="E&amp;Y House 2" xfId="10152"/>
    <cellStyle name="E&amp;Y House 2 2" xfId="10153"/>
    <cellStyle name="E&amp;Y House 3" xfId="10154"/>
    <cellStyle name="E&amp;Y House 3 2" xfId="10155"/>
    <cellStyle name="E&amp;Y House 4" xfId="10156"/>
    <cellStyle name="E&amp;Y House 4 2" xfId="10157"/>
    <cellStyle name="E&amp;Y House 5" xfId="10158"/>
    <cellStyle name="Emphasis 1" xfId="26"/>
    <cellStyle name="Emphasis 2" xfId="27"/>
    <cellStyle name="Emphasis 3" xfId="28"/>
    <cellStyle name="Enter Currency (0)" xfId="10159"/>
    <cellStyle name="Enter Currency (2)" xfId="10160"/>
    <cellStyle name="Enter Units (0)" xfId="10161"/>
    <cellStyle name="Enter Units (1)" xfId="10162"/>
    <cellStyle name="Enter Units (2)" xfId="10163"/>
    <cellStyle name="Euro" xfId="10164"/>
    <cellStyle name="Explanatory Text" xfId="10165"/>
    <cellStyle name="Ezres [0]_Document" xfId="10166"/>
    <cellStyle name="Ezres_Document" xfId="10167"/>
    <cellStyle name="F001" xfId="10168"/>
    <cellStyle name="F002" xfId="10169"/>
    <cellStyle name="F003" xfId="10170"/>
    <cellStyle name="F004" xfId="10171"/>
    <cellStyle name="F005" xfId="10172"/>
    <cellStyle name="F006" xfId="10173"/>
    <cellStyle name="F007" xfId="10174"/>
    <cellStyle name="F008" xfId="10175"/>
    <cellStyle name="F009" xfId="10176"/>
    <cellStyle name="F010" xfId="10177"/>
    <cellStyle name="F011" xfId="10178"/>
    <cellStyle name="F012" xfId="10179"/>
    <cellStyle name="F013" xfId="10180"/>
    <cellStyle name="F014" xfId="10181"/>
    <cellStyle name="F015" xfId="10182"/>
    <cellStyle name="F016" xfId="10183"/>
    <cellStyle name="F017" xfId="10184"/>
    <cellStyle name="F018" xfId="10185"/>
    <cellStyle name="F019" xfId="10186"/>
    <cellStyle name="F020" xfId="10187"/>
    <cellStyle name="F021" xfId="10188"/>
    <cellStyle name="F022" xfId="10189"/>
    <cellStyle name="F023" xfId="10190"/>
    <cellStyle name="F024" xfId="10191"/>
    <cellStyle name="F025" xfId="10192"/>
    <cellStyle name="F026" xfId="10193"/>
    <cellStyle name="F027" xfId="10194"/>
    <cellStyle name="F028" xfId="10195"/>
    <cellStyle name="F029" xfId="10196"/>
    <cellStyle name="F030" xfId="10197"/>
    <cellStyle name="F031" xfId="10198"/>
    <cellStyle name="F032" xfId="10199"/>
    <cellStyle name="F033" xfId="10200"/>
    <cellStyle name="F034" xfId="10201"/>
    <cellStyle name="F035" xfId="10202"/>
    <cellStyle name="F036" xfId="10203"/>
    <cellStyle name="F037" xfId="10204"/>
    <cellStyle name="F038" xfId="10205"/>
    <cellStyle name="F039" xfId="10206"/>
    <cellStyle name="F040" xfId="10207"/>
    <cellStyle name="F041" xfId="10208"/>
    <cellStyle name="F042" xfId="10209"/>
    <cellStyle name="F043" xfId="10210"/>
    <cellStyle name="F2" xfId="10211"/>
    <cellStyle name="F2 2" xfId="10212"/>
    <cellStyle name="F2 3" xfId="10213"/>
    <cellStyle name="F2 4" xfId="10214"/>
    <cellStyle name="F3" xfId="10215"/>
    <cellStyle name="F3 2" xfId="10216"/>
    <cellStyle name="F3 3" xfId="10217"/>
    <cellStyle name="F3 4" xfId="10218"/>
    <cellStyle name="F4" xfId="10219"/>
    <cellStyle name="F4 2" xfId="10220"/>
    <cellStyle name="F4 3" xfId="10221"/>
    <cellStyle name="F4 4" xfId="10222"/>
    <cellStyle name="F5" xfId="10223"/>
    <cellStyle name="F5 2" xfId="10224"/>
    <cellStyle name="F5 3" xfId="10225"/>
    <cellStyle name="F5 4" xfId="10226"/>
    <cellStyle name="F6" xfId="10227"/>
    <cellStyle name="F6 2" xfId="10228"/>
    <cellStyle name="F6 3" xfId="10229"/>
    <cellStyle name="F6 4" xfId="10230"/>
    <cellStyle name="F7" xfId="10231"/>
    <cellStyle name="F7 2" xfId="10232"/>
    <cellStyle name="F7 3" xfId="10233"/>
    <cellStyle name="F7 4" xfId="10234"/>
    <cellStyle name="F8" xfId="10235"/>
    <cellStyle name="F8 2" xfId="10236"/>
    <cellStyle name="F8 3" xfId="10237"/>
    <cellStyle name="F8 4" xfId="10238"/>
    <cellStyle name="Factor" xfId="10239"/>
    <cellStyle name="Fixed" xfId="10240"/>
    <cellStyle name="Followed Hyperlink" xfId="10241"/>
    <cellStyle name="footer" xfId="10242"/>
    <cellStyle name="Footnote" xfId="10243"/>
    <cellStyle name="Footnote 2" xfId="10244"/>
    <cellStyle name="Footnote 3" xfId="10245"/>
    <cellStyle name="Footnote 4" xfId="10246"/>
    <cellStyle name="From" xfId="10247"/>
    <cellStyle name="Good" xfId="10248"/>
    <cellStyle name="Green" xfId="10249"/>
    <cellStyle name="Hard Percent" xfId="10250"/>
    <cellStyle name="Hard Percent 2" xfId="10251"/>
    <cellStyle name="Hard Percent 3" xfId="10252"/>
    <cellStyle name="Hard Percent 4" xfId="10253"/>
    <cellStyle name="Header" xfId="10254"/>
    <cellStyle name="Header 2" xfId="10255"/>
    <cellStyle name="Header 3" xfId="10256"/>
    <cellStyle name="Header 4" xfId="10257"/>
    <cellStyle name="Header style" xfId="29"/>
    <cellStyle name="Header1" xfId="10258"/>
    <cellStyle name="Header2" xfId="10259"/>
    <cellStyle name="Header2 10" xfId="10260"/>
    <cellStyle name="Header2 10 2" xfId="10261"/>
    <cellStyle name="Header2 10 2 2" xfId="10262"/>
    <cellStyle name="Header2 10 2 2 2" xfId="10263"/>
    <cellStyle name="Header2 10 2 2 2 2" xfId="10264"/>
    <cellStyle name="Header2 10 2 2 3" xfId="10265"/>
    <cellStyle name="Header2 10 2 2 3 2" xfId="10266"/>
    <cellStyle name="Header2 10 2 2 4" xfId="10267"/>
    <cellStyle name="Header2 10 2 3" xfId="10268"/>
    <cellStyle name="Header2 10 2 3 2" xfId="10269"/>
    <cellStyle name="Header2 10 2 3 2 2" xfId="10270"/>
    <cellStyle name="Header2 10 2 3 3" xfId="10271"/>
    <cellStyle name="Header2 10 2 3 3 2" xfId="10272"/>
    <cellStyle name="Header2 10 2 3 4" xfId="10273"/>
    <cellStyle name="Header2 10 2 4" xfId="10274"/>
    <cellStyle name="Header2 10 2 4 2" xfId="10275"/>
    <cellStyle name="Header2 10 2 5" xfId="10276"/>
    <cellStyle name="Header2 10 2 5 2" xfId="10277"/>
    <cellStyle name="Header2 10 2 6" xfId="10278"/>
    <cellStyle name="Header2 10 3" xfId="10279"/>
    <cellStyle name="Header2 10 3 2" xfId="10280"/>
    <cellStyle name="Header2 10 3 2 2" xfId="10281"/>
    <cellStyle name="Header2 10 3 2 2 2" xfId="10282"/>
    <cellStyle name="Header2 10 3 2 3" xfId="10283"/>
    <cellStyle name="Header2 10 3 2 3 2" xfId="10284"/>
    <cellStyle name="Header2 10 3 2 4" xfId="10285"/>
    <cellStyle name="Header2 10 3 3" xfId="10286"/>
    <cellStyle name="Header2 10 3 3 2" xfId="10287"/>
    <cellStyle name="Header2 10 3 3 2 2" xfId="10288"/>
    <cellStyle name="Header2 10 3 3 3" xfId="10289"/>
    <cellStyle name="Header2 10 3 3 3 2" xfId="10290"/>
    <cellStyle name="Header2 10 3 3 4" xfId="10291"/>
    <cellStyle name="Header2 10 3 4" xfId="10292"/>
    <cellStyle name="Header2 10 3 4 2" xfId="10293"/>
    <cellStyle name="Header2 10 3 5" xfId="10294"/>
    <cellStyle name="Header2 10 3 5 2" xfId="10295"/>
    <cellStyle name="Header2 10 3 6" xfId="10296"/>
    <cellStyle name="Header2 10 4" xfId="10297"/>
    <cellStyle name="Header2 10 4 2" xfId="10298"/>
    <cellStyle name="Header2 10 4 2 2" xfId="10299"/>
    <cellStyle name="Header2 10 4 2 2 2" xfId="10300"/>
    <cellStyle name="Header2 10 4 2 3" xfId="10301"/>
    <cellStyle name="Header2 10 4 2 3 2" xfId="10302"/>
    <cellStyle name="Header2 10 4 2 4" xfId="10303"/>
    <cellStyle name="Header2 10 4 3" xfId="10304"/>
    <cellStyle name="Header2 10 4 3 2" xfId="10305"/>
    <cellStyle name="Header2 10 4 3 2 2" xfId="10306"/>
    <cellStyle name="Header2 10 4 3 3" xfId="10307"/>
    <cellStyle name="Header2 10 4 3 3 2" xfId="10308"/>
    <cellStyle name="Header2 10 4 3 4" xfId="10309"/>
    <cellStyle name="Header2 10 4 4" xfId="10310"/>
    <cellStyle name="Header2 10 4 4 2" xfId="10311"/>
    <cellStyle name="Header2 10 4 5" xfId="10312"/>
    <cellStyle name="Header2 10 4 5 2" xfId="10313"/>
    <cellStyle name="Header2 10 4 6" xfId="10314"/>
    <cellStyle name="Header2 10 5" xfId="10315"/>
    <cellStyle name="Header2 10 5 2" xfId="10316"/>
    <cellStyle name="Header2 10 5 2 2" xfId="10317"/>
    <cellStyle name="Header2 10 5 3" xfId="10318"/>
    <cellStyle name="Header2 10 5 3 2" xfId="10319"/>
    <cellStyle name="Header2 10 5 4" xfId="10320"/>
    <cellStyle name="Header2 10 6" xfId="10321"/>
    <cellStyle name="Header2 10 6 2" xfId="10322"/>
    <cellStyle name="Header2 10 6 2 2" xfId="10323"/>
    <cellStyle name="Header2 10 6 3" xfId="10324"/>
    <cellStyle name="Header2 10 6 3 2" xfId="10325"/>
    <cellStyle name="Header2 10 6 4" xfId="10326"/>
    <cellStyle name="Header2 10 7" xfId="10327"/>
    <cellStyle name="Header2 10 7 2" xfId="10328"/>
    <cellStyle name="Header2 10 8" xfId="10329"/>
    <cellStyle name="Header2 10 8 2" xfId="10330"/>
    <cellStyle name="Header2 10 9" xfId="10331"/>
    <cellStyle name="Header2 11" xfId="10332"/>
    <cellStyle name="Header2 11 2" xfId="10333"/>
    <cellStyle name="Header2 11 2 2" xfId="10334"/>
    <cellStyle name="Header2 11 2 2 2" xfId="10335"/>
    <cellStyle name="Header2 11 2 2 2 2" xfId="10336"/>
    <cellStyle name="Header2 11 2 2 3" xfId="10337"/>
    <cellStyle name="Header2 11 2 2 3 2" xfId="10338"/>
    <cellStyle name="Header2 11 2 2 4" xfId="10339"/>
    <cellStyle name="Header2 11 2 3" xfId="10340"/>
    <cellStyle name="Header2 11 2 3 2" xfId="10341"/>
    <cellStyle name="Header2 11 2 3 2 2" xfId="10342"/>
    <cellStyle name="Header2 11 2 3 3" xfId="10343"/>
    <cellStyle name="Header2 11 2 3 3 2" xfId="10344"/>
    <cellStyle name="Header2 11 2 3 4" xfId="10345"/>
    <cellStyle name="Header2 11 2 4" xfId="10346"/>
    <cellStyle name="Header2 11 2 4 2" xfId="10347"/>
    <cellStyle name="Header2 11 2 5" xfId="10348"/>
    <cellStyle name="Header2 11 2 5 2" xfId="10349"/>
    <cellStyle name="Header2 11 2 6" xfId="10350"/>
    <cellStyle name="Header2 11 3" xfId="10351"/>
    <cellStyle name="Header2 11 3 2" xfId="10352"/>
    <cellStyle name="Header2 11 3 2 2" xfId="10353"/>
    <cellStyle name="Header2 11 3 2 2 2" xfId="10354"/>
    <cellStyle name="Header2 11 3 2 3" xfId="10355"/>
    <cellStyle name="Header2 11 3 2 3 2" xfId="10356"/>
    <cellStyle name="Header2 11 3 2 4" xfId="10357"/>
    <cellStyle name="Header2 11 3 3" xfId="10358"/>
    <cellStyle name="Header2 11 3 3 2" xfId="10359"/>
    <cellStyle name="Header2 11 3 3 2 2" xfId="10360"/>
    <cellStyle name="Header2 11 3 3 3" xfId="10361"/>
    <cellStyle name="Header2 11 3 3 3 2" xfId="10362"/>
    <cellStyle name="Header2 11 3 3 4" xfId="10363"/>
    <cellStyle name="Header2 11 3 4" xfId="10364"/>
    <cellStyle name="Header2 11 3 4 2" xfId="10365"/>
    <cellStyle name="Header2 11 3 5" xfId="10366"/>
    <cellStyle name="Header2 11 3 5 2" xfId="10367"/>
    <cellStyle name="Header2 11 3 6" xfId="10368"/>
    <cellStyle name="Header2 11 4" xfId="10369"/>
    <cellStyle name="Header2 11 4 2" xfId="10370"/>
    <cellStyle name="Header2 11 4 2 2" xfId="10371"/>
    <cellStyle name="Header2 11 4 2 2 2" xfId="10372"/>
    <cellStyle name="Header2 11 4 2 3" xfId="10373"/>
    <cellStyle name="Header2 11 4 2 3 2" xfId="10374"/>
    <cellStyle name="Header2 11 4 2 4" xfId="10375"/>
    <cellStyle name="Header2 11 4 3" xfId="10376"/>
    <cellStyle name="Header2 11 4 3 2" xfId="10377"/>
    <cellStyle name="Header2 11 4 3 2 2" xfId="10378"/>
    <cellStyle name="Header2 11 4 3 3" xfId="10379"/>
    <cellStyle name="Header2 11 4 3 3 2" xfId="10380"/>
    <cellStyle name="Header2 11 4 3 4" xfId="10381"/>
    <cellStyle name="Header2 11 4 4" xfId="10382"/>
    <cellStyle name="Header2 11 4 4 2" xfId="10383"/>
    <cellStyle name="Header2 11 4 5" xfId="10384"/>
    <cellStyle name="Header2 11 4 5 2" xfId="10385"/>
    <cellStyle name="Header2 11 4 6" xfId="10386"/>
    <cellStyle name="Header2 11 5" xfId="10387"/>
    <cellStyle name="Header2 11 5 2" xfId="10388"/>
    <cellStyle name="Header2 11 5 2 2" xfId="10389"/>
    <cellStyle name="Header2 11 5 3" xfId="10390"/>
    <cellStyle name="Header2 11 5 3 2" xfId="10391"/>
    <cellStyle name="Header2 11 5 4" xfId="10392"/>
    <cellStyle name="Header2 11 6" xfId="10393"/>
    <cellStyle name="Header2 11 6 2" xfId="10394"/>
    <cellStyle name="Header2 11 6 2 2" xfId="10395"/>
    <cellStyle name="Header2 11 6 3" xfId="10396"/>
    <cellStyle name="Header2 11 6 3 2" xfId="10397"/>
    <cellStyle name="Header2 11 6 4" xfId="10398"/>
    <cellStyle name="Header2 11 7" xfId="10399"/>
    <cellStyle name="Header2 11 7 2" xfId="10400"/>
    <cellStyle name="Header2 11 8" xfId="10401"/>
    <cellStyle name="Header2 11 8 2" xfId="10402"/>
    <cellStyle name="Header2 11 9" xfId="10403"/>
    <cellStyle name="Header2 12" xfId="10404"/>
    <cellStyle name="Header2 12 2" xfId="10405"/>
    <cellStyle name="Header2 12 2 2" xfId="10406"/>
    <cellStyle name="Header2 12 2 2 2" xfId="10407"/>
    <cellStyle name="Header2 12 2 2 2 2" xfId="10408"/>
    <cellStyle name="Header2 12 2 2 3" xfId="10409"/>
    <cellStyle name="Header2 12 2 2 3 2" xfId="10410"/>
    <cellStyle name="Header2 12 2 2 4" xfId="10411"/>
    <cellStyle name="Header2 12 2 3" xfId="10412"/>
    <cellStyle name="Header2 12 2 3 2" xfId="10413"/>
    <cellStyle name="Header2 12 2 3 2 2" xfId="10414"/>
    <cellStyle name="Header2 12 2 3 3" xfId="10415"/>
    <cellStyle name="Header2 12 2 3 3 2" xfId="10416"/>
    <cellStyle name="Header2 12 2 3 4" xfId="10417"/>
    <cellStyle name="Header2 12 2 4" xfId="10418"/>
    <cellStyle name="Header2 12 2 4 2" xfId="10419"/>
    <cellStyle name="Header2 12 2 5" xfId="10420"/>
    <cellStyle name="Header2 12 2 5 2" xfId="10421"/>
    <cellStyle name="Header2 12 2 6" xfId="10422"/>
    <cellStyle name="Header2 12 3" xfId="10423"/>
    <cellStyle name="Header2 12 3 2" xfId="10424"/>
    <cellStyle name="Header2 12 3 2 2" xfId="10425"/>
    <cellStyle name="Header2 12 3 2 2 2" xfId="10426"/>
    <cellStyle name="Header2 12 3 2 3" xfId="10427"/>
    <cellStyle name="Header2 12 3 2 3 2" xfId="10428"/>
    <cellStyle name="Header2 12 3 2 4" xfId="10429"/>
    <cellStyle name="Header2 12 3 3" xfId="10430"/>
    <cellStyle name="Header2 12 3 3 2" xfId="10431"/>
    <cellStyle name="Header2 12 3 3 2 2" xfId="10432"/>
    <cellStyle name="Header2 12 3 3 3" xfId="10433"/>
    <cellStyle name="Header2 12 3 3 3 2" xfId="10434"/>
    <cellStyle name="Header2 12 3 3 4" xfId="10435"/>
    <cellStyle name="Header2 12 3 4" xfId="10436"/>
    <cellStyle name="Header2 12 3 4 2" xfId="10437"/>
    <cellStyle name="Header2 12 3 5" xfId="10438"/>
    <cellStyle name="Header2 12 3 5 2" xfId="10439"/>
    <cellStyle name="Header2 12 3 6" xfId="10440"/>
    <cellStyle name="Header2 12 4" xfId="10441"/>
    <cellStyle name="Header2 12 4 2" xfId="10442"/>
    <cellStyle name="Header2 12 4 2 2" xfId="10443"/>
    <cellStyle name="Header2 12 4 2 2 2" xfId="10444"/>
    <cellStyle name="Header2 12 4 2 3" xfId="10445"/>
    <cellStyle name="Header2 12 4 2 3 2" xfId="10446"/>
    <cellStyle name="Header2 12 4 2 4" xfId="10447"/>
    <cellStyle name="Header2 12 4 3" xfId="10448"/>
    <cellStyle name="Header2 12 4 3 2" xfId="10449"/>
    <cellStyle name="Header2 12 4 3 2 2" xfId="10450"/>
    <cellStyle name="Header2 12 4 3 3" xfId="10451"/>
    <cellStyle name="Header2 12 4 3 3 2" xfId="10452"/>
    <cellStyle name="Header2 12 4 3 4" xfId="10453"/>
    <cellStyle name="Header2 12 4 4" xfId="10454"/>
    <cellStyle name="Header2 12 4 4 2" xfId="10455"/>
    <cellStyle name="Header2 12 4 5" xfId="10456"/>
    <cellStyle name="Header2 12 4 5 2" xfId="10457"/>
    <cellStyle name="Header2 12 4 6" xfId="10458"/>
    <cellStyle name="Header2 12 5" xfId="10459"/>
    <cellStyle name="Header2 12 5 2" xfId="10460"/>
    <cellStyle name="Header2 12 5 2 2" xfId="10461"/>
    <cellStyle name="Header2 12 5 3" xfId="10462"/>
    <cellStyle name="Header2 12 5 3 2" xfId="10463"/>
    <cellStyle name="Header2 12 5 4" xfId="10464"/>
    <cellStyle name="Header2 12 6" xfId="10465"/>
    <cellStyle name="Header2 12 6 2" xfId="10466"/>
    <cellStyle name="Header2 12 6 2 2" xfId="10467"/>
    <cellStyle name="Header2 12 6 3" xfId="10468"/>
    <cellStyle name="Header2 12 6 3 2" xfId="10469"/>
    <cellStyle name="Header2 12 6 4" xfId="10470"/>
    <cellStyle name="Header2 12 7" xfId="10471"/>
    <cellStyle name="Header2 12 7 2" xfId="10472"/>
    <cellStyle name="Header2 12 8" xfId="10473"/>
    <cellStyle name="Header2 12 8 2" xfId="10474"/>
    <cellStyle name="Header2 12 9" xfId="10475"/>
    <cellStyle name="Header2 13" xfId="10476"/>
    <cellStyle name="Header2 13 2" xfId="10477"/>
    <cellStyle name="Header2 13 2 2" xfId="10478"/>
    <cellStyle name="Header2 13 2 2 2" xfId="10479"/>
    <cellStyle name="Header2 13 2 2 2 2" xfId="10480"/>
    <cellStyle name="Header2 13 2 2 3" xfId="10481"/>
    <cellStyle name="Header2 13 2 2 3 2" xfId="10482"/>
    <cellStyle name="Header2 13 2 2 4" xfId="10483"/>
    <cellStyle name="Header2 13 2 3" xfId="10484"/>
    <cellStyle name="Header2 13 2 3 2" xfId="10485"/>
    <cellStyle name="Header2 13 2 3 2 2" xfId="10486"/>
    <cellStyle name="Header2 13 2 3 3" xfId="10487"/>
    <cellStyle name="Header2 13 2 3 3 2" xfId="10488"/>
    <cellStyle name="Header2 13 2 3 4" xfId="10489"/>
    <cellStyle name="Header2 13 2 4" xfId="10490"/>
    <cellStyle name="Header2 13 2 4 2" xfId="10491"/>
    <cellStyle name="Header2 13 2 5" xfId="10492"/>
    <cellStyle name="Header2 13 2 5 2" xfId="10493"/>
    <cellStyle name="Header2 13 2 6" xfId="10494"/>
    <cellStyle name="Header2 13 3" xfId="10495"/>
    <cellStyle name="Header2 13 3 2" xfId="10496"/>
    <cellStyle name="Header2 13 3 2 2" xfId="10497"/>
    <cellStyle name="Header2 13 3 2 2 2" xfId="10498"/>
    <cellStyle name="Header2 13 3 2 3" xfId="10499"/>
    <cellStyle name="Header2 13 3 2 3 2" xfId="10500"/>
    <cellStyle name="Header2 13 3 2 4" xfId="10501"/>
    <cellStyle name="Header2 13 3 3" xfId="10502"/>
    <cellStyle name="Header2 13 3 3 2" xfId="10503"/>
    <cellStyle name="Header2 13 3 3 2 2" xfId="10504"/>
    <cellStyle name="Header2 13 3 3 3" xfId="10505"/>
    <cellStyle name="Header2 13 3 3 3 2" xfId="10506"/>
    <cellStyle name="Header2 13 3 3 4" xfId="10507"/>
    <cellStyle name="Header2 13 3 4" xfId="10508"/>
    <cellStyle name="Header2 13 3 4 2" xfId="10509"/>
    <cellStyle name="Header2 13 3 5" xfId="10510"/>
    <cellStyle name="Header2 13 3 5 2" xfId="10511"/>
    <cellStyle name="Header2 13 3 6" xfId="10512"/>
    <cellStyle name="Header2 13 4" xfId="10513"/>
    <cellStyle name="Header2 13 4 2" xfId="10514"/>
    <cellStyle name="Header2 13 4 2 2" xfId="10515"/>
    <cellStyle name="Header2 13 4 2 2 2" xfId="10516"/>
    <cellStyle name="Header2 13 4 2 3" xfId="10517"/>
    <cellStyle name="Header2 13 4 2 3 2" xfId="10518"/>
    <cellStyle name="Header2 13 4 2 4" xfId="10519"/>
    <cellStyle name="Header2 13 4 3" xfId="10520"/>
    <cellStyle name="Header2 13 4 3 2" xfId="10521"/>
    <cellStyle name="Header2 13 4 3 2 2" xfId="10522"/>
    <cellStyle name="Header2 13 4 3 3" xfId="10523"/>
    <cellStyle name="Header2 13 4 3 3 2" xfId="10524"/>
    <cellStyle name="Header2 13 4 3 4" xfId="10525"/>
    <cellStyle name="Header2 13 4 4" xfId="10526"/>
    <cellStyle name="Header2 13 4 4 2" xfId="10527"/>
    <cellStyle name="Header2 13 4 5" xfId="10528"/>
    <cellStyle name="Header2 13 4 5 2" xfId="10529"/>
    <cellStyle name="Header2 13 4 6" xfId="10530"/>
    <cellStyle name="Header2 13 5" xfId="10531"/>
    <cellStyle name="Header2 13 5 2" xfId="10532"/>
    <cellStyle name="Header2 13 5 2 2" xfId="10533"/>
    <cellStyle name="Header2 13 5 3" xfId="10534"/>
    <cellStyle name="Header2 13 5 3 2" xfId="10535"/>
    <cellStyle name="Header2 13 5 4" xfId="10536"/>
    <cellStyle name="Header2 13 6" xfId="10537"/>
    <cellStyle name="Header2 13 6 2" xfId="10538"/>
    <cellStyle name="Header2 13 6 2 2" xfId="10539"/>
    <cellStyle name="Header2 13 6 3" xfId="10540"/>
    <cellStyle name="Header2 13 6 3 2" xfId="10541"/>
    <cellStyle name="Header2 13 6 4" xfId="10542"/>
    <cellStyle name="Header2 13 7" xfId="10543"/>
    <cellStyle name="Header2 13 7 2" xfId="10544"/>
    <cellStyle name="Header2 13 8" xfId="10545"/>
    <cellStyle name="Header2 13 8 2" xfId="10546"/>
    <cellStyle name="Header2 13 9" xfId="10547"/>
    <cellStyle name="Header2 14" xfId="10548"/>
    <cellStyle name="Header2 14 2" xfId="10549"/>
    <cellStyle name="Header2 14 2 2" xfId="10550"/>
    <cellStyle name="Header2 14 2 2 2" xfId="10551"/>
    <cellStyle name="Header2 14 2 2 2 2" xfId="10552"/>
    <cellStyle name="Header2 14 2 2 3" xfId="10553"/>
    <cellStyle name="Header2 14 2 2 3 2" xfId="10554"/>
    <cellStyle name="Header2 14 2 2 4" xfId="10555"/>
    <cellStyle name="Header2 14 2 3" xfId="10556"/>
    <cellStyle name="Header2 14 2 3 2" xfId="10557"/>
    <cellStyle name="Header2 14 2 3 2 2" xfId="10558"/>
    <cellStyle name="Header2 14 2 3 3" xfId="10559"/>
    <cellStyle name="Header2 14 2 3 3 2" xfId="10560"/>
    <cellStyle name="Header2 14 2 3 4" xfId="10561"/>
    <cellStyle name="Header2 14 2 4" xfId="10562"/>
    <cellStyle name="Header2 14 2 4 2" xfId="10563"/>
    <cellStyle name="Header2 14 2 5" xfId="10564"/>
    <cellStyle name="Header2 14 2 5 2" xfId="10565"/>
    <cellStyle name="Header2 14 2 6" xfId="10566"/>
    <cellStyle name="Header2 14 3" xfId="10567"/>
    <cellStyle name="Header2 14 3 2" xfId="10568"/>
    <cellStyle name="Header2 14 3 2 2" xfId="10569"/>
    <cellStyle name="Header2 14 3 2 2 2" xfId="10570"/>
    <cellStyle name="Header2 14 3 2 3" xfId="10571"/>
    <cellStyle name="Header2 14 3 2 3 2" xfId="10572"/>
    <cellStyle name="Header2 14 3 2 4" xfId="10573"/>
    <cellStyle name="Header2 14 3 3" xfId="10574"/>
    <cellStyle name="Header2 14 3 3 2" xfId="10575"/>
    <cellStyle name="Header2 14 3 3 2 2" xfId="10576"/>
    <cellStyle name="Header2 14 3 3 3" xfId="10577"/>
    <cellStyle name="Header2 14 3 3 3 2" xfId="10578"/>
    <cellStyle name="Header2 14 3 3 4" xfId="10579"/>
    <cellStyle name="Header2 14 3 4" xfId="10580"/>
    <cellStyle name="Header2 14 3 4 2" xfId="10581"/>
    <cellStyle name="Header2 14 3 5" xfId="10582"/>
    <cellStyle name="Header2 14 3 5 2" xfId="10583"/>
    <cellStyle name="Header2 14 3 6" xfId="10584"/>
    <cellStyle name="Header2 14 4" xfId="10585"/>
    <cellStyle name="Header2 14 4 2" xfId="10586"/>
    <cellStyle name="Header2 14 4 2 2" xfId="10587"/>
    <cellStyle name="Header2 14 4 2 2 2" xfId="10588"/>
    <cellStyle name="Header2 14 4 2 3" xfId="10589"/>
    <cellStyle name="Header2 14 4 2 3 2" xfId="10590"/>
    <cellStyle name="Header2 14 4 2 4" xfId="10591"/>
    <cellStyle name="Header2 14 4 3" xfId="10592"/>
    <cellStyle name="Header2 14 4 3 2" xfId="10593"/>
    <cellStyle name="Header2 14 4 3 2 2" xfId="10594"/>
    <cellStyle name="Header2 14 4 3 3" xfId="10595"/>
    <cellStyle name="Header2 14 4 3 3 2" xfId="10596"/>
    <cellStyle name="Header2 14 4 3 4" xfId="10597"/>
    <cellStyle name="Header2 14 4 4" xfId="10598"/>
    <cellStyle name="Header2 14 4 4 2" xfId="10599"/>
    <cellStyle name="Header2 14 4 5" xfId="10600"/>
    <cellStyle name="Header2 14 4 5 2" xfId="10601"/>
    <cellStyle name="Header2 14 4 6" xfId="10602"/>
    <cellStyle name="Header2 14 5" xfId="10603"/>
    <cellStyle name="Header2 14 5 2" xfId="10604"/>
    <cellStyle name="Header2 14 5 2 2" xfId="10605"/>
    <cellStyle name="Header2 14 5 3" xfId="10606"/>
    <cellStyle name="Header2 14 5 3 2" xfId="10607"/>
    <cellStyle name="Header2 14 5 4" xfId="10608"/>
    <cellStyle name="Header2 14 6" xfId="10609"/>
    <cellStyle name="Header2 14 6 2" xfId="10610"/>
    <cellStyle name="Header2 14 6 2 2" xfId="10611"/>
    <cellStyle name="Header2 14 6 3" xfId="10612"/>
    <cellStyle name="Header2 14 6 3 2" xfId="10613"/>
    <cellStyle name="Header2 14 6 4" xfId="10614"/>
    <cellStyle name="Header2 14 7" xfId="10615"/>
    <cellStyle name="Header2 14 7 2" xfId="10616"/>
    <cellStyle name="Header2 14 8" xfId="10617"/>
    <cellStyle name="Header2 14 8 2" xfId="10618"/>
    <cellStyle name="Header2 14 9" xfId="10619"/>
    <cellStyle name="Header2 15" xfId="10620"/>
    <cellStyle name="Header2 15 2" xfId="10621"/>
    <cellStyle name="Header2 15 2 2" xfId="10622"/>
    <cellStyle name="Header2 15 2 2 2" xfId="10623"/>
    <cellStyle name="Header2 15 2 2 2 2" xfId="10624"/>
    <cellStyle name="Header2 15 2 2 3" xfId="10625"/>
    <cellStyle name="Header2 15 2 2 3 2" xfId="10626"/>
    <cellStyle name="Header2 15 2 2 4" xfId="10627"/>
    <cellStyle name="Header2 15 2 3" xfId="10628"/>
    <cellStyle name="Header2 15 2 3 2" xfId="10629"/>
    <cellStyle name="Header2 15 2 3 2 2" xfId="10630"/>
    <cellStyle name="Header2 15 2 3 3" xfId="10631"/>
    <cellStyle name="Header2 15 2 3 3 2" xfId="10632"/>
    <cellStyle name="Header2 15 2 3 4" xfId="10633"/>
    <cellStyle name="Header2 15 2 4" xfId="10634"/>
    <cellStyle name="Header2 15 2 4 2" xfId="10635"/>
    <cellStyle name="Header2 15 2 5" xfId="10636"/>
    <cellStyle name="Header2 15 2 5 2" xfId="10637"/>
    <cellStyle name="Header2 15 2 6" xfId="10638"/>
    <cellStyle name="Header2 15 3" xfId="10639"/>
    <cellStyle name="Header2 15 3 2" xfId="10640"/>
    <cellStyle name="Header2 15 3 2 2" xfId="10641"/>
    <cellStyle name="Header2 15 3 2 2 2" xfId="10642"/>
    <cellStyle name="Header2 15 3 2 3" xfId="10643"/>
    <cellStyle name="Header2 15 3 2 3 2" xfId="10644"/>
    <cellStyle name="Header2 15 3 2 4" xfId="10645"/>
    <cellStyle name="Header2 15 3 3" xfId="10646"/>
    <cellStyle name="Header2 15 3 3 2" xfId="10647"/>
    <cellStyle name="Header2 15 3 3 2 2" xfId="10648"/>
    <cellStyle name="Header2 15 3 3 3" xfId="10649"/>
    <cellStyle name="Header2 15 3 3 3 2" xfId="10650"/>
    <cellStyle name="Header2 15 3 3 4" xfId="10651"/>
    <cellStyle name="Header2 15 3 4" xfId="10652"/>
    <cellStyle name="Header2 15 3 4 2" xfId="10653"/>
    <cellStyle name="Header2 15 3 5" xfId="10654"/>
    <cellStyle name="Header2 15 3 5 2" xfId="10655"/>
    <cellStyle name="Header2 15 3 6" xfId="10656"/>
    <cellStyle name="Header2 15 4" xfId="10657"/>
    <cellStyle name="Header2 15 4 2" xfId="10658"/>
    <cellStyle name="Header2 15 4 2 2" xfId="10659"/>
    <cellStyle name="Header2 15 4 2 2 2" xfId="10660"/>
    <cellStyle name="Header2 15 4 2 3" xfId="10661"/>
    <cellStyle name="Header2 15 4 2 3 2" xfId="10662"/>
    <cellStyle name="Header2 15 4 2 4" xfId="10663"/>
    <cellStyle name="Header2 15 4 3" xfId="10664"/>
    <cellStyle name="Header2 15 4 3 2" xfId="10665"/>
    <cellStyle name="Header2 15 4 3 2 2" xfId="10666"/>
    <cellStyle name="Header2 15 4 3 3" xfId="10667"/>
    <cellStyle name="Header2 15 4 3 3 2" xfId="10668"/>
    <cellStyle name="Header2 15 4 3 4" xfId="10669"/>
    <cellStyle name="Header2 15 4 4" xfId="10670"/>
    <cellStyle name="Header2 15 4 4 2" xfId="10671"/>
    <cellStyle name="Header2 15 4 5" xfId="10672"/>
    <cellStyle name="Header2 15 4 5 2" xfId="10673"/>
    <cellStyle name="Header2 15 4 6" xfId="10674"/>
    <cellStyle name="Header2 15 5" xfId="10675"/>
    <cellStyle name="Header2 15 5 2" xfId="10676"/>
    <cellStyle name="Header2 15 5 2 2" xfId="10677"/>
    <cellStyle name="Header2 15 5 3" xfId="10678"/>
    <cellStyle name="Header2 15 5 3 2" xfId="10679"/>
    <cellStyle name="Header2 15 5 4" xfId="10680"/>
    <cellStyle name="Header2 15 6" xfId="10681"/>
    <cellStyle name="Header2 15 6 2" xfId="10682"/>
    <cellStyle name="Header2 15 6 2 2" xfId="10683"/>
    <cellStyle name="Header2 15 6 3" xfId="10684"/>
    <cellStyle name="Header2 15 6 3 2" xfId="10685"/>
    <cellStyle name="Header2 15 6 4" xfId="10686"/>
    <cellStyle name="Header2 15 7" xfId="10687"/>
    <cellStyle name="Header2 15 7 2" xfId="10688"/>
    <cellStyle name="Header2 15 8" xfId="10689"/>
    <cellStyle name="Header2 15 8 2" xfId="10690"/>
    <cellStyle name="Header2 15 9" xfId="10691"/>
    <cellStyle name="Header2 16" xfId="10692"/>
    <cellStyle name="Header2 16 2" xfId="10693"/>
    <cellStyle name="Header2 16 2 2" xfId="10694"/>
    <cellStyle name="Header2 16 2 2 2" xfId="10695"/>
    <cellStyle name="Header2 16 2 2 2 2" xfId="10696"/>
    <cellStyle name="Header2 16 2 2 3" xfId="10697"/>
    <cellStyle name="Header2 16 2 2 3 2" xfId="10698"/>
    <cellStyle name="Header2 16 2 2 4" xfId="10699"/>
    <cellStyle name="Header2 16 2 3" xfId="10700"/>
    <cellStyle name="Header2 16 2 3 2" xfId="10701"/>
    <cellStyle name="Header2 16 2 3 2 2" xfId="10702"/>
    <cellStyle name="Header2 16 2 3 3" xfId="10703"/>
    <cellStyle name="Header2 16 2 3 3 2" xfId="10704"/>
    <cellStyle name="Header2 16 2 3 4" xfId="10705"/>
    <cellStyle name="Header2 16 2 4" xfId="10706"/>
    <cellStyle name="Header2 16 2 4 2" xfId="10707"/>
    <cellStyle name="Header2 16 2 5" xfId="10708"/>
    <cellStyle name="Header2 16 2 5 2" xfId="10709"/>
    <cellStyle name="Header2 16 2 6" xfId="10710"/>
    <cellStyle name="Header2 16 3" xfId="10711"/>
    <cellStyle name="Header2 16 3 2" xfId="10712"/>
    <cellStyle name="Header2 16 3 2 2" xfId="10713"/>
    <cellStyle name="Header2 16 3 2 2 2" xfId="10714"/>
    <cellStyle name="Header2 16 3 2 3" xfId="10715"/>
    <cellStyle name="Header2 16 3 2 3 2" xfId="10716"/>
    <cellStyle name="Header2 16 3 2 4" xfId="10717"/>
    <cellStyle name="Header2 16 3 3" xfId="10718"/>
    <cellStyle name="Header2 16 3 3 2" xfId="10719"/>
    <cellStyle name="Header2 16 3 3 2 2" xfId="10720"/>
    <cellStyle name="Header2 16 3 3 3" xfId="10721"/>
    <cellStyle name="Header2 16 3 3 3 2" xfId="10722"/>
    <cellStyle name="Header2 16 3 3 4" xfId="10723"/>
    <cellStyle name="Header2 16 3 4" xfId="10724"/>
    <cellStyle name="Header2 16 3 4 2" xfId="10725"/>
    <cellStyle name="Header2 16 3 5" xfId="10726"/>
    <cellStyle name="Header2 16 3 5 2" xfId="10727"/>
    <cellStyle name="Header2 16 3 6" xfId="10728"/>
    <cellStyle name="Header2 16 4" xfId="10729"/>
    <cellStyle name="Header2 16 4 2" xfId="10730"/>
    <cellStyle name="Header2 16 4 2 2" xfId="10731"/>
    <cellStyle name="Header2 16 4 2 2 2" xfId="10732"/>
    <cellStyle name="Header2 16 4 2 3" xfId="10733"/>
    <cellStyle name="Header2 16 4 2 3 2" xfId="10734"/>
    <cellStyle name="Header2 16 4 2 4" xfId="10735"/>
    <cellStyle name="Header2 16 4 3" xfId="10736"/>
    <cellStyle name="Header2 16 4 3 2" xfId="10737"/>
    <cellStyle name="Header2 16 4 3 2 2" xfId="10738"/>
    <cellStyle name="Header2 16 4 3 3" xfId="10739"/>
    <cellStyle name="Header2 16 4 3 3 2" xfId="10740"/>
    <cellStyle name="Header2 16 4 3 4" xfId="10741"/>
    <cellStyle name="Header2 16 4 4" xfId="10742"/>
    <cellStyle name="Header2 16 4 4 2" xfId="10743"/>
    <cellStyle name="Header2 16 4 5" xfId="10744"/>
    <cellStyle name="Header2 16 4 5 2" xfId="10745"/>
    <cellStyle name="Header2 16 4 6" xfId="10746"/>
    <cellStyle name="Header2 16 5" xfId="10747"/>
    <cellStyle name="Header2 16 5 2" xfId="10748"/>
    <cellStyle name="Header2 16 5 2 2" xfId="10749"/>
    <cellStyle name="Header2 16 5 3" xfId="10750"/>
    <cellStyle name="Header2 16 5 3 2" xfId="10751"/>
    <cellStyle name="Header2 16 5 4" xfId="10752"/>
    <cellStyle name="Header2 16 6" xfId="10753"/>
    <cellStyle name="Header2 16 6 2" xfId="10754"/>
    <cellStyle name="Header2 16 6 2 2" xfId="10755"/>
    <cellStyle name="Header2 16 6 3" xfId="10756"/>
    <cellStyle name="Header2 16 6 3 2" xfId="10757"/>
    <cellStyle name="Header2 16 6 4" xfId="10758"/>
    <cellStyle name="Header2 16 7" xfId="10759"/>
    <cellStyle name="Header2 16 7 2" xfId="10760"/>
    <cellStyle name="Header2 16 8" xfId="10761"/>
    <cellStyle name="Header2 16 8 2" xfId="10762"/>
    <cellStyle name="Header2 16 9" xfId="10763"/>
    <cellStyle name="Header2 17" xfId="10764"/>
    <cellStyle name="Header2 17 2" xfId="10765"/>
    <cellStyle name="Header2 17 2 2" xfId="10766"/>
    <cellStyle name="Header2 17 3" xfId="10767"/>
    <cellStyle name="Header2 17 3 2" xfId="10768"/>
    <cellStyle name="Header2 17 4" xfId="10769"/>
    <cellStyle name="Header2 18" xfId="10770"/>
    <cellStyle name="Header2 18 2" xfId="10771"/>
    <cellStyle name="Header2 19" xfId="10772"/>
    <cellStyle name="Header2 19 2" xfId="10773"/>
    <cellStyle name="Header2 2" xfId="10774"/>
    <cellStyle name="Header2 2 2" xfId="10775"/>
    <cellStyle name="Header2 2 2 2" xfId="10776"/>
    <cellStyle name="Header2 2 2 2 2" xfId="10777"/>
    <cellStyle name="Header2 2 2 2 2 2" xfId="10778"/>
    <cellStyle name="Header2 2 2 2 3" xfId="10779"/>
    <cellStyle name="Header2 2 2 2 3 2" xfId="10780"/>
    <cellStyle name="Header2 2 2 2 4" xfId="10781"/>
    <cellStyle name="Header2 2 2 3" xfId="10782"/>
    <cellStyle name="Header2 2 2 3 2" xfId="10783"/>
    <cellStyle name="Header2 2 2 3 2 2" xfId="10784"/>
    <cellStyle name="Header2 2 2 3 3" xfId="10785"/>
    <cellStyle name="Header2 2 2 3 3 2" xfId="10786"/>
    <cellStyle name="Header2 2 2 3 4" xfId="10787"/>
    <cellStyle name="Header2 2 2 4" xfId="10788"/>
    <cellStyle name="Header2 2 2 4 2" xfId="10789"/>
    <cellStyle name="Header2 2 2 5" xfId="10790"/>
    <cellStyle name="Header2 2 2 5 2" xfId="10791"/>
    <cellStyle name="Header2 2 2 6" xfId="10792"/>
    <cellStyle name="Header2 2 3" xfId="10793"/>
    <cellStyle name="Header2 2 3 2" xfId="10794"/>
    <cellStyle name="Header2 2 3 2 2" xfId="10795"/>
    <cellStyle name="Header2 2 3 2 2 2" xfId="10796"/>
    <cellStyle name="Header2 2 3 2 3" xfId="10797"/>
    <cellStyle name="Header2 2 3 2 3 2" xfId="10798"/>
    <cellStyle name="Header2 2 3 2 4" xfId="10799"/>
    <cellStyle name="Header2 2 3 3" xfId="10800"/>
    <cellStyle name="Header2 2 3 3 2" xfId="10801"/>
    <cellStyle name="Header2 2 3 3 2 2" xfId="10802"/>
    <cellStyle name="Header2 2 3 3 3" xfId="10803"/>
    <cellStyle name="Header2 2 3 3 3 2" xfId="10804"/>
    <cellStyle name="Header2 2 3 3 4" xfId="10805"/>
    <cellStyle name="Header2 2 3 4" xfId="10806"/>
    <cellStyle name="Header2 2 3 4 2" xfId="10807"/>
    <cellStyle name="Header2 2 3 5" xfId="10808"/>
    <cellStyle name="Header2 2 3 5 2" xfId="10809"/>
    <cellStyle name="Header2 2 3 6" xfId="10810"/>
    <cellStyle name="Header2 2 4" xfId="10811"/>
    <cellStyle name="Header2 2 4 2" xfId="10812"/>
    <cellStyle name="Header2 2 4 2 2" xfId="10813"/>
    <cellStyle name="Header2 2 4 2 2 2" xfId="10814"/>
    <cellStyle name="Header2 2 4 2 3" xfId="10815"/>
    <cellStyle name="Header2 2 4 2 3 2" xfId="10816"/>
    <cellStyle name="Header2 2 4 2 4" xfId="10817"/>
    <cellStyle name="Header2 2 4 3" xfId="10818"/>
    <cellStyle name="Header2 2 4 3 2" xfId="10819"/>
    <cellStyle name="Header2 2 4 3 2 2" xfId="10820"/>
    <cellStyle name="Header2 2 4 3 3" xfId="10821"/>
    <cellStyle name="Header2 2 4 3 3 2" xfId="10822"/>
    <cellStyle name="Header2 2 4 3 4" xfId="10823"/>
    <cellStyle name="Header2 2 4 4" xfId="10824"/>
    <cellStyle name="Header2 2 4 4 2" xfId="10825"/>
    <cellStyle name="Header2 2 4 5" xfId="10826"/>
    <cellStyle name="Header2 2 4 5 2" xfId="10827"/>
    <cellStyle name="Header2 2 4 6" xfId="10828"/>
    <cellStyle name="Header2 2 5" xfId="10829"/>
    <cellStyle name="Header2 2 5 2" xfId="10830"/>
    <cellStyle name="Header2 2 5 2 2" xfId="10831"/>
    <cellStyle name="Header2 2 5 3" xfId="10832"/>
    <cellStyle name="Header2 2 5 3 2" xfId="10833"/>
    <cellStyle name="Header2 2 5 4" xfId="10834"/>
    <cellStyle name="Header2 2 6" xfId="10835"/>
    <cellStyle name="Header2 2 6 2" xfId="10836"/>
    <cellStyle name="Header2 2 6 2 2" xfId="10837"/>
    <cellStyle name="Header2 2 6 3" xfId="10838"/>
    <cellStyle name="Header2 2 6 3 2" xfId="10839"/>
    <cellStyle name="Header2 2 6 4" xfId="10840"/>
    <cellStyle name="Header2 2 7" xfId="10841"/>
    <cellStyle name="Header2 2 7 2" xfId="10842"/>
    <cellStyle name="Header2 2 8" xfId="10843"/>
    <cellStyle name="Header2 2 8 2" xfId="10844"/>
    <cellStyle name="Header2 2 9" xfId="10845"/>
    <cellStyle name="Header2 20" xfId="10846"/>
    <cellStyle name="Header2 3" xfId="10847"/>
    <cellStyle name="Header2 3 2" xfId="10848"/>
    <cellStyle name="Header2 3 2 2" xfId="10849"/>
    <cellStyle name="Header2 3 2 2 2" xfId="10850"/>
    <cellStyle name="Header2 3 2 2 2 2" xfId="10851"/>
    <cellStyle name="Header2 3 2 2 3" xfId="10852"/>
    <cellStyle name="Header2 3 2 2 3 2" xfId="10853"/>
    <cellStyle name="Header2 3 2 2 4" xfId="10854"/>
    <cellStyle name="Header2 3 2 3" xfId="10855"/>
    <cellStyle name="Header2 3 2 3 2" xfId="10856"/>
    <cellStyle name="Header2 3 2 3 2 2" xfId="10857"/>
    <cellStyle name="Header2 3 2 3 3" xfId="10858"/>
    <cellStyle name="Header2 3 2 3 3 2" xfId="10859"/>
    <cellStyle name="Header2 3 2 3 4" xfId="10860"/>
    <cellStyle name="Header2 3 2 4" xfId="10861"/>
    <cellStyle name="Header2 3 2 4 2" xfId="10862"/>
    <cellStyle name="Header2 3 2 5" xfId="10863"/>
    <cellStyle name="Header2 3 2 5 2" xfId="10864"/>
    <cellStyle name="Header2 3 2 6" xfId="10865"/>
    <cellStyle name="Header2 3 3" xfId="10866"/>
    <cellStyle name="Header2 3 3 2" xfId="10867"/>
    <cellStyle name="Header2 3 3 2 2" xfId="10868"/>
    <cellStyle name="Header2 3 3 2 2 2" xfId="10869"/>
    <cellStyle name="Header2 3 3 2 3" xfId="10870"/>
    <cellStyle name="Header2 3 3 2 3 2" xfId="10871"/>
    <cellStyle name="Header2 3 3 2 4" xfId="10872"/>
    <cellStyle name="Header2 3 3 3" xfId="10873"/>
    <cellStyle name="Header2 3 3 3 2" xfId="10874"/>
    <cellStyle name="Header2 3 3 3 2 2" xfId="10875"/>
    <cellStyle name="Header2 3 3 3 3" xfId="10876"/>
    <cellStyle name="Header2 3 3 3 3 2" xfId="10877"/>
    <cellStyle name="Header2 3 3 3 4" xfId="10878"/>
    <cellStyle name="Header2 3 3 4" xfId="10879"/>
    <cellStyle name="Header2 3 3 4 2" xfId="10880"/>
    <cellStyle name="Header2 3 3 5" xfId="10881"/>
    <cellStyle name="Header2 3 3 5 2" xfId="10882"/>
    <cellStyle name="Header2 3 3 6" xfId="10883"/>
    <cellStyle name="Header2 3 4" xfId="10884"/>
    <cellStyle name="Header2 3 4 2" xfId="10885"/>
    <cellStyle name="Header2 3 4 2 2" xfId="10886"/>
    <cellStyle name="Header2 3 4 2 2 2" xfId="10887"/>
    <cellStyle name="Header2 3 4 2 3" xfId="10888"/>
    <cellStyle name="Header2 3 4 2 3 2" xfId="10889"/>
    <cellStyle name="Header2 3 4 2 4" xfId="10890"/>
    <cellStyle name="Header2 3 4 3" xfId="10891"/>
    <cellStyle name="Header2 3 4 3 2" xfId="10892"/>
    <cellStyle name="Header2 3 4 3 2 2" xfId="10893"/>
    <cellStyle name="Header2 3 4 3 3" xfId="10894"/>
    <cellStyle name="Header2 3 4 3 3 2" xfId="10895"/>
    <cellStyle name="Header2 3 4 3 4" xfId="10896"/>
    <cellStyle name="Header2 3 4 4" xfId="10897"/>
    <cellStyle name="Header2 3 4 4 2" xfId="10898"/>
    <cellStyle name="Header2 3 4 5" xfId="10899"/>
    <cellStyle name="Header2 3 4 5 2" xfId="10900"/>
    <cellStyle name="Header2 3 4 6" xfId="10901"/>
    <cellStyle name="Header2 3 5" xfId="10902"/>
    <cellStyle name="Header2 3 5 2" xfId="10903"/>
    <cellStyle name="Header2 3 5 2 2" xfId="10904"/>
    <cellStyle name="Header2 3 5 3" xfId="10905"/>
    <cellStyle name="Header2 3 5 3 2" xfId="10906"/>
    <cellStyle name="Header2 3 5 4" xfId="10907"/>
    <cellStyle name="Header2 3 6" xfId="10908"/>
    <cellStyle name="Header2 3 6 2" xfId="10909"/>
    <cellStyle name="Header2 3 6 2 2" xfId="10910"/>
    <cellStyle name="Header2 3 6 3" xfId="10911"/>
    <cellStyle name="Header2 3 6 3 2" xfId="10912"/>
    <cellStyle name="Header2 3 6 4" xfId="10913"/>
    <cellStyle name="Header2 3 7" xfId="10914"/>
    <cellStyle name="Header2 3 7 2" xfId="10915"/>
    <cellStyle name="Header2 3 8" xfId="10916"/>
    <cellStyle name="Header2 3 8 2" xfId="10917"/>
    <cellStyle name="Header2 3 9" xfId="10918"/>
    <cellStyle name="Header2 4" xfId="10919"/>
    <cellStyle name="Header2 4 2" xfId="10920"/>
    <cellStyle name="Header2 4 2 2" xfId="10921"/>
    <cellStyle name="Header2 4 2 2 2" xfId="10922"/>
    <cellStyle name="Header2 4 2 2 2 2" xfId="10923"/>
    <cellStyle name="Header2 4 2 2 3" xfId="10924"/>
    <cellStyle name="Header2 4 2 2 3 2" xfId="10925"/>
    <cellStyle name="Header2 4 2 2 4" xfId="10926"/>
    <cellStyle name="Header2 4 2 3" xfId="10927"/>
    <cellStyle name="Header2 4 2 3 2" xfId="10928"/>
    <cellStyle name="Header2 4 2 3 2 2" xfId="10929"/>
    <cellStyle name="Header2 4 2 3 3" xfId="10930"/>
    <cellStyle name="Header2 4 2 3 3 2" xfId="10931"/>
    <cellStyle name="Header2 4 2 3 4" xfId="10932"/>
    <cellStyle name="Header2 4 2 4" xfId="10933"/>
    <cellStyle name="Header2 4 2 4 2" xfId="10934"/>
    <cellStyle name="Header2 4 2 5" xfId="10935"/>
    <cellStyle name="Header2 4 2 5 2" xfId="10936"/>
    <cellStyle name="Header2 4 2 6" xfId="10937"/>
    <cellStyle name="Header2 4 3" xfId="10938"/>
    <cellStyle name="Header2 4 3 2" xfId="10939"/>
    <cellStyle name="Header2 4 3 2 2" xfId="10940"/>
    <cellStyle name="Header2 4 3 2 2 2" xfId="10941"/>
    <cellStyle name="Header2 4 3 2 3" xfId="10942"/>
    <cellStyle name="Header2 4 3 2 3 2" xfId="10943"/>
    <cellStyle name="Header2 4 3 2 4" xfId="10944"/>
    <cellStyle name="Header2 4 3 3" xfId="10945"/>
    <cellStyle name="Header2 4 3 3 2" xfId="10946"/>
    <cellStyle name="Header2 4 3 3 2 2" xfId="10947"/>
    <cellStyle name="Header2 4 3 3 3" xfId="10948"/>
    <cellStyle name="Header2 4 3 3 3 2" xfId="10949"/>
    <cellStyle name="Header2 4 3 3 4" xfId="10950"/>
    <cellStyle name="Header2 4 3 4" xfId="10951"/>
    <cellStyle name="Header2 4 3 4 2" xfId="10952"/>
    <cellStyle name="Header2 4 3 5" xfId="10953"/>
    <cellStyle name="Header2 4 3 5 2" xfId="10954"/>
    <cellStyle name="Header2 4 3 6" xfId="10955"/>
    <cellStyle name="Header2 4 4" xfId="10956"/>
    <cellStyle name="Header2 4 4 2" xfId="10957"/>
    <cellStyle name="Header2 4 4 2 2" xfId="10958"/>
    <cellStyle name="Header2 4 4 2 2 2" xfId="10959"/>
    <cellStyle name="Header2 4 4 2 3" xfId="10960"/>
    <cellStyle name="Header2 4 4 2 3 2" xfId="10961"/>
    <cellStyle name="Header2 4 4 2 4" xfId="10962"/>
    <cellStyle name="Header2 4 4 3" xfId="10963"/>
    <cellStyle name="Header2 4 4 3 2" xfId="10964"/>
    <cellStyle name="Header2 4 4 3 2 2" xfId="10965"/>
    <cellStyle name="Header2 4 4 3 3" xfId="10966"/>
    <cellStyle name="Header2 4 4 3 3 2" xfId="10967"/>
    <cellStyle name="Header2 4 4 3 4" xfId="10968"/>
    <cellStyle name="Header2 4 4 4" xfId="10969"/>
    <cellStyle name="Header2 4 4 4 2" xfId="10970"/>
    <cellStyle name="Header2 4 4 5" xfId="10971"/>
    <cellStyle name="Header2 4 4 5 2" xfId="10972"/>
    <cellStyle name="Header2 4 4 6" xfId="10973"/>
    <cellStyle name="Header2 4 5" xfId="10974"/>
    <cellStyle name="Header2 4 5 2" xfId="10975"/>
    <cellStyle name="Header2 4 5 2 2" xfId="10976"/>
    <cellStyle name="Header2 4 5 3" xfId="10977"/>
    <cellStyle name="Header2 4 5 3 2" xfId="10978"/>
    <cellStyle name="Header2 4 5 4" xfId="10979"/>
    <cellStyle name="Header2 4 6" xfId="10980"/>
    <cellStyle name="Header2 4 6 2" xfId="10981"/>
    <cellStyle name="Header2 4 6 2 2" xfId="10982"/>
    <cellStyle name="Header2 4 6 3" xfId="10983"/>
    <cellStyle name="Header2 4 6 3 2" xfId="10984"/>
    <cellStyle name="Header2 4 6 4" xfId="10985"/>
    <cellStyle name="Header2 4 7" xfId="10986"/>
    <cellStyle name="Header2 4 7 2" xfId="10987"/>
    <cellStyle name="Header2 4 8" xfId="10988"/>
    <cellStyle name="Header2 4 8 2" xfId="10989"/>
    <cellStyle name="Header2 4 9" xfId="10990"/>
    <cellStyle name="Header2 5" xfId="10991"/>
    <cellStyle name="Header2 5 2" xfId="10992"/>
    <cellStyle name="Header2 5 2 2" xfId="10993"/>
    <cellStyle name="Header2 5 2 2 2" xfId="10994"/>
    <cellStyle name="Header2 5 2 2 2 2" xfId="10995"/>
    <cellStyle name="Header2 5 2 2 3" xfId="10996"/>
    <cellStyle name="Header2 5 2 2 3 2" xfId="10997"/>
    <cellStyle name="Header2 5 2 2 4" xfId="10998"/>
    <cellStyle name="Header2 5 2 3" xfId="10999"/>
    <cellStyle name="Header2 5 2 3 2" xfId="11000"/>
    <cellStyle name="Header2 5 2 3 2 2" xfId="11001"/>
    <cellStyle name="Header2 5 2 3 3" xfId="11002"/>
    <cellStyle name="Header2 5 2 3 3 2" xfId="11003"/>
    <cellStyle name="Header2 5 2 3 4" xfId="11004"/>
    <cellStyle name="Header2 5 2 4" xfId="11005"/>
    <cellStyle name="Header2 5 2 4 2" xfId="11006"/>
    <cellStyle name="Header2 5 2 5" xfId="11007"/>
    <cellStyle name="Header2 5 2 5 2" xfId="11008"/>
    <cellStyle name="Header2 5 2 6" xfId="11009"/>
    <cellStyle name="Header2 5 3" xfId="11010"/>
    <cellStyle name="Header2 5 3 2" xfId="11011"/>
    <cellStyle name="Header2 5 3 2 2" xfId="11012"/>
    <cellStyle name="Header2 5 3 2 2 2" xfId="11013"/>
    <cellStyle name="Header2 5 3 2 3" xfId="11014"/>
    <cellStyle name="Header2 5 3 2 3 2" xfId="11015"/>
    <cellStyle name="Header2 5 3 2 4" xfId="11016"/>
    <cellStyle name="Header2 5 3 3" xfId="11017"/>
    <cellStyle name="Header2 5 3 3 2" xfId="11018"/>
    <cellStyle name="Header2 5 3 3 2 2" xfId="11019"/>
    <cellStyle name="Header2 5 3 3 3" xfId="11020"/>
    <cellStyle name="Header2 5 3 3 3 2" xfId="11021"/>
    <cellStyle name="Header2 5 3 3 4" xfId="11022"/>
    <cellStyle name="Header2 5 3 4" xfId="11023"/>
    <cellStyle name="Header2 5 3 4 2" xfId="11024"/>
    <cellStyle name="Header2 5 3 5" xfId="11025"/>
    <cellStyle name="Header2 5 3 5 2" xfId="11026"/>
    <cellStyle name="Header2 5 3 6" xfId="11027"/>
    <cellStyle name="Header2 5 4" xfId="11028"/>
    <cellStyle name="Header2 5 4 2" xfId="11029"/>
    <cellStyle name="Header2 5 4 2 2" xfId="11030"/>
    <cellStyle name="Header2 5 4 2 2 2" xfId="11031"/>
    <cellStyle name="Header2 5 4 2 3" xfId="11032"/>
    <cellStyle name="Header2 5 4 2 3 2" xfId="11033"/>
    <cellStyle name="Header2 5 4 2 4" xfId="11034"/>
    <cellStyle name="Header2 5 4 3" xfId="11035"/>
    <cellStyle name="Header2 5 4 3 2" xfId="11036"/>
    <cellStyle name="Header2 5 4 3 2 2" xfId="11037"/>
    <cellStyle name="Header2 5 4 3 3" xfId="11038"/>
    <cellStyle name="Header2 5 4 3 3 2" xfId="11039"/>
    <cellStyle name="Header2 5 4 3 4" xfId="11040"/>
    <cellStyle name="Header2 5 4 4" xfId="11041"/>
    <cellStyle name="Header2 5 4 4 2" xfId="11042"/>
    <cellStyle name="Header2 5 4 5" xfId="11043"/>
    <cellStyle name="Header2 5 4 5 2" xfId="11044"/>
    <cellStyle name="Header2 5 4 6" xfId="11045"/>
    <cellStyle name="Header2 5 5" xfId="11046"/>
    <cellStyle name="Header2 5 5 2" xfId="11047"/>
    <cellStyle name="Header2 5 5 2 2" xfId="11048"/>
    <cellStyle name="Header2 5 5 3" xfId="11049"/>
    <cellStyle name="Header2 5 5 3 2" xfId="11050"/>
    <cellStyle name="Header2 5 5 4" xfId="11051"/>
    <cellStyle name="Header2 5 6" xfId="11052"/>
    <cellStyle name="Header2 5 6 2" xfId="11053"/>
    <cellStyle name="Header2 5 6 2 2" xfId="11054"/>
    <cellStyle name="Header2 5 6 3" xfId="11055"/>
    <cellStyle name="Header2 5 6 3 2" xfId="11056"/>
    <cellStyle name="Header2 5 6 4" xfId="11057"/>
    <cellStyle name="Header2 5 7" xfId="11058"/>
    <cellStyle name="Header2 5 7 2" xfId="11059"/>
    <cellStyle name="Header2 5 8" xfId="11060"/>
    <cellStyle name="Header2 5 8 2" xfId="11061"/>
    <cellStyle name="Header2 5 9" xfId="11062"/>
    <cellStyle name="Header2 6" xfId="11063"/>
    <cellStyle name="Header2 6 2" xfId="11064"/>
    <cellStyle name="Header2 6 2 2" xfId="11065"/>
    <cellStyle name="Header2 6 2 2 2" xfId="11066"/>
    <cellStyle name="Header2 6 2 2 2 2" xfId="11067"/>
    <cellStyle name="Header2 6 2 2 3" xfId="11068"/>
    <cellStyle name="Header2 6 2 2 3 2" xfId="11069"/>
    <cellStyle name="Header2 6 2 2 4" xfId="11070"/>
    <cellStyle name="Header2 6 2 3" xfId="11071"/>
    <cellStyle name="Header2 6 2 3 2" xfId="11072"/>
    <cellStyle name="Header2 6 2 3 2 2" xfId="11073"/>
    <cellStyle name="Header2 6 2 3 3" xfId="11074"/>
    <cellStyle name="Header2 6 2 3 3 2" xfId="11075"/>
    <cellStyle name="Header2 6 2 3 4" xfId="11076"/>
    <cellStyle name="Header2 6 2 4" xfId="11077"/>
    <cellStyle name="Header2 6 2 4 2" xfId="11078"/>
    <cellStyle name="Header2 6 2 5" xfId="11079"/>
    <cellStyle name="Header2 6 2 5 2" xfId="11080"/>
    <cellStyle name="Header2 6 2 6" xfId="11081"/>
    <cellStyle name="Header2 6 3" xfId="11082"/>
    <cellStyle name="Header2 6 3 2" xfId="11083"/>
    <cellStyle name="Header2 6 3 2 2" xfId="11084"/>
    <cellStyle name="Header2 6 3 2 2 2" xfId="11085"/>
    <cellStyle name="Header2 6 3 2 3" xfId="11086"/>
    <cellStyle name="Header2 6 3 2 3 2" xfId="11087"/>
    <cellStyle name="Header2 6 3 2 4" xfId="11088"/>
    <cellStyle name="Header2 6 3 3" xfId="11089"/>
    <cellStyle name="Header2 6 3 3 2" xfId="11090"/>
    <cellStyle name="Header2 6 3 3 2 2" xfId="11091"/>
    <cellStyle name="Header2 6 3 3 3" xfId="11092"/>
    <cellStyle name="Header2 6 3 3 3 2" xfId="11093"/>
    <cellStyle name="Header2 6 3 3 4" xfId="11094"/>
    <cellStyle name="Header2 6 3 4" xfId="11095"/>
    <cellStyle name="Header2 6 3 4 2" xfId="11096"/>
    <cellStyle name="Header2 6 3 5" xfId="11097"/>
    <cellStyle name="Header2 6 3 5 2" xfId="11098"/>
    <cellStyle name="Header2 6 3 6" xfId="11099"/>
    <cellStyle name="Header2 6 4" xfId="11100"/>
    <cellStyle name="Header2 6 4 2" xfId="11101"/>
    <cellStyle name="Header2 6 4 2 2" xfId="11102"/>
    <cellStyle name="Header2 6 4 2 2 2" xfId="11103"/>
    <cellStyle name="Header2 6 4 2 3" xfId="11104"/>
    <cellStyle name="Header2 6 4 2 3 2" xfId="11105"/>
    <cellStyle name="Header2 6 4 2 4" xfId="11106"/>
    <cellStyle name="Header2 6 4 3" xfId="11107"/>
    <cellStyle name="Header2 6 4 3 2" xfId="11108"/>
    <cellStyle name="Header2 6 4 3 2 2" xfId="11109"/>
    <cellStyle name="Header2 6 4 3 3" xfId="11110"/>
    <cellStyle name="Header2 6 4 3 3 2" xfId="11111"/>
    <cellStyle name="Header2 6 4 3 4" xfId="11112"/>
    <cellStyle name="Header2 6 4 4" xfId="11113"/>
    <cellStyle name="Header2 6 4 4 2" xfId="11114"/>
    <cellStyle name="Header2 6 4 5" xfId="11115"/>
    <cellStyle name="Header2 6 4 5 2" xfId="11116"/>
    <cellStyle name="Header2 6 4 6" xfId="11117"/>
    <cellStyle name="Header2 6 5" xfId="11118"/>
    <cellStyle name="Header2 6 5 2" xfId="11119"/>
    <cellStyle name="Header2 6 5 2 2" xfId="11120"/>
    <cellStyle name="Header2 6 5 3" xfId="11121"/>
    <cellStyle name="Header2 6 5 3 2" xfId="11122"/>
    <cellStyle name="Header2 6 5 4" xfId="11123"/>
    <cellStyle name="Header2 6 6" xfId="11124"/>
    <cellStyle name="Header2 6 6 2" xfId="11125"/>
    <cellStyle name="Header2 6 6 2 2" xfId="11126"/>
    <cellStyle name="Header2 6 6 3" xfId="11127"/>
    <cellStyle name="Header2 6 6 3 2" xfId="11128"/>
    <cellStyle name="Header2 6 6 4" xfId="11129"/>
    <cellStyle name="Header2 6 7" xfId="11130"/>
    <cellStyle name="Header2 6 7 2" xfId="11131"/>
    <cellStyle name="Header2 6 8" xfId="11132"/>
    <cellStyle name="Header2 6 8 2" xfId="11133"/>
    <cellStyle name="Header2 6 9" xfId="11134"/>
    <cellStyle name="Header2 7" xfId="11135"/>
    <cellStyle name="Header2 7 2" xfId="11136"/>
    <cellStyle name="Header2 7 2 2" xfId="11137"/>
    <cellStyle name="Header2 7 2 2 2" xfId="11138"/>
    <cellStyle name="Header2 7 2 2 2 2" xfId="11139"/>
    <cellStyle name="Header2 7 2 2 3" xfId="11140"/>
    <cellStyle name="Header2 7 2 2 3 2" xfId="11141"/>
    <cellStyle name="Header2 7 2 2 4" xfId="11142"/>
    <cellStyle name="Header2 7 2 3" xfId="11143"/>
    <cellStyle name="Header2 7 2 3 2" xfId="11144"/>
    <cellStyle name="Header2 7 2 3 2 2" xfId="11145"/>
    <cellStyle name="Header2 7 2 3 3" xfId="11146"/>
    <cellStyle name="Header2 7 2 3 3 2" xfId="11147"/>
    <cellStyle name="Header2 7 2 3 4" xfId="11148"/>
    <cellStyle name="Header2 7 2 4" xfId="11149"/>
    <cellStyle name="Header2 7 2 4 2" xfId="11150"/>
    <cellStyle name="Header2 7 2 5" xfId="11151"/>
    <cellStyle name="Header2 7 2 5 2" xfId="11152"/>
    <cellStyle name="Header2 7 2 6" xfId="11153"/>
    <cellStyle name="Header2 7 3" xfId="11154"/>
    <cellStyle name="Header2 7 3 2" xfId="11155"/>
    <cellStyle name="Header2 7 3 2 2" xfId="11156"/>
    <cellStyle name="Header2 7 3 2 2 2" xfId="11157"/>
    <cellStyle name="Header2 7 3 2 3" xfId="11158"/>
    <cellStyle name="Header2 7 3 2 3 2" xfId="11159"/>
    <cellStyle name="Header2 7 3 2 4" xfId="11160"/>
    <cellStyle name="Header2 7 3 3" xfId="11161"/>
    <cellStyle name="Header2 7 3 3 2" xfId="11162"/>
    <cellStyle name="Header2 7 3 3 2 2" xfId="11163"/>
    <cellStyle name="Header2 7 3 3 3" xfId="11164"/>
    <cellStyle name="Header2 7 3 3 3 2" xfId="11165"/>
    <cellStyle name="Header2 7 3 3 4" xfId="11166"/>
    <cellStyle name="Header2 7 3 4" xfId="11167"/>
    <cellStyle name="Header2 7 3 4 2" xfId="11168"/>
    <cellStyle name="Header2 7 3 5" xfId="11169"/>
    <cellStyle name="Header2 7 3 5 2" xfId="11170"/>
    <cellStyle name="Header2 7 3 6" xfId="11171"/>
    <cellStyle name="Header2 7 4" xfId="11172"/>
    <cellStyle name="Header2 7 4 2" xfId="11173"/>
    <cellStyle name="Header2 7 4 2 2" xfId="11174"/>
    <cellStyle name="Header2 7 4 2 2 2" xfId="11175"/>
    <cellStyle name="Header2 7 4 2 3" xfId="11176"/>
    <cellStyle name="Header2 7 4 2 3 2" xfId="11177"/>
    <cellStyle name="Header2 7 4 2 4" xfId="11178"/>
    <cellStyle name="Header2 7 4 3" xfId="11179"/>
    <cellStyle name="Header2 7 4 3 2" xfId="11180"/>
    <cellStyle name="Header2 7 4 3 2 2" xfId="11181"/>
    <cellStyle name="Header2 7 4 3 3" xfId="11182"/>
    <cellStyle name="Header2 7 4 3 3 2" xfId="11183"/>
    <cellStyle name="Header2 7 4 3 4" xfId="11184"/>
    <cellStyle name="Header2 7 4 4" xfId="11185"/>
    <cellStyle name="Header2 7 4 4 2" xfId="11186"/>
    <cellStyle name="Header2 7 4 5" xfId="11187"/>
    <cellStyle name="Header2 7 4 5 2" xfId="11188"/>
    <cellStyle name="Header2 7 4 6" xfId="11189"/>
    <cellStyle name="Header2 7 5" xfId="11190"/>
    <cellStyle name="Header2 7 5 2" xfId="11191"/>
    <cellStyle name="Header2 7 5 2 2" xfId="11192"/>
    <cellStyle name="Header2 7 5 3" xfId="11193"/>
    <cellStyle name="Header2 7 5 3 2" xfId="11194"/>
    <cellStyle name="Header2 7 5 4" xfId="11195"/>
    <cellStyle name="Header2 7 6" xfId="11196"/>
    <cellStyle name="Header2 7 6 2" xfId="11197"/>
    <cellStyle name="Header2 7 6 2 2" xfId="11198"/>
    <cellStyle name="Header2 7 6 3" xfId="11199"/>
    <cellStyle name="Header2 7 6 3 2" xfId="11200"/>
    <cellStyle name="Header2 7 6 4" xfId="11201"/>
    <cellStyle name="Header2 7 7" xfId="11202"/>
    <cellStyle name="Header2 7 7 2" xfId="11203"/>
    <cellStyle name="Header2 7 8" xfId="11204"/>
    <cellStyle name="Header2 7 8 2" xfId="11205"/>
    <cellStyle name="Header2 7 9" xfId="11206"/>
    <cellStyle name="Header2 8" xfId="11207"/>
    <cellStyle name="Header2 8 2" xfId="11208"/>
    <cellStyle name="Header2 8 2 2" xfId="11209"/>
    <cellStyle name="Header2 8 2 2 2" xfId="11210"/>
    <cellStyle name="Header2 8 2 2 2 2" xfId="11211"/>
    <cellStyle name="Header2 8 2 2 3" xfId="11212"/>
    <cellStyle name="Header2 8 2 2 3 2" xfId="11213"/>
    <cellStyle name="Header2 8 2 2 4" xfId="11214"/>
    <cellStyle name="Header2 8 2 3" xfId="11215"/>
    <cellStyle name="Header2 8 2 3 2" xfId="11216"/>
    <cellStyle name="Header2 8 2 3 2 2" xfId="11217"/>
    <cellStyle name="Header2 8 2 3 3" xfId="11218"/>
    <cellStyle name="Header2 8 2 3 3 2" xfId="11219"/>
    <cellStyle name="Header2 8 2 3 4" xfId="11220"/>
    <cellStyle name="Header2 8 2 4" xfId="11221"/>
    <cellStyle name="Header2 8 2 4 2" xfId="11222"/>
    <cellStyle name="Header2 8 2 5" xfId="11223"/>
    <cellStyle name="Header2 8 2 5 2" xfId="11224"/>
    <cellStyle name="Header2 8 2 6" xfId="11225"/>
    <cellStyle name="Header2 8 3" xfId="11226"/>
    <cellStyle name="Header2 8 3 2" xfId="11227"/>
    <cellStyle name="Header2 8 3 2 2" xfId="11228"/>
    <cellStyle name="Header2 8 3 2 2 2" xfId="11229"/>
    <cellStyle name="Header2 8 3 2 3" xfId="11230"/>
    <cellStyle name="Header2 8 3 2 3 2" xfId="11231"/>
    <cellStyle name="Header2 8 3 2 4" xfId="11232"/>
    <cellStyle name="Header2 8 3 3" xfId="11233"/>
    <cellStyle name="Header2 8 3 3 2" xfId="11234"/>
    <cellStyle name="Header2 8 3 3 2 2" xfId="11235"/>
    <cellStyle name="Header2 8 3 3 3" xfId="11236"/>
    <cellStyle name="Header2 8 3 3 3 2" xfId="11237"/>
    <cellStyle name="Header2 8 3 3 4" xfId="11238"/>
    <cellStyle name="Header2 8 3 4" xfId="11239"/>
    <cellStyle name="Header2 8 3 4 2" xfId="11240"/>
    <cellStyle name="Header2 8 3 5" xfId="11241"/>
    <cellStyle name="Header2 8 3 5 2" xfId="11242"/>
    <cellStyle name="Header2 8 3 6" xfId="11243"/>
    <cellStyle name="Header2 8 4" xfId="11244"/>
    <cellStyle name="Header2 8 4 2" xfId="11245"/>
    <cellStyle name="Header2 8 4 2 2" xfId="11246"/>
    <cellStyle name="Header2 8 4 2 2 2" xfId="11247"/>
    <cellStyle name="Header2 8 4 2 3" xfId="11248"/>
    <cellStyle name="Header2 8 4 2 3 2" xfId="11249"/>
    <cellStyle name="Header2 8 4 2 4" xfId="11250"/>
    <cellStyle name="Header2 8 4 3" xfId="11251"/>
    <cellStyle name="Header2 8 4 3 2" xfId="11252"/>
    <cellStyle name="Header2 8 4 3 2 2" xfId="11253"/>
    <cellStyle name="Header2 8 4 3 3" xfId="11254"/>
    <cellStyle name="Header2 8 4 3 3 2" xfId="11255"/>
    <cellStyle name="Header2 8 4 3 4" xfId="11256"/>
    <cellStyle name="Header2 8 4 4" xfId="11257"/>
    <cellStyle name="Header2 8 4 4 2" xfId="11258"/>
    <cellStyle name="Header2 8 4 5" xfId="11259"/>
    <cellStyle name="Header2 8 4 5 2" xfId="11260"/>
    <cellStyle name="Header2 8 4 6" xfId="11261"/>
    <cellStyle name="Header2 8 5" xfId="11262"/>
    <cellStyle name="Header2 8 5 2" xfId="11263"/>
    <cellStyle name="Header2 8 5 2 2" xfId="11264"/>
    <cellStyle name="Header2 8 5 3" xfId="11265"/>
    <cellStyle name="Header2 8 5 3 2" xfId="11266"/>
    <cellStyle name="Header2 8 5 4" xfId="11267"/>
    <cellStyle name="Header2 8 6" xfId="11268"/>
    <cellStyle name="Header2 8 6 2" xfId="11269"/>
    <cellStyle name="Header2 8 6 2 2" xfId="11270"/>
    <cellStyle name="Header2 8 6 3" xfId="11271"/>
    <cellStyle name="Header2 8 6 3 2" xfId="11272"/>
    <cellStyle name="Header2 8 6 4" xfId="11273"/>
    <cellStyle name="Header2 8 7" xfId="11274"/>
    <cellStyle name="Header2 8 7 2" xfId="11275"/>
    <cellStyle name="Header2 8 8" xfId="11276"/>
    <cellStyle name="Header2 8 8 2" xfId="11277"/>
    <cellStyle name="Header2 8 9" xfId="11278"/>
    <cellStyle name="Header2 9" xfId="11279"/>
    <cellStyle name="Header2 9 2" xfId="11280"/>
    <cellStyle name="Header2 9 2 2" xfId="11281"/>
    <cellStyle name="Header2 9 2 2 2" xfId="11282"/>
    <cellStyle name="Header2 9 2 2 2 2" xfId="11283"/>
    <cellStyle name="Header2 9 2 2 3" xfId="11284"/>
    <cellStyle name="Header2 9 2 2 3 2" xfId="11285"/>
    <cellStyle name="Header2 9 2 2 4" xfId="11286"/>
    <cellStyle name="Header2 9 2 3" xfId="11287"/>
    <cellStyle name="Header2 9 2 3 2" xfId="11288"/>
    <cellStyle name="Header2 9 2 3 2 2" xfId="11289"/>
    <cellStyle name="Header2 9 2 3 3" xfId="11290"/>
    <cellStyle name="Header2 9 2 3 3 2" xfId="11291"/>
    <cellStyle name="Header2 9 2 3 4" xfId="11292"/>
    <cellStyle name="Header2 9 2 4" xfId="11293"/>
    <cellStyle name="Header2 9 2 4 2" xfId="11294"/>
    <cellStyle name="Header2 9 2 5" xfId="11295"/>
    <cellStyle name="Header2 9 2 5 2" xfId="11296"/>
    <cellStyle name="Header2 9 2 6" xfId="11297"/>
    <cellStyle name="Header2 9 3" xfId="11298"/>
    <cellStyle name="Header2 9 3 2" xfId="11299"/>
    <cellStyle name="Header2 9 3 2 2" xfId="11300"/>
    <cellStyle name="Header2 9 3 2 2 2" xfId="11301"/>
    <cellStyle name="Header2 9 3 2 3" xfId="11302"/>
    <cellStyle name="Header2 9 3 2 3 2" xfId="11303"/>
    <cellStyle name="Header2 9 3 2 4" xfId="11304"/>
    <cellStyle name="Header2 9 3 3" xfId="11305"/>
    <cellStyle name="Header2 9 3 3 2" xfId="11306"/>
    <cellStyle name="Header2 9 3 3 2 2" xfId="11307"/>
    <cellStyle name="Header2 9 3 3 3" xfId="11308"/>
    <cellStyle name="Header2 9 3 3 3 2" xfId="11309"/>
    <cellStyle name="Header2 9 3 3 4" xfId="11310"/>
    <cellStyle name="Header2 9 3 4" xfId="11311"/>
    <cellStyle name="Header2 9 3 4 2" xfId="11312"/>
    <cellStyle name="Header2 9 3 5" xfId="11313"/>
    <cellStyle name="Header2 9 3 5 2" xfId="11314"/>
    <cellStyle name="Header2 9 3 6" xfId="11315"/>
    <cellStyle name="Header2 9 4" xfId="11316"/>
    <cellStyle name="Header2 9 4 2" xfId="11317"/>
    <cellStyle name="Header2 9 4 2 2" xfId="11318"/>
    <cellStyle name="Header2 9 4 2 2 2" xfId="11319"/>
    <cellStyle name="Header2 9 4 2 3" xfId="11320"/>
    <cellStyle name="Header2 9 4 2 3 2" xfId="11321"/>
    <cellStyle name="Header2 9 4 2 4" xfId="11322"/>
    <cellStyle name="Header2 9 4 3" xfId="11323"/>
    <cellStyle name="Header2 9 4 3 2" xfId="11324"/>
    <cellStyle name="Header2 9 4 3 2 2" xfId="11325"/>
    <cellStyle name="Header2 9 4 3 3" xfId="11326"/>
    <cellStyle name="Header2 9 4 3 3 2" xfId="11327"/>
    <cellStyle name="Header2 9 4 3 4" xfId="11328"/>
    <cellStyle name="Header2 9 4 4" xfId="11329"/>
    <cellStyle name="Header2 9 4 4 2" xfId="11330"/>
    <cellStyle name="Header2 9 4 5" xfId="11331"/>
    <cellStyle name="Header2 9 4 5 2" xfId="11332"/>
    <cellStyle name="Header2 9 4 6" xfId="11333"/>
    <cellStyle name="Header2 9 5" xfId="11334"/>
    <cellStyle name="Header2 9 5 2" xfId="11335"/>
    <cellStyle name="Header2 9 5 2 2" xfId="11336"/>
    <cellStyle name="Header2 9 5 3" xfId="11337"/>
    <cellStyle name="Header2 9 5 3 2" xfId="11338"/>
    <cellStyle name="Header2 9 5 4" xfId="11339"/>
    <cellStyle name="Header2 9 6" xfId="11340"/>
    <cellStyle name="Header2 9 6 2" xfId="11341"/>
    <cellStyle name="Header2 9 6 2 2" xfId="11342"/>
    <cellStyle name="Header2 9 6 3" xfId="11343"/>
    <cellStyle name="Header2 9 6 3 2" xfId="11344"/>
    <cellStyle name="Header2 9 6 4" xfId="11345"/>
    <cellStyle name="Header2 9 7" xfId="11346"/>
    <cellStyle name="Header2 9 7 2" xfId="11347"/>
    <cellStyle name="Header2 9 8" xfId="11348"/>
    <cellStyle name="Header2 9 8 2" xfId="11349"/>
    <cellStyle name="Header2 9 9" xfId="11350"/>
    <cellStyle name="heading" xfId="11351"/>
    <cellStyle name="Heading 1" xfId="11352"/>
    <cellStyle name="Heading 1 2" xfId="11353"/>
    <cellStyle name="Heading 1 3" xfId="11354"/>
    <cellStyle name="Heading 1 4" xfId="11355"/>
    <cellStyle name="heading 10" xfId="11356"/>
    <cellStyle name="heading 11" xfId="11357"/>
    <cellStyle name="heading 12" xfId="11358"/>
    <cellStyle name="heading 13" xfId="11359"/>
    <cellStyle name="heading 14" xfId="11360"/>
    <cellStyle name="heading 15" xfId="11361"/>
    <cellStyle name="heading 16" xfId="11362"/>
    <cellStyle name="heading 17" xfId="11363"/>
    <cellStyle name="heading 18" xfId="11364"/>
    <cellStyle name="heading 19" xfId="11365"/>
    <cellStyle name="Heading 2" xfId="11366"/>
    <cellStyle name="Heading 2 2" xfId="11367"/>
    <cellStyle name="Heading 2 3" xfId="11368"/>
    <cellStyle name="Heading 2 4" xfId="11369"/>
    <cellStyle name="heading 20" xfId="11370"/>
    <cellStyle name="heading 21" xfId="11371"/>
    <cellStyle name="heading 22" xfId="11372"/>
    <cellStyle name="heading 23" xfId="11373"/>
    <cellStyle name="heading 24" xfId="11374"/>
    <cellStyle name="heading 25" xfId="11375"/>
    <cellStyle name="heading 26" xfId="11376"/>
    <cellStyle name="heading 27" xfId="11377"/>
    <cellStyle name="heading 28" xfId="11378"/>
    <cellStyle name="heading 29" xfId="11379"/>
    <cellStyle name="Heading 3" xfId="11380"/>
    <cellStyle name="Heading 3 10" xfId="11381"/>
    <cellStyle name="Heading 3 11" xfId="11382"/>
    <cellStyle name="Heading 3 12" xfId="11383"/>
    <cellStyle name="Heading 3 13" xfId="11384"/>
    <cellStyle name="Heading 3 14" xfId="11385"/>
    <cellStyle name="Heading 3 2" xfId="11386"/>
    <cellStyle name="Heading 3 3" xfId="11387"/>
    <cellStyle name="Heading 3 4" xfId="11388"/>
    <cellStyle name="Heading 3 5" xfId="11389"/>
    <cellStyle name="Heading 3 6" xfId="11390"/>
    <cellStyle name="Heading 3 7" xfId="11391"/>
    <cellStyle name="Heading 3 8" xfId="11392"/>
    <cellStyle name="Heading 3 9" xfId="11393"/>
    <cellStyle name="heading 30" xfId="11394"/>
    <cellStyle name="heading 31" xfId="11395"/>
    <cellStyle name="heading 32" xfId="11396"/>
    <cellStyle name="heading 33" xfId="11397"/>
    <cellStyle name="heading 34" xfId="11398"/>
    <cellStyle name="heading 35" xfId="11399"/>
    <cellStyle name="heading 36" xfId="11400"/>
    <cellStyle name="heading 37" xfId="11401"/>
    <cellStyle name="heading 38" xfId="11402"/>
    <cellStyle name="heading 39" xfId="11403"/>
    <cellStyle name="Heading 4" xfId="11404"/>
    <cellStyle name="Heading 4 2" xfId="11405"/>
    <cellStyle name="Heading 4 3" xfId="11406"/>
    <cellStyle name="Heading 4 4" xfId="11407"/>
    <cellStyle name="heading 5" xfId="11408"/>
    <cellStyle name="heading 5 2" xfId="11409"/>
    <cellStyle name="heading 6" xfId="11410"/>
    <cellStyle name="heading 6 2" xfId="11411"/>
    <cellStyle name="heading 7" xfId="11412"/>
    <cellStyle name="heading 8" xfId="11413"/>
    <cellStyle name="heading 9" xfId="11414"/>
    <cellStyle name="heading_a2" xfId="11415"/>
    <cellStyle name="HeadingS" xfId="11416"/>
    <cellStyle name="HeadingS 2" xfId="11417"/>
    <cellStyle name="HeadingS 3" xfId="11418"/>
    <cellStyle name="HeadingS 4" xfId="11419"/>
    <cellStyle name="Hide" xfId="11420"/>
    <cellStyle name="Hyperlink" xfId="11421"/>
    <cellStyle name="Iau?iue_o10-n" xfId="11422"/>
    <cellStyle name="Îáû÷íûé_vaqduGfTSN7qyUJNWHRlcWo3H" xfId="11423"/>
    <cellStyle name="Input" xfId="11424"/>
    <cellStyle name="Input 10" xfId="11425"/>
    <cellStyle name="Input 10 2" xfId="11426"/>
    <cellStyle name="Input 10 2 2" xfId="11427"/>
    <cellStyle name="Input 10 2 2 2" xfId="11428"/>
    <cellStyle name="Input 10 2 2 2 2" xfId="11429"/>
    <cellStyle name="Input 10 2 2 3" xfId="11430"/>
    <cellStyle name="Input 10 2 2 3 2" xfId="11431"/>
    <cellStyle name="Input 10 2 2 4" xfId="11432"/>
    <cellStyle name="Input 10 2 3" xfId="11433"/>
    <cellStyle name="Input 10 2 3 2" xfId="11434"/>
    <cellStyle name="Input 10 2 3 2 2" xfId="11435"/>
    <cellStyle name="Input 10 2 3 3" xfId="11436"/>
    <cellStyle name="Input 10 2 3 3 2" xfId="11437"/>
    <cellStyle name="Input 10 2 3 4" xfId="11438"/>
    <cellStyle name="Input 10 2 4" xfId="11439"/>
    <cellStyle name="Input 10 2 4 2" xfId="11440"/>
    <cellStyle name="Input 10 2 5" xfId="11441"/>
    <cellStyle name="Input 10 2 5 2" xfId="11442"/>
    <cellStyle name="Input 10 2 6" xfId="11443"/>
    <cellStyle name="Input 10 3" xfId="11444"/>
    <cellStyle name="Input 10 3 2" xfId="11445"/>
    <cellStyle name="Input 10 3 2 2" xfId="11446"/>
    <cellStyle name="Input 10 3 2 2 2" xfId="11447"/>
    <cellStyle name="Input 10 3 2 3" xfId="11448"/>
    <cellStyle name="Input 10 3 2 3 2" xfId="11449"/>
    <cellStyle name="Input 10 3 2 4" xfId="11450"/>
    <cellStyle name="Input 10 3 3" xfId="11451"/>
    <cellStyle name="Input 10 3 3 2" xfId="11452"/>
    <cellStyle name="Input 10 3 3 2 2" xfId="11453"/>
    <cellStyle name="Input 10 3 3 3" xfId="11454"/>
    <cellStyle name="Input 10 3 3 3 2" xfId="11455"/>
    <cellStyle name="Input 10 3 3 4" xfId="11456"/>
    <cellStyle name="Input 10 3 4" xfId="11457"/>
    <cellStyle name="Input 10 3 4 2" xfId="11458"/>
    <cellStyle name="Input 10 3 5" xfId="11459"/>
    <cellStyle name="Input 10 3 5 2" xfId="11460"/>
    <cellStyle name="Input 10 3 6" xfId="11461"/>
    <cellStyle name="Input 10 4" xfId="11462"/>
    <cellStyle name="Input 10 4 2" xfId="11463"/>
    <cellStyle name="Input 10 4 2 2" xfId="11464"/>
    <cellStyle name="Input 10 4 2 2 2" xfId="11465"/>
    <cellStyle name="Input 10 4 2 3" xfId="11466"/>
    <cellStyle name="Input 10 4 2 3 2" xfId="11467"/>
    <cellStyle name="Input 10 4 2 4" xfId="11468"/>
    <cellStyle name="Input 10 4 3" xfId="11469"/>
    <cellStyle name="Input 10 4 3 2" xfId="11470"/>
    <cellStyle name="Input 10 4 3 2 2" xfId="11471"/>
    <cellStyle name="Input 10 4 3 3" xfId="11472"/>
    <cellStyle name="Input 10 4 3 3 2" xfId="11473"/>
    <cellStyle name="Input 10 4 3 4" xfId="11474"/>
    <cellStyle name="Input 10 4 4" xfId="11475"/>
    <cellStyle name="Input 10 4 4 2" xfId="11476"/>
    <cellStyle name="Input 10 4 5" xfId="11477"/>
    <cellStyle name="Input 10 4 5 2" xfId="11478"/>
    <cellStyle name="Input 10 4 6" xfId="11479"/>
    <cellStyle name="Input 10 5" xfId="11480"/>
    <cellStyle name="Input 10 5 2" xfId="11481"/>
    <cellStyle name="Input 10 5 2 2" xfId="11482"/>
    <cellStyle name="Input 10 5 3" xfId="11483"/>
    <cellStyle name="Input 10 5 3 2" xfId="11484"/>
    <cellStyle name="Input 10 5 4" xfId="11485"/>
    <cellStyle name="Input 10 6" xfId="11486"/>
    <cellStyle name="Input 10 6 2" xfId="11487"/>
    <cellStyle name="Input 10 6 2 2" xfId="11488"/>
    <cellStyle name="Input 10 6 3" xfId="11489"/>
    <cellStyle name="Input 10 6 3 2" xfId="11490"/>
    <cellStyle name="Input 10 6 4" xfId="11491"/>
    <cellStyle name="Input 10 7" xfId="11492"/>
    <cellStyle name="Input 10 7 2" xfId="11493"/>
    <cellStyle name="Input 10 8" xfId="11494"/>
    <cellStyle name="Input 10 8 2" xfId="11495"/>
    <cellStyle name="Input 10 9" xfId="11496"/>
    <cellStyle name="Input 11" xfId="11497"/>
    <cellStyle name="Input 11 2" xfId="11498"/>
    <cellStyle name="Input 11 2 2" xfId="11499"/>
    <cellStyle name="Input 11 2 2 2" xfId="11500"/>
    <cellStyle name="Input 11 2 2 2 2" xfId="11501"/>
    <cellStyle name="Input 11 2 2 3" xfId="11502"/>
    <cellStyle name="Input 11 2 2 3 2" xfId="11503"/>
    <cellStyle name="Input 11 2 2 4" xfId="11504"/>
    <cellStyle name="Input 11 2 3" xfId="11505"/>
    <cellStyle name="Input 11 2 3 2" xfId="11506"/>
    <cellStyle name="Input 11 2 3 2 2" xfId="11507"/>
    <cellStyle name="Input 11 2 3 3" xfId="11508"/>
    <cellStyle name="Input 11 2 3 3 2" xfId="11509"/>
    <cellStyle name="Input 11 2 3 4" xfId="11510"/>
    <cellStyle name="Input 11 2 4" xfId="11511"/>
    <cellStyle name="Input 11 2 4 2" xfId="11512"/>
    <cellStyle name="Input 11 2 5" xfId="11513"/>
    <cellStyle name="Input 11 2 5 2" xfId="11514"/>
    <cellStyle name="Input 11 2 6" xfId="11515"/>
    <cellStyle name="Input 11 3" xfId="11516"/>
    <cellStyle name="Input 11 3 2" xfId="11517"/>
    <cellStyle name="Input 11 3 2 2" xfId="11518"/>
    <cellStyle name="Input 11 3 2 2 2" xfId="11519"/>
    <cellStyle name="Input 11 3 2 3" xfId="11520"/>
    <cellStyle name="Input 11 3 2 3 2" xfId="11521"/>
    <cellStyle name="Input 11 3 2 4" xfId="11522"/>
    <cellStyle name="Input 11 3 3" xfId="11523"/>
    <cellStyle name="Input 11 3 3 2" xfId="11524"/>
    <cellStyle name="Input 11 3 3 2 2" xfId="11525"/>
    <cellStyle name="Input 11 3 3 3" xfId="11526"/>
    <cellStyle name="Input 11 3 3 3 2" xfId="11527"/>
    <cellStyle name="Input 11 3 3 4" xfId="11528"/>
    <cellStyle name="Input 11 3 4" xfId="11529"/>
    <cellStyle name="Input 11 3 4 2" xfId="11530"/>
    <cellStyle name="Input 11 3 5" xfId="11531"/>
    <cellStyle name="Input 11 3 5 2" xfId="11532"/>
    <cellStyle name="Input 11 3 6" xfId="11533"/>
    <cellStyle name="Input 11 4" xfId="11534"/>
    <cellStyle name="Input 11 4 2" xfId="11535"/>
    <cellStyle name="Input 11 4 2 2" xfId="11536"/>
    <cellStyle name="Input 11 4 2 2 2" xfId="11537"/>
    <cellStyle name="Input 11 4 2 3" xfId="11538"/>
    <cellStyle name="Input 11 4 2 3 2" xfId="11539"/>
    <cellStyle name="Input 11 4 2 4" xfId="11540"/>
    <cellStyle name="Input 11 4 3" xfId="11541"/>
    <cellStyle name="Input 11 4 3 2" xfId="11542"/>
    <cellStyle name="Input 11 4 3 2 2" xfId="11543"/>
    <cellStyle name="Input 11 4 3 3" xfId="11544"/>
    <cellStyle name="Input 11 4 3 3 2" xfId="11545"/>
    <cellStyle name="Input 11 4 3 4" xfId="11546"/>
    <cellStyle name="Input 11 4 4" xfId="11547"/>
    <cellStyle name="Input 11 4 4 2" xfId="11548"/>
    <cellStyle name="Input 11 4 5" xfId="11549"/>
    <cellStyle name="Input 11 4 5 2" xfId="11550"/>
    <cellStyle name="Input 11 4 6" xfId="11551"/>
    <cellStyle name="Input 11 5" xfId="11552"/>
    <cellStyle name="Input 11 5 2" xfId="11553"/>
    <cellStyle name="Input 11 5 2 2" xfId="11554"/>
    <cellStyle name="Input 11 5 3" xfId="11555"/>
    <cellStyle name="Input 11 5 3 2" xfId="11556"/>
    <cellStyle name="Input 11 5 4" xfId="11557"/>
    <cellStyle name="Input 11 6" xfId="11558"/>
    <cellStyle name="Input 11 6 2" xfId="11559"/>
    <cellStyle name="Input 11 6 2 2" xfId="11560"/>
    <cellStyle name="Input 11 6 3" xfId="11561"/>
    <cellStyle name="Input 11 6 3 2" xfId="11562"/>
    <cellStyle name="Input 11 6 4" xfId="11563"/>
    <cellStyle name="Input 11 7" xfId="11564"/>
    <cellStyle name="Input 11 7 2" xfId="11565"/>
    <cellStyle name="Input 11 8" xfId="11566"/>
    <cellStyle name="Input 11 8 2" xfId="11567"/>
    <cellStyle name="Input 11 9" xfId="11568"/>
    <cellStyle name="Input 12" xfId="11569"/>
    <cellStyle name="Input 12 2" xfId="11570"/>
    <cellStyle name="Input 12 2 2" xfId="11571"/>
    <cellStyle name="Input 12 2 2 2" xfId="11572"/>
    <cellStyle name="Input 12 2 2 2 2" xfId="11573"/>
    <cellStyle name="Input 12 2 2 3" xfId="11574"/>
    <cellStyle name="Input 12 2 2 3 2" xfId="11575"/>
    <cellStyle name="Input 12 2 2 4" xfId="11576"/>
    <cellStyle name="Input 12 2 3" xfId="11577"/>
    <cellStyle name="Input 12 2 3 2" xfId="11578"/>
    <cellStyle name="Input 12 2 3 2 2" xfId="11579"/>
    <cellStyle name="Input 12 2 3 3" xfId="11580"/>
    <cellStyle name="Input 12 2 3 3 2" xfId="11581"/>
    <cellStyle name="Input 12 2 3 4" xfId="11582"/>
    <cellStyle name="Input 12 2 4" xfId="11583"/>
    <cellStyle name="Input 12 2 4 2" xfId="11584"/>
    <cellStyle name="Input 12 2 5" xfId="11585"/>
    <cellStyle name="Input 12 2 5 2" xfId="11586"/>
    <cellStyle name="Input 12 2 6" xfId="11587"/>
    <cellStyle name="Input 12 3" xfId="11588"/>
    <cellStyle name="Input 12 3 2" xfId="11589"/>
    <cellStyle name="Input 12 3 2 2" xfId="11590"/>
    <cellStyle name="Input 12 3 2 2 2" xfId="11591"/>
    <cellStyle name="Input 12 3 2 3" xfId="11592"/>
    <cellStyle name="Input 12 3 2 3 2" xfId="11593"/>
    <cellStyle name="Input 12 3 2 4" xfId="11594"/>
    <cellStyle name="Input 12 3 3" xfId="11595"/>
    <cellStyle name="Input 12 3 3 2" xfId="11596"/>
    <cellStyle name="Input 12 3 3 2 2" xfId="11597"/>
    <cellStyle name="Input 12 3 3 3" xfId="11598"/>
    <cellStyle name="Input 12 3 3 3 2" xfId="11599"/>
    <cellStyle name="Input 12 3 3 4" xfId="11600"/>
    <cellStyle name="Input 12 3 4" xfId="11601"/>
    <cellStyle name="Input 12 3 4 2" xfId="11602"/>
    <cellStyle name="Input 12 3 5" xfId="11603"/>
    <cellStyle name="Input 12 3 5 2" xfId="11604"/>
    <cellStyle name="Input 12 3 6" xfId="11605"/>
    <cellStyle name="Input 12 4" xfId="11606"/>
    <cellStyle name="Input 12 4 2" xfId="11607"/>
    <cellStyle name="Input 12 4 2 2" xfId="11608"/>
    <cellStyle name="Input 12 4 2 2 2" xfId="11609"/>
    <cellStyle name="Input 12 4 2 3" xfId="11610"/>
    <cellStyle name="Input 12 4 2 3 2" xfId="11611"/>
    <cellStyle name="Input 12 4 2 4" xfId="11612"/>
    <cellStyle name="Input 12 4 3" xfId="11613"/>
    <cellStyle name="Input 12 4 3 2" xfId="11614"/>
    <cellStyle name="Input 12 4 3 2 2" xfId="11615"/>
    <cellStyle name="Input 12 4 3 3" xfId="11616"/>
    <cellStyle name="Input 12 4 3 3 2" xfId="11617"/>
    <cellStyle name="Input 12 4 3 4" xfId="11618"/>
    <cellStyle name="Input 12 4 4" xfId="11619"/>
    <cellStyle name="Input 12 4 4 2" xfId="11620"/>
    <cellStyle name="Input 12 4 5" xfId="11621"/>
    <cellStyle name="Input 12 4 5 2" xfId="11622"/>
    <cellStyle name="Input 12 4 6" xfId="11623"/>
    <cellStyle name="Input 12 5" xfId="11624"/>
    <cellStyle name="Input 12 5 2" xfId="11625"/>
    <cellStyle name="Input 12 5 2 2" xfId="11626"/>
    <cellStyle name="Input 12 5 3" xfId="11627"/>
    <cellStyle name="Input 12 5 3 2" xfId="11628"/>
    <cellStyle name="Input 12 5 4" xfId="11629"/>
    <cellStyle name="Input 12 6" xfId="11630"/>
    <cellStyle name="Input 12 6 2" xfId="11631"/>
    <cellStyle name="Input 12 6 2 2" xfId="11632"/>
    <cellStyle name="Input 12 6 3" xfId="11633"/>
    <cellStyle name="Input 12 6 3 2" xfId="11634"/>
    <cellStyle name="Input 12 6 4" xfId="11635"/>
    <cellStyle name="Input 12 7" xfId="11636"/>
    <cellStyle name="Input 12 7 2" xfId="11637"/>
    <cellStyle name="Input 12 8" xfId="11638"/>
    <cellStyle name="Input 12 8 2" xfId="11639"/>
    <cellStyle name="Input 12 9" xfId="11640"/>
    <cellStyle name="Input 13" xfId="11641"/>
    <cellStyle name="Input 13 2" xfId="11642"/>
    <cellStyle name="Input 13 2 2" xfId="11643"/>
    <cellStyle name="Input 13 2 2 2" xfId="11644"/>
    <cellStyle name="Input 13 2 2 2 2" xfId="11645"/>
    <cellStyle name="Input 13 2 2 3" xfId="11646"/>
    <cellStyle name="Input 13 2 2 3 2" xfId="11647"/>
    <cellStyle name="Input 13 2 2 4" xfId="11648"/>
    <cellStyle name="Input 13 2 3" xfId="11649"/>
    <cellStyle name="Input 13 2 3 2" xfId="11650"/>
    <cellStyle name="Input 13 2 3 2 2" xfId="11651"/>
    <cellStyle name="Input 13 2 3 3" xfId="11652"/>
    <cellStyle name="Input 13 2 3 3 2" xfId="11653"/>
    <cellStyle name="Input 13 2 3 4" xfId="11654"/>
    <cellStyle name="Input 13 2 4" xfId="11655"/>
    <cellStyle name="Input 13 2 4 2" xfId="11656"/>
    <cellStyle name="Input 13 2 5" xfId="11657"/>
    <cellStyle name="Input 13 2 5 2" xfId="11658"/>
    <cellStyle name="Input 13 2 6" xfId="11659"/>
    <cellStyle name="Input 13 3" xfId="11660"/>
    <cellStyle name="Input 13 3 2" xfId="11661"/>
    <cellStyle name="Input 13 3 2 2" xfId="11662"/>
    <cellStyle name="Input 13 3 2 2 2" xfId="11663"/>
    <cellStyle name="Input 13 3 2 3" xfId="11664"/>
    <cellStyle name="Input 13 3 2 3 2" xfId="11665"/>
    <cellStyle name="Input 13 3 2 4" xfId="11666"/>
    <cellStyle name="Input 13 3 3" xfId="11667"/>
    <cellStyle name="Input 13 3 3 2" xfId="11668"/>
    <cellStyle name="Input 13 3 3 2 2" xfId="11669"/>
    <cellStyle name="Input 13 3 3 3" xfId="11670"/>
    <cellStyle name="Input 13 3 3 3 2" xfId="11671"/>
    <cellStyle name="Input 13 3 3 4" xfId="11672"/>
    <cellStyle name="Input 13 3 4" xfId="11673"/>
    <cellStyle name="Input 13 3 4 2" xfId="11674"/>
    <cellStyle name="Input 13 3 5" xfId="11675"/>
    <cellStyle name="Input 13 3 5 2" xfId="11676"/>
    <cellStyle name="Input 13 3 6" xfId="11677"/>
    <cellStyle name="Input 13 4" xfId="11678"/>
    <cellStyle name="Input 13 4 2" xfId="11679"/>
    <cellStyle name="Input 13 4 2 2" xfId="11680"/>
    <cellStyle name="Input 13 4 2 2 2" xfId="11681"/>
    <cellStyle name="Input 13 4 2 3" xfId="11682"/>
    <cellStyle name="Input 13 4 2 3 2" xfId="11683"/>
    <cellStyle name="Input 13 4 2 4" xfId="11684"/>
    <cellStyle name="Input 13 4 3" xfId="11685"/>
    <cellStyle name="Input 13 4 3 2" xfId="11686"/>
    <cellStyle name="Input 13 4 3 2 2" xfId="11687"/>
    <cellStyle name="Input 13 4 3 3" xfId="11688"/>
    <cellStyle name="Input 13 4 3 3 2" xfId="11689"/>
    <cellStyle name="Input 13 4 3 4" xfId="11690"/>
    <cellStyle name="Input 13 4 4" xfId="11691"/>
    <cellStyle name="Input 13 4 4 2" xfId="11692"/>
    <cellStyle name="Input 13 4 5" xfId="11693"/>
    <cellStyle name="Input 13 4 5 2" xfId="11694"/>
    <cellStyle name="Input 13 4 6" xfId="11695"/>
    <cellStyle name="Input 13 5" xfId="11696"/>
    <cellStyle name="Input 13 5 2" xfId="11697"/>
    <cellStyle name="Input 13 5 2 2" xfId="11698"/>
    <cellStyle name="Input 13 5 3" xfId="11699"/>
    <cellStyle name="Input 13 5 3 2" xfId="11700"/>
    <cellStyle name="Input 13 5 4" xfId="11701"/>
    <cellStyle name="Input 13 6" xfId="11702"/>
    <cellStyle name="Input 13 6 2" xfId="11703"/>
    <cellStyle name="Input 13 6 2 2" xfId="11704"/>
    <cellStyle name="Input 13 6 3" xfId="11705"/>
    <cellStyle name="Input 13 6 3 2" xfId="11706"/>
    <cellStyle name="Input 13 6 4" xfId="11707"/>
    <cellStyle name="Input 13 7" xfId="11708"/>
    <cellStyle name="Input 13 7 2" xfId="11709"/>
    <cellStyle name="Input 13 8" xfId="11710"/>
    <cellStyle name="Input 13 8 2" xfId="11711"/>
    <cellStyle name="Input 13 9" xfId="11712"/>
    <cellStyle name="Input 14" xfId="11713"/>
    <cellStyle name="Input 14 2" xfId="11714"/>
    <cellStyle name="Input 14 2 2" xfId="11715"/>
    <cellStyle name="Input 14 2 2 2" xfId="11716"/>
    <cellStyle name="Input 14 2 2 2 2" xfId="11717"/>
    <cellStyle name="Input 14 2 2 3" xfId="11718"/>
    <cellStyle name="Input 14 2 2 3 2" xfId="11719"/>
    <cellStyle name="Input 14 2 2 4" xfId="11720"/>
    <cellStyle name="Input 14 2 3" xfId="11721"/>
    <cellStyle name="Input 14 2 3 2" xfId="11722"/>
    <cellStyle name="Input 14 2 3 2 2" xfId="11723"/>
    <cellStyle name="Input 14 2 3 3" xfId="11724"/>
    <cellStyle name="Input 14 2 3 3 2" xfId="11725"/>
    <cellStyle name="Input 14 2 3 4" xfId="11726"/>
    <cellStyle name="Input 14 2 4" xfId="11727"/>
    <cellStyle name="Input 14 2 4 2" xfId="11728"/>
    <cellStyle name="Input 14 2 5" xfId="11729"/>
    <cellStyle name="Input 14 2 5 2" xfId="11730"/>
    <cellStyle name="Input 14 2 6" xfId="11731"/>
    <cellStyle name="Input 14 3" xfId="11732"/>
    <cellStyle name="Input 14 3 2" xfId="11733"/>
    <cellStyle name="Input 14 3 2 2" xfId="11734"/>
    <cellStyle name="Input 14 3 2 2 2" xfId="11735"/>
    <cellStyle name="Input 14 3 2 3" xfId="11736"/>
    <cellStyle name="Input 14 3 2 3 2" xfId="11737"/>
    <cellStyle name="Input 14 3 2 4" xfId="11738"/>
    <cellStyle name="Input 14 3 3" xfId="11739"/>
    <cellStyle name="Input 14 3 3 2" xfId="11740"/>
    <cellStyle name="Input 14 3 3 2 2" xfId="11741"/>
    <cellStyle name="Input 14 3 3 3" xfId="11742"/>
    <cellStyle name="Input 14 3 3 3 2" xfId="11743"/>
    <cellStyle name="Input 14 3 3 4" xfId="11744"/>
    <cellStyle name="Input 14 3 4" xfId="11745"/>
    <cellStyle name="Input 14 3 4 2" xfId="11746"/>
    <cellStyle name="Input 14 3 5" xfId="11747"/>
    <cellStyle name="Input 14 3 5 2" xfId="11748"/>
    <cellStyle name="Input 14 3 6" xfId="11749"/>
    <cellStyle name="Input 14 4" xfId="11750"/>
    <cellStyle name="Input 14 4 2" xfId="11751"/>
    <cellStyle name="Input 14 4 2 2" xfId="11752"/>
    <cellStyle name="Input 14 4 2 2 2" xfId="11753"/>
    <cellStyle name="Input 14 4 2 3" xfId="11754"/>
    <cellStyle name="Input 14 4 2 3 2" xfId="11755"/>
    <cellStyle name="Input 14 4 2 4" xfId="11756"/>
    <cellStyle name="Input 14 4 3" xfId="11757"/>
    <cellStyle name="Input 14 4 3 2" xfId="11758"/>
    <cellStyle name="Input 14 4 3 2 2" xfId="11759"/>
    <cellStyle name="Input 14 4 3 3" xfId="11760"/>
    <cellStyle name="Input 14 4 3 3 2" xfId="11761"/>
    <cellStyle name="Input 14 4 3 4" xfId="11762"/>
    <cellStyle name="Input 14 4 4" xfId="11763"/>
    <cellStyle name="Input 14 4 4 2" xfId="11764"/>
    <cellStyle name="Input 14 4 5" xfId="11765"/>
    <cellStyle name="Input 14 4 5 2" xfId="11766"/>
    <cellStyle name="Input 14 4 6" xfId="11767"/>
    <cellStyle name="Input 14 5" xfId="11768"/>
    <cellStyle name="Input 14 5 2" xfId="11769"/>
    <cellStyle name="Input 14 5 2 2" xfId="11770"/>
    <cellStyle name="Input 14 5 3" xfId="11771"/>
    <cellStyle name="Input 14 5 3 2" xfId="11772"/>
    <cellStyle name="Input 14 5 4" xfId="11773"/>
    <cellStyle name="Input 14 6" xfId="11774"/>
    <cellStyle name="Input 14 6 2" xfId="11775"/>
    <cellStyle name="Input 14 6 2 2" xfId="11776"/>
    <cellStyle name="Input 14 6 3" xfId="11777"/>
    <cellStyle name="Input 14 6 3 2" xfId="11778"/>
    <cellStyle name="Input 14 6 4" xfId="11779"/>
    <cellStyle name="Input 14 7" xfId="11780"/>
    <cellStyle name="Input 14 7 2" xfId="11781"/>
    <cellStyle name="Input 14 8" xfId="11782"/>
    <cellStyle name="Input 14 8 2" xfId="11783"/>
    <cellStyle name="Input 14 9" xfId="11784"/>
    <cellStyle name="Input 15" xfId="11785"/>
    <cellStyle name="Input 15 2" xfId="11786"/>
    <cellStyle name="Input 15 2 2" xfId="11787"/>
    <cellStyle name="Input 15 2 2 2" xfId="11788"/>
    <cellStyle name="Input 15 2 2 2 2" xfId="11789"/>
    <cellStyle name="Input 15 2 2 3" xfId="11790"/>
    <cellStyle name="Input 15 2 2 3 2" xfId="11791"/>
    <cellStyle name="Input 15 2 2 4" xfId="11792"/>
    <cellStyle name="Input 15 2 3" xfId="11793"/>
    <cellStyle name="Input 15 2 3 2" xfId="11794"/>
    <cellStyle name="Input 15 2 3 2 2" xfId="11795"/>
    <cellStyle name="Input 15 2 3 3" xfId="11796"/>
    <cellStyle name="Input 15 2 3 3 2" xfId="11797"/>
    <cellStyle name="Input 15 2 3 4" xfId="11798"/>
    <cellStyle name="Input 15 2 4" xfId="11799"/>
    <cellStyle name="Input 15 2 4 2" xfId="11800"/>
    <cellStyle name="Input 15 2 5" xfId="11801"/>
    <cellStyle name="Input 15 2 5 2" xfId="11802"/>
    <cellStyle name="Input 15 2 6" xfId="11803"/>
    <cellStyle name="Input 15 3" xfId="11804"/>
    <cellStyle name="Input 15 3 2" xfId="11805"/>
    <cellStyle name="Input 15 3 2 2" xfId="11806"/>
    <cellStyle name="Input 15 3 2 2 2" xfId="11807"/>
    <cellStyle name="Input 15 3 2 3" xfId="11808"/>
    <cellStyle name="Input 15 3 2 3 2" xfId="11809"/>
    <cellStyle name="Input 15 3 2 4" xfId="11810"/>
    <cellStyle name="Input 15 3 3" xfId="11811"/>
    <cellStyle name="Input 15 3 3 2" xfId="11812"/>
    <cellStyle name="Input 15 3 3 2 2" xfId="11813"/>
    <cellStyle name="Input 15 3 3 3" xfId="11814"/>
    <cellStyle name="Input 15 3 3 3 2" xfId="11815"/>
    <cellStyle name="Input 15 3 3 4" xfId="11816"/>
    <cellStyle name="Input 15 3 4" xfId="11817"/>
    <cellStyle name="Input 15 3 4 2" xfId="11818"/>
    <cellStyle name="Input 15 3 5" xfId="11819"/>
    <cellStyle name="Input 15 3 5 2" xfId="11820"/>
    <cellStyle name="Input 15 3 6" xfId="11821"/>
    <cellStyle name="Input 15 4" xfId="11822"/>
    <cellStyle name="Input 15 4 2" xfId="11823"/>
    <cellStyle name="Input 15 4 2 2" xfId="11824"/>
    <cellStyle name="Input 15 4 2 2 2" xfId="11825"/>
    <cellStyle name="Input 15 4 2 3" xfId="11826"/>
    <cellStyle name="Input 15 4 2 3 2" xfId="11827"/>
    <cellStyle name="Input 15 4 2 4" xfId="11828"/>
    <cellStyle name="Input 15 4 3" xfId="11829"/>
    <cellStyle name="Input 15 4 3 2" xfId="11830"/>
    <cellStyle name="Input 15 4 3 2 2" xfId="11831"/>
    <cellStyle name="Input 15 4 3 3" xfId="11832"/>
    <cellStyle name="Input 15 4 3 3 2" xfId="11833"/>
    <cellStyle name="Input 15 4 3 4" xfId="11834"/>
    <cellStyle name="Input 15 4 4" xfId="11835"/>
    <cellStyle name="Input 15 4 4 2" xfId="11836"/>
    <cellStyle name="Input 15 4 5" xfId="11837"/>
    <cellStyle name="Input 15 4 5 2" xfId="11838"/>
    <cellStyle name="Input 15 4 6" xfId="11839"/>
    <cellStyle name="Input 15 5" xfId="11840"/>
    <cellStyle name="Input 15 5 2" xfId="11841"/>
    <cellStyle name="Input 15 5 2 2" xfId="11842"/>
    <cellStyle name="Input 15 5 3" xfId="11843"/>
    <cellStyle name="Input 15 5 3 2" xfId="11844"/>
    <cellStyle name="Input 15 5 4" xfId="11845"/>
    <cellStyle name="Input 15 6" xfId="11846"/>
    <cellStyle name="Input 15 6 2" xfId="11847"/>
    <cellStyle name="Input 15 6 2 2" xfId="11848"/>
    <cellStyle name="Input 15 6 3" xfId="11849"/>
    <cellStyle name="Input 15 6 3 2" xfId="11850"/>
    <cellStyle name="Input 15 6 4" xfId="11851"/>
    <cellStyle name="Input 15 7" xfId="11852"/>
    <cellStyle name="Input 15 7 2" xfId="11853"/>
    <cellStyle name="Input 15 8" xfId="11854"/>
    <cellStyle name="Input 15 8 2" xfId="11855"/>
    <cellStyle name="Input 15 9" xfId="11856"/>
    <cellStyle name="Input 16" xfId="11857"/>
    <cellStyle name="Input 16 2" xfId="11858"/>
    <cellStyle name="Input 16 2 2" xfId="11859"/>
    <cellStyle name="Input 16 2 2 2" xfId="11860"/>
    <cellStyle name="Input 16 2 2 2 2" xfId="11861"/>
    <cellStyle name="Input 16 2 2 3" xfId="11862"/>
    <cellStyle name="Input 16 2 2 3 2" xfId="11863"/>
    <cellStyle name="Input 16 2 2 4" xfId="11864"/>
    <cellStyle name="Input 16 2 3" xfId="11865"/>
    <cellStyle name="Input 16 2 3 2" xfId="11866"/>
    <cellStyle name="Input 16 2 3 2 2" xfId="11867"/>
    <cellStyle name="Input 16 2 3 3" xfId="11868"/>
    <cellStyle name="Input 16 2 3 3 2" xfId="11869"/>
    <cellStyle name="Input 16 2 3 4" xfId="11870"/>
    <cellStyle name="Input 16 2 4" xfId="11871"/>
    <cellStyle name="Input 16 2 4 2" xfId="11872"/>
    <cellStyle name="Input 16 2 5" xfId="11873"/>
    <cellStyle name="Input 16 2 5 2" xfId="11874"/>
    <cellStyle name="Input 16 2 6" xfId="11875"/>
    <cellStyle name="Input 16 3" xfId="11876"/>
    <cellStyle name="Input 16 3 2" xfId="11877"/>
    <cellStyle name="Input 16 3 2 2" xfId="11878"/>
    <cellStyle name="Input 16 3 2 2 2" xfId="11879"/>
    <cellStyle name="Input 16 3 2 3" xfId="11880"/>
    <cellStyle name="Input 16 3 2 3 2" xfId="11881"/>
    <cellStyle name="Input 16 3 2 4" xfId="11882"/>
    <cellStyle name="Input 16 3 3" xfId="11883"/>
    <cellStyle name="Input 16 3 3 2" xfId="11884"/>
    <cellStyle name="Input 16 3 3 2 2" xfId="11885"/>
    <cellStyle name="Input 16 3 3 3" xfId="11886"/>
    <cellStyle name="Input 16 3 3 3 2" xfId="11887"/>
    <cellStyle name="Input 16 3 3 4" xfId="11888"/>
    <cellStyle name="Input 16 3 4" xfId="11889"/>
    <cellStyle name="Input 16 3 4 2" xfId="11890"/>
    <cellStyle name="Input 16 3 5" xfId="11891"/>
    <cellStyle name="Input 16 3 5 2" xfId="11892"/>
    <cellStyle name="Input 16 3 6" xfId="11893"/>
    <cellStyle name="Input 16 4" xfId="11894"/>
    <cellStyle name="Input 16 4 2" xfId="11895"/>
    <cellStyle name="Input 16 4 2 2" xfId="11896"/>
    <cellStyle name="Input 16 4 2 2 2" xfId="11897"/>
    <cellStyle name="Input 16 4 2 3" xfId="11898"/>
    <cellStyle name="Input 16 4 2 3 2" xfId="11899"/>
    <cellStyle name="Input 16 4 2 4" xfId="11900"/>
    <cellStyle name="Input 16 4 3" xfId="11901"/>
    <cellStyle name="Input 16 4 3 2" xfId="11902"/>
    <cellStyle name="Input 16 4 3 2 2" xfId="11903"/>
    <cellStyle name="Input 16 4 3 3" xfId="11904"/>
    <cellStyle name="Input 16 4 3 3 2" xfId="11905"/>
    <cellStyle name="Input 16 4 3 4" xfId="11906"/>
    <cellStyle name="Input 16 4 4" xfId="11907"/>
    <cellStyle name="Input 16 4 4 2" xfId="11908"/>
    <cellStyle name="Input 16 4 5" xfId="11909"/>
    <cellStyle name="Input 16 4 5 2" xfId="11910"/>
    <cellStyle name="Input 16 4 6" xfId="11911"/>
    <cellStyle name="Input 16 5" xfId="11912"/>
    <cellStyle name="Input 16 5 2" xfId="11913"/>
    <cellStyle name="Input 16 5 2 2" xfId="11914"/>
    <cellStyle name="Input 16 5 3" xfId="11915"/>
    <cellStyle name="Input 16 5 3 2" xfId="11916"/>
    <cellStyle name="Input 16 5 4" xfId="11917"/>
    <cellStyle name="Input 16 6" xfId="11918"/>
    <cellStyle name="Input 16 6 2" xfId="11919"/>
    <cellStyle name="Input 16 6 2 2" xfId="11920"/>
    <cellStyle name="Input 16 6 3" xfId="11921"/>
    <cellStyle name="Input 16 6 3 2" xfId="11922"/>
    <cellStyle name="Input 16 6 4" xfId="11923"/>
    <cellStyle name="Input 16 7" xfId="11924"/>
    <cellStyle name="Input 16 7 2" xfId="11925"/>
    <cellStyle name="Input 16 8" xfId="11926"/>
    <cellStyle name="Input 16 8 2" xfId="11927"/>
    <cellStyle name="Input 16 9" xfId="11928"/>
    <cellStyle name="Input 17" xfId="11929"/>
    <cellStyle name="Input 17 2" xfId="11930"/>
    <cellStyle name="Input 17 2 2" xfId="11931"/>
    <cellStyle name="Input 17 2 2 2" xfId="11932"/>
    <cellStyle name="Input 17 2 2 2 2" xfId="11933"/>
    <cellStyle name="Input 17 2 2 3" xfId="11934"/>
    <cellStyle name="Input 17 2 2 3 2" xfId="11935"/>
    <cellStyle name="Input 17 2 2 4" xfId="11936"/>
    <cellStyle name="Input 17 2 3" xfId="11937"/>
    <cellStyle name="Input 17 2 3 2" xfId="11938"/>
    <cellStyle name="Input 17 2 3 2 2" xfId="11939"/>
    <cellStyle name="Input 17 2 3 3" xfId="11940"/>
    <cellStyle name="Input 17 2 3 3 2" xfId="11941"/>
    <cellStyle name="Input 17 2 3 4" xfId="11942"/>
    <cellStyle name="Input 17 2 4" xfId="11943"/>
    <cellStyle name="Input 17 2 4 2" xfId="11944"/>
    <cellStyle name="Input 17 2 5" xfId="11945"/>
    <cellStyle name="Input 17 2 5 2" xfId="11946"/>
    <cellStyle name="Input 17 2 6" xfId="11947"/>
    <cellStyle name="Input 17 3" xfId="11948"/>
    <cellStyle name="Input 17 3 2" xfId="11949"/>
    <cellStyle name="Input 17 3 2 2" xfId="11950"/>
    <cellStyle name="Input 17 3 2 2 2" xfId="11951"/>
    <cellStyle name="Input 17 3 2 3" xfId="11952"/>
    <cellStyle name="Input 17 3 2 3 2" xfId="11953"/>
    <cellStyle name="Input 17 3 2 4" xfId="11954"/>
    <cellStyle name="Input 17 3 3" xfId="11955"/>
    <cellStyle name="Input 17 3 3 2" xfId="11956"/>
    <cellStyle name="Input 17 3 3 2 2" xfId="11957"/>
    <cellStyle name="Input 17 3 3 3" xfId="11958"/>
    <cellStyle name="Input 17 3 3 3 2" xfId="11959"/>
    <cellStyle name="Input 17 3 3 4" xfId="11960"/>
    <cellStyle name="Input 17 3 4" xfId="11961"/>
    <cellStyle name="Input 17 3 4 2" xfId="11962"/>
    <cellStyle name="Input 17 3 5" xfId="11963"/>
    <cellStyle name="Input 17 3 5 2" xfId="11964"/>
    <cellStyle name="Input 17 3 6" xfId="11965"/>
    <cellStyle name="Input 17 4" xfId="11966"/>
    <cellStyle name="Input 17 4 2" xfId="11967"/>
    <cellStyle name="Input 17 4 2 2" xfId="11968"/>
    <cellStyle name="Input 17 4 2 2 2" xfId="11969"/>
    <cellStyle name="Input 17 4 2 3" xfId="11970"/>
    <cellStyle name="Input 17 4 2 3 2" xfId="11971"/>
    <cellStyle name="Input 17 4 2 4" xfId="11972"/>
    <cellStyle name="Input 17 4 3" xfId="11973"/>
    <cellStyle name="Input 17 4 3 2" xfId="11974"/>
    <cellStyle name="Input 17 4 3 2 2" xfId="11975"/>
    <cellStyle name="Input 17 4 3 3" xfId="11976"/>
    <cellStyle name="Input 17 4 3 3 2" xfId="11977"/>
    <cellStyle name="Input 17 4 3 4" xfId="11978"/>
    <cellStyle name="Input 17 4 4" xfId="11979"/>
    <cellStyle name="Input 17 4 4 2" xfId="11980"/>
    <cellStyle name="Input 17 4 5" xfId="11981"/>
    <cellStyle name="Input 17 4 5 2" xfId="11982"/>
    <cellStyle name="Input 17 4 6" xfId="11983"/>
    <cellStyle name="Input 17 5" xfId="11984"/>
    <cellStyle name="Input 17 5 2" xfId="11985"/>
    <cellStyle name="Input 17 5 2 2" xfId="11986"/>
    <cellStyle name="Input 17 5 3" xfId="11987"/>
    <cellStyle name="Input 17 5 3 2" xfId="11988"/>
    <cellStyle name="Input 17 5 4" xfId="11989"/>
    <cellStyle name="Input 17 6" xfId="11990"/>
    <cellStyle name="Input 17 6 2" xfId="11991"/>
    <cellStyle name="Input 17 6 2 2" xfId="11992"/>
    <cellStyle name="Input 17 6 3" xfId="11993"/>
    <cellStyle name="Input 17 6 3 2" xfId="11994"/>
    <cellStyle name="Input 17 6 4" xfId="11995"/>
    <cellStyle name="Input 17 7" xfId="11996"/>
    <cellStyle name="Input 17 7 2" xfId="11997"/>
    <cellStyle name="Input 17 8" xfId="11998"/>
    <cellStyle name="Input 17 8 2" xfId="11999"/>
    <cellStyle name="Input 17 9" xfId="12000"/>
    <cellStyle name="Input 18" xfId="12001"/>
    <cellStyle name="Input 18 2" xfId="12002"/>
    <cellStyle name="Input 18 2 2" xfId="12003"/>
    <cellStyle name="Input 18 2 2 2" xfId="12004"/>
    <cellStyle name="Input 18 2 2 2 2" xfId="12005"/>
    <cellStyle name="Input 18 2 2 3" xfId="12006"/>
    <cellStyle name="Input 18 2 2 3 2" xfId="12007"/>
    <cellStyle name="Input 18 2 2 4" xfId="12008"/>
    <cellStyle name="Input 18 2 3" xfId="12009"/>
    <cellStyle name="Input 18 2 3 2" xfId="12010"/>
    <cellStyle name="Input 18 2 3 2 2" xfId="12011"/>
    <cellStyle name="Input 18 2 3 3" xfId="12012"/>
    <cellStyle name="Input 18 2 3 3 2" xfId="12013"/>
    <cellStyle name="Input 18 2 3 4" xfId="12014"/>
    <cellStyle name="Input 18 2 4" xfId="12015"/>
    <cellStyle name="Input 18 2 4 2" xfId="12016"/>
    <cellStyle name="Input 18 2 5" xfId="12017"/>
    <cellStyle name="Input 18 2 5 2" xfId="12018"/>
    <cellStyle name="Input 18 2 6" xfId="12019"/>
    <cellStyle name="Input 18 3" xfId="12020"/>
    <cellStyle name="Input 18 3 2" xfId="12021"/>
    <cellStyle name="Input 18 3 2 2" xfId="12022"/>
    <cellStyle name="Input 18 3 2 2 2" xfId="12023"/>
    <cellStyle name="Input 18 3 2 3" xfId="12024"/>
    <cellStyle name="Input 18 3 2 3 2" xfId="12025"/>
    <cellStyle name="Input 18 3 2 4" xfId="12026"/>
    <cellStyle name="Input 18 3 3" xfId="12027"/>
    <cellStyle name="Input 18 3 3 2" xfId="12028"/>
    <cellStyle name="Input 18 3 3 2 2" xfId="12029"/>
    <cellStyle name="Input 18 3 3 3" xfId="12030"/>
    <cellStyle name="Input 18 3 3 3 2" xfId="12031"/>
    <cellStyle name="Input 18 3 3 4" xfId="12032"/>
    <cellStyle name="Input 18 3 4" xfId="12033"/>
    <cellStyle name="Input 18 3 4 2" xfId="12034"/>
    <cellStyle name="Input 18 3 5" xfId="12035"/>
    <cellStyle name="Input 18 3 5 2" xfId="12036"/>
    <cellStyle name="Input 18 3 6" xfId="12037"/>
    <cellStyle name="Input 18 4" xfId="12038"/>
    <cellStyle name="Input 18 4 2" xfId="12039"/>
    <cellStyle name="Input 18 4 2 2" xfId="12040"/>
    <cellStyle name="Input 18 4 2 2 2" xfId="12041"/>
    <cellStyle name="Input 18 4 2 3" xfId="12042"/>
    <cellStyle name="Input 18 4 2 3 2" xfId="12043"/>
    <cellStyle name="Input 18 4 2 4" xfId="12044"/>
    <cellStyle name="Input 18 4 3" xfId="12045"/>
    <cellStyle name="Input 18 4 3 2" xfId="12046"/>
    <cellStyle name="Input 18 4 3 2 2" xfId="12047"/>
    <cellStyle name="Input 18 4 3 3" xfId="12048"/>
    <cellStyle name="Input 18 4 3 3 2" xfId="12049"/>
    <cellStyle name="Input 18 4 3 4" xfId="12050"/>
    <cellStyle name="Input 18 4 4" xfId="12051"/>
    <cellStyle name="Input 18 4 4 2" xfId="12052"/>
    <cellStyle name="Input 18 4 5" xfId="12053"/>
    <cellStyle name="Input 18 4 5 2" xfId="12054"/>
    <cellStyle name="Input 18 4 6" xfId="12055"/>
    <cellStyle name="Input 18 5" xfId="12056"/>
    <cellStyle name="Input 18 5 2" xfId="12057"/>
    <cellStyle name="Input 18 5 2 2" xfId="12058"/>
    <cellStyle name="Input 18 5 3" xfId="12059"/>
    <cellStyle name="Input 18 5 3 2" xfId="12060"/>
    <cellStyle name="Input 18 5 4" xfId="12061"/>
    <cellStyle name="Input 18 6" xfId="12062"/>
    <cellStyle name="Input 18 6 2" xfId="12063"/>
    <cellStyle name="Input 18 6 2 2" xfId="12064"/>
    <cellStyle name="Input 18 6 3" xfId="12065"/>
    <cellStyle name="Input 18 6 3 2" xfId="12066"/>
    <cellStyle name="Input 18 6 4" xfId="12067"/>
    <cellStyle name="Input 18 7" xfId="12068"/>
    <cellStyle name="Input 18 7 2" xfId="12069"/>
    <cellStyle name="Input 18 8" xfId="12070"/>
    <cellStyle name="Input 18 8 2" xfId="12071"/>
    <cellStyle name="Input 18 9" xfId="12072"/>
    <cellStyle name="Input 19" xfId="12073"/>
    <cellStyle name="Input 19 2" xfId="12074"/>
    <cellStyle name="Input 19 2 2" xfId="12075"/>
    <cellStyle name="Input 19 2 2 2" xfId="12076"/>
    <cellStyle name="Input 19 2 2 2 2" xfId="12077"/>
    <cellStyle name="Input 19 2 2 3" xfId="12078"/>
    <cellStyle name="Input 19 2 2 3 2" xfId="12079"/>
    <cellStyle name="Input 19 2 2 4" xfId="12080"/>
    <cellStyle name="Input 19 2 3" xfId="12081"/>
    <cellStyle name="Input 19 2 3 2" xfId="12082"/>
    <cellStyle name="Input 19 2 3 2 2" xfId="12083"/>
    <cellStyle name="Input 19 2 3 3" xfId="12084"/>
    <cellStyle name="Input 19 2 3 3 2" xfId="12085"/>
    <cellStyle name="Input 19 2 3 4" xfId="12086"/>
    <cellStyle name="Input 19 2 4" xfId="12087"/>
    <cellStyle name="Input 19 2 4 2" xfId="12088"/>
    <cellStyle name="Input 19 2 5" xfId="12089"/>
    <cellStyle name="Input 19 2 5 2" xfId="12090"/>
    <cellStyle name="Input 19 2 6" xfId="12091"/>
    <cellStyle name="Input 19 3" xfId="12092"/>
    <cellStyle name="Input 19 3 2" xfId="12093"/>
    <cellStyle name="Input 19 3 2 2" xfId="12094"/>
    <cellStyle name="Input 19 3 2 2 2" xfId="12095"/>
    <cellStyle name="Input 19 3 2 3" xfId="12096"/>
    <cellStyle name="Input 19 3 2 3 2" xfId="12097"/>
    <cellStyle name="Input 19 3 2 4" xfId="12098"/>
    <cellStyle name="Input 19 3 3" xfId="12099"/>
    <cellStyle name="Input 19 3 3 2" xfId="12100"/>
    <cellStyle name="Input 19 3 3 2 2" xfId="12101"/>
    <cellStyle name="Input 19 3 3 3" xfId="12102"/>
    <cellStyle name="Input 19 3 3 3 2" xfId="12103"/>
    <cellStyle name="Input 19 3 3 4" xfId="12104"/>
    <cellStyle name="Input 19 3 4" xfId="12105"/>
    <cellStyle name="Input 19 3 4 2" xfId="12106"/>
    <cellStyle name="Input 19 3 5" xfId="12107"/>
    <cellStyle name="Input 19 3 5 2" xfId="12108"/>
    <cellStyle name="Input 19 3 6" xfId="12109"/>
    <cellStyle name="Input 19 4" xfId="12110"/>
    <cellStyle name="Input 19 4 2" xfId="12111"/>
    <cellStyle name="Input 19 4 2 2" xfId="12112"/>
    <cellStyle name="Input 19 4 2 2 2" xfId="12113"/>
    <cellStyle name="Input 19 4 2 3" xfId="12114"/>
    <cellStyle name="Input 19 4 2 3 2" xfId="12115"/>
    <cellStyle name="Input 19 4 2 4" xfId="12116"/>
    <cellStyle name="Input 19 4 3" xfId="12117"/>
    <cellStyle name="Input 19 4 3 2" xfId="12118"/>
    <cellStyle name="Input 19 4 3 2 2" xfId="12119"/>
    <cellStyle name="Input 19 4 3 3" xfId="12120"/>
    <cellStyle name="Input 19 4 3 3 2" xfId="12121"/>
    <cellStyle name="Input 19 4 3 4" xfId="12122"/>
    <cellStyle name="Input 19 4 4" xfId="12123"/>
    <cellStyle name="Input 19 4 4 2" xfId="12124"/>
    <cellStyle name="Input 19 4 5" xfId="12125"/>
    <cellStyle name="Input 19 4 5 2" xfId="12126"/>
    <cellStyle name="Input 19 4 6" xfId="12127"/>
    <cellStyle name="Input 19 5" xfId="12128"/>
    <cellStyle name="Input 19 5 2" xfId="12129"/>
    <cellStyle name="Input 19 5 2 2" xfId="12130"/>
    <cellStyle name="Input 19 5 3" xfId="12131"/>
    <cellStyle name="Input 19 5 3 2" xfId="12132"/>
    <cellStyle name="Input 19 5 4" xfId="12133"/>
    <cellStyle name="Input 19 6" xfId="12134"/>
    <cellStyle name="Input 19 6 2" xfId="12135"/>
    <cellStyle name="Input 19 6 2 2" xfId="12136"/>
    <cellStyle name="Input 19 6 3" xfId="12137"/>
    <cellStyle name="Input 19 6 3 2" xfId="12138"/>
    <cellStyle name="Input 19 6 4" xfId="12139"/>
    <cellStyle name="Input 19 7" xfId="12140"/>
    <cellStyle name="Input 19 7 2" xfId="12141"/>
    <cellStyle name="Input 19 8" xfId="12142"/>
    <cellStyle name="Input 19 8 2" xfId="12143"/>
    <cellStyle name="Input 19 9" xfId="12144"/>
    <cellStyle name="Input 2" xfId="12145"/>
    <cellStyle name="Input 2 2" xfId="12146"/>
    <cellStyle name="Input 2 2 2" xfId="12147"/>
    <cellStyle name="Input 2 2 2 2" xfId="12148"/>
    <cellStyle name="Input 2 2 2 2 2" xfId="12149"/>
    <cellStyle name="Input 2 2 2 3" xfId="12150"/>
    <cellStyle name="Input 2 2 2 3 2" xfId="12151"/>
    <cellStyle name="Input 2 2 2 4" xfId="12152"/>
    <cellStyle name="Input 2 2 3" xfId="12153"/>
    <cellStyle name="Input 2 2 3 2" xfId="12154"/>
    <cellStyle name="Input 2 2 3 2 2" xfId="12155"/>
    <cellStyle name="Input 2 2 3 3" xfId="12156"/>
    <cellStyle name="Input 2 2 3 3 2" xfId="12157"/>
    <cellStyle name="Input 2 2 3 4" xfId="12158"/>
    <cellStyle name="Input 2 2 4" xfId="12159"/>
    <cellStyle name="Input 2 2 4 2" xfId="12160"/>
    <cellStyle name="Input 2 2 5" xfId="12161"/>
    <cellStyle name="Input 2 2 5 2" xfId="12162"/>
    <cellStyle name="Input 2 2 6" xfId="12163"/>
    <cellStyle name="Input 2 3" xfId="12164"/>
    <cellStyle name="Input 2 3 2" xfId="12165"/>
    <cellStyle name="Input 2 3 2 2" xfId="12166"/>
    <cellStyle name="Input 2 3 2 2 2" xfId="12167"/>
    <cellStyle name="Input 2 3 2 3" xfId="12168"/>
    <cellStyle name="Input 2 3 2 3 2" xfId="12169"/>
    <cellStyle name="Input 2 3 2 4" xfId="12170"/>
    <cellStyle name="Input 2 3 3" xfId="12171"/>
    <cellStyle name="Input 2 3 3 2" xfId="12172"/>
    <cellStyle name="Input 2 3 3 2 2" xfId="12173"/>
    <cellStyle name="Input 2 3 3 3" xfId="12174"/>
    <cellStyle name="Input 2 3 3 3 2" xfId="12175"/>
    <cellStyle name="Input 2 3 3 4" xfId="12176"/>
    <cellStyle name="Input 2 3 4" xfId="12177"/>
    <cellStyle name="Input 2 3 4 2" xfId="12178"/>
    <cellStyle name="Input 2 3 5" xfId="12179"/>
    <cellStyle name="Input 2 3 5 2" xfId="12180"/>
    <cellStyle name="Input 2 3 6" xfId="12181"/>
    <cellStyle name="Input 2 4" xfId="12182"/>
    <cellStyle name="Input 2 4 2" xfId="12183"/>
    <cellStyle name="Input 2 4 2 2" xfId="12184"/>
    <cellStyle name="Input 2 4 2 2 2" xfId="12185"/>
    <cellStyle name="Input 2 4 2 3" xfId="12186"/>
    <cellStyle name="Input 2 4 2 3 2" xfId="12187"/>
    <cellStyle name="Input 2 4 2 4" xfId="12188"/>
    <cellStyle name="Input 2 4 3" xfId="12189"/>
    <cellStyle name="Input 2 4 3 2" xfId="12190"/>
    <cellStyle name="Input 2 4 3 2 2" xfId="12191"/>
    <cellStyle name="Input 2 4 3 3" xfId="12192"/>
    <cellStyle name="Input 2 4 3 3 2" xfId="12193"/>
    <cellStyle name="Input 2 4 3 4" xfId="12194"/>
    <cellStyle name="Input 2 4 4" xfId="12195"/>
    <cellStyle name="Input 2 4 4 2" xfId="12196"/>
    <cellStyle name="Input 2 4 5" xfId="12197"/>
    <cellStyle name="Input 2 4 5 2" xfId="12198"/>
    <cellStyle name="Input 2 4 6" xfId="12199"/>
    <cellStyle name="Input 2 5" xfId="12200"/>
    <cellStyle name="Input 2 5 2" xfId="12201"/>
    <cellStyle name="Input 2 5 2 2" xfId="12202"/>
    <cellStyle name="Input 2 5 3" xfId="12203"/>
    <cellStyle name="Input 2 5 3 2" xfId="12204"/>
    <cellStyle name="Input 2 5 4" xfId="12205"/>
    <cellStyle name="Input 2 6" xfId="12206"/>
    <cellStyle name="Input 2 6 2" xfId="12207"/>
    <cellStyle name="Input 2 6 2 2" xfId="12208"/>
    <cellStyle name="Input 2 6 3" xfId="12209"/>
    <cellStyle name="Input 2 6 3 2" xfId="12210"/>
    <cellStyle name="Input 2 6 4" xfId="12211"/>
    <cellStyle name="Input 2 7" xfId="12212"/>
    <cellStyle name="Input 2 7 2" xfId="12213"/>
    <cellStyle name="Input 2 8" xfId="12214"/>
    <cellStyle name="Input 2 8 2" xfId="12215"/>
    <cellStyle name="Input 2 9" xfId="12216"/>
    <cellStyle name="Input 20" xfId="12217"/>
    <cellStyle name="Input 20 2" xfId="12218"/>
    <cellStyle name="Input 20 2 2" xfId="12219"/>
    <cellStyle name="Input 20 2 2 2" xfId="12220"/>
    <cellStyle name="Input 20 2 2 2 2" xfId="12221"/>
    <cellStyle name="Input 20 2 2 3" xfId="12222"/>
    <cellStyle name="Input 20 2 2 3 2" xfId="12223"/>
    <cellStyle name="Input 20 2 2 4" xfId="12224"/>
    <cellStyle name="Input 20 2 3" xfId="12225"/>
    <cellStyle name="Input 20 2 3 2" xfId="12226"/>
    <cellStyle name="Input 20 2 3 2 2" xfId="12227"/>
    <cellStyle name="Input 20 2 3 3" xfId="12228"/>
    <cellStyle name="Input 20 2 3 3 2" xfId="12229"/>
    <cellStyle name="Input 20 2 3 4" xfId="12230"/>
    <cellStyle name="Input 20 2 4" xfId="12231"/>
    <cellStyle name="Input 20 2 4 2" xfId="12232"/>
    <cellStyle name="Input 20 2 5" xfId="12233"/>
    <cellStyle name="Input 20 2 5 2" xfId="12234"/>
    <cellStyle name="Input 20 2 6" xfId="12235"/>
    <cellStyle name="Input 20 3" xfId="12236"/>
    <cellStyle name="Input 20 3 2" xfId="12237"/>
    <cellStyle name="Input 20 3 2 2" xfId="12238"/>
    <cellStyle name="Input 20 3 2 2 2" xfId="12239"/>
    <cellStyle name="Input 20 3 2 3" xfId="12240"/>
    <cellStyle name="Input 20 3 2 3 2" xfId="12241"/>
    <cellStyle name="Input 20 3 2 4" xfId="12242"/>
    <cellStyle name="Input 20 3 3" xfId="12243"/>
    <cellStyle name="Input 20 3 3 2" xfId="12244"/>
    <cellStyle name="Input 20 3 3 2 2" xfId="12245"/>
    <cellStyle name="Input 20 3 3 3" xfId="12246"/>
    <cellStyle name="Input 20 3 3 3 2" xfId="12247"/>
    <cellStyle name="Input 20 3 3 4" xfId="12248"/>
    <cellStyle name="Input 20 3 4" xfId="12249"/>
    <cellStyle name="Input 20 3 4 2" xfId="12250"/>
    <cellStyle name="Input 20 3 5" xfId="12251"/>
    <cellStyle name="Input 20 3 5 2" xfId="12252"/>
    <cellStyle name="Input 20 3 6" xfId="12253"/>
    <cellStyle name="Input 20 4" xfId="12254"/>
    <cellStyle name="Input 20 4 2" xfId="12255"/>
    <cellStyle name="Input 20 4 2 2" xfId="12256"/>
    <cellStyle name="Input 20 4 2 2 2" xfId="12257"/>
    <cellStyle name="Input 20 4 2 3" xfId="12258"/>
    <cellStyle name="Input 20 4 2 3 2" xfId="12259"/>
    <cellStyle name="Input 20 4 2 4" xfId="12260"/>
    <cellStyle name="Input 20 4 3" xfId="12261"/>
    <cellStyle name="Input 20 4 3 2" xfId="12262"/>
    <cellStyle name="Input 20 4 3 2 2" xfId="12263"/>
    <cellStyle name="Input 20 4 3 3" xfId="12264"/>
    <cellStyle name="Input 20 4 3 3 2" xfId="12265"/>
    <cellStyle name="Input 20 4 3 4" xfId="12266"/>
    <cellStyle name="Input 20 4 4" xfId="12267"/>
    <cellStyle name="Input 20 4 4 2" xfId="12268"/>
    <cellStyle name="Input 20 4 5" xfId="12269"/>
    <cellStyle name="Input 20 4 5 2" xfId="12270"/>
    <cellStyle name="Input 20 4 6" xfId="12271"/>
    <cellStyle name="Input 20 5" xfId="12272"/>
    <cellStyle name="Input 20 5 2" xfId="12273"/>
    <cellStyle name="Input 20 5 2 2" xfId="12274"/>
    <cellStyle name="Input 20 5 3" xfId="12275"/>
    <cellStyle name="Input 20 5 3 2" xfId="12276"/>
    <cellStyle name="Input 20 5 4" xfId="12277"/>
    <cellStyle name="Input 20 6" xfId="12278"/>
    <cellStyle name="Input 20 6 2" xfId="12279"/>
    <cellStyle name="Input 20 6 2 2" xfId="12280"/>
    <cellStyle name="Input 20 6 3" xfId="12281"/>
    <cellStyle name="Input 20 6 3 2" xfId="12282"/>
    <cellStyle name="Input 20 6 4" xfId="12283"/>
    <cellStyle name="Input 20 7" xfId="12284"/>
    <cellStyle name="Input 20 7 2" xfId="12285"/>
    <cellStyle name="Input 20 8" xfId="12286"/>
    <cellStyle name="Input 20 8 2" xfId="12287"/>
    <cellStyle name="Input 20 9" xfId="12288"/>
    <cellStyle name="Input 21" xfId="12289"/>
    <cellStyle name="Input 21 2" xfId="12290"/>
    <cellStyle name="Input 21 2 2" xfId="12291"/>
    <cellStyle name="Input 21 2 2 2" xfId="12292"/>
    <cellStyle name="Input 21 2 3" xfId="12293"/>
    <cellStyle name="Input 21 2 3 2" xfId="12294"/>
    <cellStyle name="Input 21 2 4" xfId="12295"/>
    <cellStyle name="Input 21 3" xfId="12296"/>
    <cellStyle name="Input 21 3 2" xfId="12297"/>
    <cellStyle name="Input 21 3 2 2" xfId="12298"/>
    <cellStyle name="Input 21 3 3" xfId="12299"/>
    <cellStyle name="Input 21 3 3 2" xfId="12300"/>
    <cellStyle name="Input 21 3 4" xfId="12301"/>
    <cellStyle name="Input 21 4" xfId="12302"/>
    <cellStyle name="Input 21 4 2" xfId="12303"/>
    <cellStyle name="Input 21 4 2 2" xfId="12304"/>
    <cellStyle name="Input 21 4 3" xfId="12305"/>
    <cellStyle name="Input 21 4 3 2" xfId="12306"/>
    <cellStyle name="Input 21 4 4" xfId="12307"/>
    <cellStyle name="Input 21 5" xfId="12308"/>
    <cellStyle name="Input 21 5 2" xfId="12309"/>
    <cellStyle name="Input 21 6" xfId="12310"/>
    <cellStyle name="Input 21 6 2" xfId="12311"/>
    <cellStyle name="Input 21 7" xfId="12312"/>
    <cellStyle name="Input 22" xfId="12313"/>
    <cellStyle name="Input 22 2" xfId="12314"/>
    <cellStyle name="Input 22 2 2" xfId="12315"/>
    <cellStyle name="Input 22 2 2 2" xfId="12316"/>
    <cellStyle name="Input 22 2 3" xfId="12317"/>
    <cellStyle name="Input 22 2 3 2" xfId="12318"/>
    <cellStyle name="Input 22 2 4" xfId="12319"/>
    <cellStyle name="Input 22 3" xfId="12320"/>
    <cellStyle name="Input 22 3 2" xfId="12321"/>
    <cellStyle name="Input 22 3 2 2" xfId="12322"/>
    <cellStyle name="Input 22 3 3" xfId="12323"/>
    <cellStyle name="Input 22 3 3 2" xfId="12324"/>
    <cellStyle name="Input 22 3 4" xfId="12325"/>
    <cellStyle name="Input 22 4" xfId="12326"/>
    <cellStyle name="Input 22 4 2" xfId="12327"/>
    <cellStyle name="Input 22 4 2 2" xfId="12328"/>
    <cellStyle name="Input 22 4 3" xfId="12329"/>
    <cellStyle name="Input 22 4 3 2" xfId="12330"/>
    <cellStyle name="Input 22 4 4" xfId="12331"/>
    <cellStyle name="Input 22 5" xfId="12332"/>
    <cellStyle name="Input 22 5 2" xfId="12333"/>
    <cellStyle name="Input 22 6" xfId="12334"/>
    <cellStyle name="Input 22 6 2" xfId="12335"/>
    <cellStyle name="Input 22 7" xfId="12336"/>
    <cellStyle name="Input 23" xfId="12337"/>
    <cellStyle name="Input 23 2" xfId="12338"/>
    <cellStyle name="Input 23 2 2" xfId="12339"/>
    <cellStyle name="Input 23 2 2 2" xfId="12340"/>
    <cellStyle name="Input 23 2 3" xfId="12341"/>
    <cellStyle name="Input 23 2 3 2" xfId="12342"/>
    <cellStyle name="Input 23 2 4" xfId="12343"/>
    <cellStyle name="Input 23 3" xfId="12344"/>
    <cellStyle name="Input 23 3 2" xfId="12345"/>
    <cellStyle name="Input 23 3 2 2" xfId="12346"/>
    <cellStyle name="Input 23 3 3" xfId="12347"/>
    <cellStyle name="Input 23 3 3 2" xfId="12348"/>
    <cellStyle name="Input 23 3 4" xfId="12349"/>
    <cellStyle name="Input 23 4" xfId="12350"/>
    <cellStyle name="Input 23 4 2" xfId="12351"/>
    <cellStyle name="Input 23 4 2 2" xfId="12352"/>
    <cellStyle name="Input 23 4 3" xfId="12353"/>
    <cellStyle name="Input 23 4 3 2" xfId="12354"/>
    <cellStyle name="Input 23 4 4" xfId="12355"/>
    <cellStyle name="Input 23 5" xfId="12356"/>
    <cellStyle name="Input 23 5 2" xfId="12357"/>
    <cellStyle name="Input 23 6" xfId="12358"/>
    <cellStyle name="Input 23 6 2" xfId="12359"/>
    <cellStyle name="Input 23 7" xfId="12360"/>
    <cellStyle name="Input 24" xfId="12361"/>
    <cellStyle name="Input 24 2" xfId="12362"/>
    <cellStyle name="Input 24 2 2" xfId="12363"/>
    <cellStyle name="Input 24 3" xfId="12364"/>
    <cellStyle name="Input 24 3 2" xfId="12365"/>
    <cellStyle name="Input 24 4" xfId="12366"/>
    <cellStyle name="Input 25" xfId="12367"/>
    <cellStyle name="Input 25 2" xfId="12368"/>
    <cellStyle name="Input 25 2 2" xfId="12369"/>
    <cellStyle name="Input 25 3" xfId="12370"/>
    <cellStyle name="Input 25 3 2" xfId="12371"/>
    <cellStyle name="Input 25 4" xfId="12372"/>
    <cellStyle name="Input 26" xfId="12373"/>
    <cellStyle name="Input 26 2" xfId="12374"/>
    <cellStyle name="Input 27" xfId="12375"/>
    <cellStyle name="Input 27 2" xfId="12376"/>
    <cellStyle name="Input 28" xfId="12377"/>
    <cellStyle name="Input 3" xfId="12378"/>
    <cellStyle name="Input 3 2" xfId="12379"/>
    <cellStyle name="Input 3 2 2" xfId="12380"/>
    <cellStyle name="Input 3 2 2 2" xfId="12381"/>
    <cellStyle name="Input 3 2 2 2 2" xfId="12382"/>
    <cellStyle name="Input 3 2 2 3" xfId="12383"/>
    <cellStyle name="Input 3 2 2 3 2" xfId="12384"/>
    <cellStyle name="Input 3 2 2 4" xfId="12385"/>
    <cellStyle name="Input 3 2 3" xfId="12386"/>
    <cellStyle name="Input 3 2 3 2" xfId="12387"/>
    <cellStyle name="Input 3 2 3 2 2" xfId="12388"/>
    <cellStyle name="Input 3 2 3 3" xfId="12389"/>
    <cellStyle name="Input 3 2 3 3 2" xfId="12390"/>
    <cellStyle name="Input 3 2 3 4" xfId="12391"/>
    <cellStyle name="Input 3 2 4" xfId="12392"/>
    <cellStyle name="Input 3 2 4 2" xfId="12393"/>
    <cellStyle name="Input 3 2 5" xfId="12394"/>
    <cellStyle name="Input 3 2 5 2" xfId="12395"/>
    <cellStyle name="Input 3 2 6" xfId="12396"/>
    <cellStyle name="Input 3 3" xfId="12397"/>
    <cellStyle name="Input 3 3 2" xfId="12398"/>
    <cellStyle name="Input 3 3 2 2" xfId="12399"/>
    <cellStyle name="Input 3 3 2 2 2" xfId="12400"/>
    <cellStyle name="Input 3 3 2 3" xfId="12401"/>
    <cellStyle name="Input 3 3 2 3 2" xfId="12402"/>
    <cellStyle name="Input 3 3 2 4" xfId="12403"/>
    <cellStyle name="Input 3 3 3" xfId="12404"/>
    <cellStyle name="Input 3 3 3 2" xfId="12405"/>
    <cellStyle name="Input 3 3 3 2 2" xfId="12406"/>
    <cellStyle name="Input 3 3 3 3" xfId="12407"/>
    <cellStyle name="Input 3 3 3 3 2" xfId="12408"/>
    <cellStyle name="Input 3 3 3 4" xfId="12409"/>
    <cellStyle name="Input 3 3 4" xfId="12410"/>
    <cellStyle name="Input 3 3 4 2" xfId="12411"/>
    <cellStyle name="Input 3 3 5" xfId="12412"/>
    <cellStyle name="Input 3 3 5 2" xfId="12413"/>
    <cellStyle name="Input 3 3 6" xfId="12414"/>
    <cellStyle name="Input 3 4" xfId="12415"/>
    <cellStyle name="Input 3 4 2" xfId="12416"/>
    <cellStyle name="Input 3 4 2 2" xfId="12417"/>
    <cellStyle name="Input 3 4 2 2 2" xfId="12418"/>
    <cellStyle name="Input 3 4 2 3" xfId="12419"/>
    <cellStyle name="Input 3 4 2 3 2" xfId="12420"/>
    <cellStyle name="Input 3 4 2 4" xfId="12421"/>
    <cellStyle name="Input 3 4 3" xfId="12422"/>
    <cellStyle name="Input 3 4 3 2" xfId="12423"/>
    <cellStyle name="Input 3 4 3 2 2" xfId="12424"/>
    <cellStyle name="Input 3 4 3 3" xfId="12425"/>
    <cellStyle name="Input 3 4 3 3 2" xfId="12426"/>
    <cellStyle name="Input 3 4 3 4" xfId="12427"/>
    <cellStyle name="Input 3 4 4" xfId="12428"/>
    <cellStyle name="Input 3 4 4 2" xfId="12429"/>
    <cellStyle name="Input 3 4 5" xfId="12430"/>
    <cellStyle name="Input 3 4 5 2" xfId="12431"/>
    <cellStyle name="Input 3 4 6" xfId="12432"/>
    <cellStyle name="Input 3 5" xfId="12433"/>
    <cellStyle name="Input 3 5 2" xfId="12434"/>
    <cellStyle name="Input 3 5 2 2" xfId="12435"/>
    <cellStyle name="Input 3 5 3" xfId="12436"/>
    <cellStyle name="Input 3 5 3 2" xfId="12437"/>
    <cellStyle name="Input 3 5 4" xfId="12438"/>
    <cellStyle name="Input 3 6" xfId="12439"/>
    <cellStyle name="Input 3 6 2" xfId="12440"/>
    <cellStyle name="Input 3 6 2 2" xfId="12441"/>
    <cellStyle name="Input 3 6 3" xfId="12442"/>
    <cellStyle name="Input 3 6 3 2" xfId="12443"/>
    <cellStyle name="Input 3 6 4" xfId="12444"/>
    <cellStyle name="Input 3 7" xfId="12445"/>
    <cellStyle name="Input 3 7 2" xfId="12446"/>
    <cellStyle name="Input 3 8" xfId="12447"/>
    <cellStyle name="Input 3 8 2" xfId="12448"/>
    <cellStyle name="Input 3 9" xfId="12449"/>
    <cellStyle name="Input 4" xfId="12450"/>
    <cellStyle name="Input 4 2" xfId="12451"/>
    <cellStyle name="Input 4 2 2" xfId="12452"/>
    <cellStyle name="Input 4 2 2 2" xfId="12453"/>
    <cellStyle name="Input 4 2 2 2 2" xfId="12454"/>
    <cellStyle name="Input 4 2 2 3" xfId="12455"/>
    <cellStyle name="Input 4 2 2 3 2" xfId="12456"/>
    <cellStyle name="Input 4 2 2 4" xfId="12457"/>
    <cellStyle name="Input 4 2 3" xfId="12458"/>
    <cellStyle name="Input 4 2 3 2" xfId="12459"/>
    <cellStyle name="Input 4 2 3 2 2" xfId="12460"/>
    <cellStyle name="Input 4 2 3 3" xfId="12461"/>
    <cellStyle name="Input 4 2 3 3 2" xfId="12462"/>
    <cellStyle name="Input 4 2 3 4" xfId="12463"/>
    <cellStyle name="Input 4 2 4" xfId="12464"/>
    <cellStyle name="Input 4 2 4 2" xfId="12465"/>
    <cellStyle name="Input 4 2 5" xfId="12466"/>
    <cellStyle name="Input 4 2 5 2" xfId="12467"/>
    <cellStyle name="Input 4 2 6" xfId="12468"/>
    <cellStyle name="Input 4 3" xfId="12469"/>
    <cellStyle name="Input 4 3 2" xfId="12470"/>
    <cellStyle name="Input 4 3 2 2" xfId="12471"/>
    <cellStyle name="Input 4 3 2 2 2" xfId="12472"/>
    <cellStyle name="Input 4 3 2 3" xfId="12473"/>
    <cellStyle name="Input 4 3 2 3 2" xfId="12474"/>
    <cellStyle name="Input 4 3 2 4" xfId="12475"/>
    <cellStyle name="Input 4 3 3" xfId="12476"/>
    <cellStyle name="Input 4 3 3 2" xfId="12477"/>
    <cellStyle name="Input 4 3 3 2 2" xfId="12478"/>
    <cellStyle name="Input 4 3 3 3" xfId="12479"/>
    <cellStyle name="Input 4 3 3 3 2" xfId="12480"/>
    <cellStyle name="Input 4 3 3 4" xfId="12481"/>
    <cellStyle name="Input 4 3 4" xfId="12482"/>
    <cellStyle name="Input 4 3 4 2" xfId="12483"/>
    <cellStyle name="Input 4 3 5" xfId="12484"/>
    <cellStyle name="Input 4 3 5 2" xfId="12485"/>
    <cellStyle name="Input 4 3 6" xfId="12486"/>
    <cellStyle name="Input 4 4" xfId="12487"/>
    <cellStyle name="Input 4 4 2" xfId="12488"/>
    <cellStyle name="Input 4 4 2 2" xfId="12489"/>
    <cellStyle name="Input 4 4 2 2 2" xfId="12490"/>
    <cellStyle name="Input 4 4 2 3" xfId="12491"/>
    <cellStyle name="Input 4 4 2 3 2" xfId="12492"/>
    <cellStyle name="Input 4 4 2 4" xfId="12493"/>
    <cellStyle name="Input 4 4 3" xfId="12494"/>
    <cellStyle name="Input 4 4 3 2" xfId="12495"/>
    <cellStyle name="Input 4 4 3 2 2" xfId="12496"/>
    <cellStyle name="Input 4 4 3 3" xfId="12497"/>
    <cellStyle name="Input 4 4 3 3 2" xfId="12498"/>
    <cellStyle name="Input 4 4 3 4" xfId="12499"/>
    <cellStyle name="Input 4 4 4" xfId="12500"/>
    <cellStyle name="Input 4 4 4 2" xfId="12501"/>
    <cellStyle name="Input 4 4 5" xfId="12502"/>
    <cellStyle name="Input 4 4 5 2" xfId="12503"/>
    <cellStyle name="Input 4 4 6" xfId="12504"/>
    <cellStyle name="Input 4 5" xfId="12505"/>
    <cellStyle name="Input 4 5 2" xfId="12506"/>
    <cellStyle name="Input 4 5 2 2" xfId="12507"/>
    <cellStyle name="Input 4 5 3" xfId="12508"/>
    <cellStyle name="Input 4 5 3 2" xfId="12509"/>
    <cellStyle name="Input 4 5 4" xfId="12510"/>
    <cellStyle name="Input 4 6" xfId="12511"/>
    <cellStyle name="Input 4 6 2" xfId="12512"/>
    <cellStyle name="Input 4 6 2 2" xfId="12513"/>
    <cellStyle name="Input 4 6 3" xfId="12514"/>
    <cellStyle name="Input 4 6 3 2" xfId="12515"/>
    <cellStyle name="Input 4 6 4" xfId="12516"/>
    <cellStyle name="Input 4 7" xfId="12517"/>
    <cellStyle name="Input 4 7 2" xfId="12518"/>
    <cellStyle name="Input 4 8" xfId="12519"/>
    <cellStyle name="Input 4 8 2" xfId="12520"/>
    <cellStyle name="Input 4 9" xfId="12521"/>
    <cellStyle name="Input 5" xfId="12522"/>
    <cellStyle name="Input 5 2" xfId="12523"/>
    <cellStyle name="Input 5 2 2" xfId="12524"/>
    <cellStyle name="Input 5 2 2 2" xfId="12525"/>
    <cellStyle name="Input 5 2 2 2 2" xfId="12526"/>
    <cellStyle name="Input 5 2 2 3" xfId="12527"/>
    <cellStyle name="Input 5 2 2 3 2" xfId="12528"/>
    <cellStyle name="Input 5 2 2 4" xfId="12529"/>
    <cellStyle name="Input 5 2 3" xfId="12530"/>
    <cellStyle name="Input 5 2 3 2" xfId="12531"/>
    <cellStyle name="Input 5 2 3 2 2" xfId="12532"/>
    <cellStyle name="Input 5 2 3 3" xfId="12533"/>
    <cellStyle name="Input 5 2 3 3 2" xfId="12534"/>
    <cellStyle name="Input 5 2 3 4" xfId="12535"/>
    <cellStyle name="Input 5 2 4" xfId="12536"/>
    <cellStyle name="Input 5 2 4 2" xfId="12537"/>
    <cellStyle name="Input 5 2 5" xfId="12538"/>
    <cellStyle name="Input 5 2 5 2" xfId="12539"/>
    <cellStyle name="Input 5 2 6" xfId="12540"/>
    <cellStyle name="Input 5 3" xfId="12541"/>
    <cellStyle name="Input 5 3 2" xfId="12542"/>
    <cellStyle name="Input 5 3 2 2" xfId="12543"/>
    <cellStyle name="Input 5 3 2 2 2" xfId="12544"/>
    <cellStyle name="Input 5 3 2 3" xfId="12545"/>
    <cellStyle name="Input 5 3 2 3 2" xfId="12546"/>
    <cellStyle name="Input 5 3 2 4" xfId="12547"/>
    <cellStyle name="Input 5 3 3" xfId="12548"/>
    <cellStyle name="Input 5 3 3 2" xfId="12549"/>
    <cellStyle name="Input 5 3 3 2 2" xfId="12550"/>
    <cellStyle name="Input 5 3 3 3" xfId="12551"/>
    <cellStyle name="Input 5 3 3 3 2" xfId="12552"/>
    <cellStyle name="Input 5 3 3 4" xfId="12553"/>
    <cellStyle name="Input 5 3 4" xfId="12554"/>
    <cellStyle name="Input 5 3 4 2" xfId="12555"/>
    <cellStyle name="Input 5 3 5" xfId="12556"/>
    <cellStyle name="Input 5 3 5 2" xfId="12557"/>
    <cellStyle name="Input 5 3 6" xfId="12558"/>
    <cellStyle name="Input 5 4" xfId="12559"/>
    <cellStyle name="Input 5 4 2" xfId="12560"/>
    <cellStyle name="Input 5 4 2 2" xfId="12561"/>
    <cellStyle name="Input 5 4 2 2 2" xfId="12562"/>
    <cellStyle name="Input 5 4 2 3" xfId="12563"/>
    <cellStyle name="Input 5 4 2 3 2" xfId="12564"/>
    <cellStyle name="Input 5 4 2 4" xfId="12565"/>
    <cellStyle name="Input 5 4 3" xfId="12566"/>
    <cellStyle name="Input 5 4 3 2" xfId="12567"/>
    <cellStyle name="Input 5 4 3 2 2" xfId="12568"/>
    <cellStyle name="Input 5 4 3 3" xfId="12569"/>
    <cellStyle name="Input 5 4 3 3 2" xfId="12570"/>
    <cellStyle name="Input 5 4 3 4" xfId="12571"/>
    <cellStyle name="Input 5 4 4" xfId="12572"/>
    <cellStyle name="Input 5 4 4 2" xfId="12573"/>
    <cellStyle name="Input 5 4 5" xfId="12574"/>
    <cellStyle name="Input 5 4 5 2" xfId="12575"/>
    <cellStyle name="Input 5 4 6" xfId="12576"/>
    <cellStyle name="Input 5 5" xfId="12577"/>
    <cellStyle name="Input 5 5 2" xfId="12578"/>
    <cellStyle name="Input 5 5 2 2" xfId="12579"/>
    <cellStyle name="Input 5 5 3" xfId="12580"/>
    <cellStyle name="Input 5 5 3 2" xfId="12581"/>
    <cellStyle name="Input 5 5 4" xfId="12582"/>
    <cellStyle name="Input 5 6" xfId="12583"/>
    <cellStyle name="Input 5 6 2" xfId="12584"/>
    <cellStyle name="Input 5 6 2 2" xfId="12585"/>
    <cellStyle name="Input 5 6 3" xfId="12586"/>
    <cellStyle name="Input 5 6 3 2" xfId="12587"/>
    <cellStyle name="Input 5 6 4" xfId="12588"/>
    <cellStyle name="Input 5 7" xfId="12589"/>
    <cellStyle name="Input 5 7 2" xfId="12590"/>
    <cellStyle name="Input 5 8" xfId="12591"/>
    <cellStyle name="Input 5 8 2" xfId="12592"/>
    <cellStyle name="Input 5 9" xfId="12593"/>
    <cellStyle name="Input 6" xfId="12594"/>
    <cellStyle name="Input 6 2" xfId="12595"/>
    <cellStyle name="Input 6 2 2" xfId="12596"/>
    <cellStyle name="Input 6 2 2 2" xfId="12597"/>
    <cellStyle name="Input 6 2 2 2 2" xfId="12598"/>
    <cellStyle name="Input 6 2 2 3" xfId="12599"/>
    <cellStyle name="Input 6 2 2 3 2" xfId="12600"/>
    <cellStyle name="Input 6 2 2 4" xfId="12601"/>
    <cellStyle name="Input 6 2 3" xfId="12602"/>
    <cellStyle name="Input 6 2 3 2" xfId="12603"/>
    <cellStyle name="Input 6 2 3 2 2" xfId="12604"/>
    <cellStyle name="Input 6 2 3 3" xfId="12605"/>
    <cellStyle name="Input 6 2 3 3 2" xfId="12606"/>
    <cellStyle name="Input 6 2 3 4" xfId="12607"/>
    <cellStyle name="Input 6 2 4" xfId="12608"/>
    <cellStyle name="Input 6 2 4 2" xfId="12609"/>
    <cellStyle name="Input 6 2 5" xfId="12610"/>
    <cellStyle name="Input 6 2 5 2" xfId="12611"/>
    <cellStyle name="Input 6 2 6" xfId="12612"/>
    <cellStyle name="Input 6 3" xfId="12613"/>
    <cellStyle name="Input 6 3 2" xfId="12614"/>
    <cellStyle name="Input 6 3 2 2" xfId="12615"/>
    <cellStyle name="Input 6 3 2 2 2" xfId="12616"/>
    <cellStyle name="Input 6 3 2 3" xfId="12617"/>
    <cellStyle name="Input 6 3 2 3 2" xfId="12618"/>
    <cellStyle name="Input 6 3 2 4" xfId="12619"/>
    <cellStyle name="Input 6 3 3" xfId="12620"/>
    <cellStyle name="Input 6 3 3 2" xfId="12621"/>
    <cellStyle name="Input 6 3 3 2 2" xfId="12622"/>
    <cellStyle name="Input 6 3 3 3" xfId="12623"/>
    <cellStyle name="Input 6 3 3 3 2" xfId="12624"/>
    <cellStyle name="Input 6 3 3 4" xfId="12625"/>
    <cellStyle name="Input 6 3 4" xfId="12626"/>
    <cellStyle name="Input 6 3 4 2" xfId="12627"/>
    <cellStyle name="Input 6 3 5" xfId="12628"/>
    <cellStyle name="Input 6 3 5 2" xfId="12629"/>
    <cellStyle name="Input 6 3 6" xfId="12630"/>
    <cellStyle name="Input 6 4" xfId="12631"/>
    <cellStyle name="Input 6 4 2" xfId="12632"/>
    <cellStyle name="Input 6 4 2 2" xfId="12633"/>
    <cellStyle name="Input 6 4 2 2 2" xfId="12634"/>
    <cellStyle name="Input 6 4 2 3" xfId="12635"/>
    <cellStyle name="Input 6 4 2 3 2" xfId="12636"/>
    <cellStyle name="Input 6 4 2 4" xfId="12637"/>
    <cellStyle name="Input 6 4 3" xfId="12638"/>
    <cellStyle name="Input 6 4 3 2" xfId="12639"/>
    <cellStyle name="Input 6 4 3 2 2" xfId="12640"/>
    <cellStyle name="Input 6 4 3 3" xfId="12641"/>
    <cellStyle name="Input 6 4 3 3 2" xfId="12642"/>
    <cellStyle name="Input 6 4 3 4" xfId="12643"/>
    <cellStyle name="Input 6 4 4" xfId="12644"/>
    <cellStyle name="Input 6 4 4 2" xfId="12645"/>
    <cellStyle name="Input 6 4 5" xfId="12646"/>
    <cellStyle name="Input 6 4 5 2" xfId="12647"/>
    <cellStyle name="Input 6 4 6" xfId="12648"/>
    <cellStyle name="Input 6 5" xfId="12649"/>
    <cellStyle name="Input 6 5 2" xfId="12650"/>
    <cellStyle name="Input 6 5 2 2" xfId="12651"/>
    <cellStyle name="Input 6 5 3" xfId="12652"/>
    <cellStyle name="Input 6 5 3 2" xfId="12653"/>
    <cellStyle name="Input 6 5 4" xfId="12654"/>
    <cellStyle name="Input 6 6" xfId="12655"/>
    <cellStyle name="Input 6 6 2" xfId="12656"/>
    <cellStyle name="Input 6 6 2 2" xfId="12657"/>
    <cellStyle name="Input 6 6 3" xfId="12658"/>
    <cellStyle name="Input 6 6 3 2" xfId="12659"/>
    <cellStyle name="Input 6 6 4" xfId="12660"/>
    <cellStyle name="Input 6 7" xfId="12661"/>
    <cellStyle name="Input 6 7 2" xfId="12662"/>
    <cellStyle name="Input 6 8" xfId="12663"/>
    <cellStyle name="Input 6 8 2" xfId="12664"/>
    <cellStyle name="Input 6 9" xfId="12665"/>
    <cellStyle name="Input 7" xfId="12666"/>
    <cellStyle name="Input 7 2" xfId="12667"/>
    <cellStyle name="Input 7 2 2" xfId="12668"/>
    <cellStyle name="Input 7 2 2 2" xfId="12669"/>
    <cellStyle name="Input 7 2 2 2 2" xfId="12670"/>
    <cellStyle name="Input 7 2 2 3" xfId="12671"/>
    <cellStyle name="Input 7 2 2 3 2" xfId="12672"/>
    <cellStyle name="Input 7 2 2 4" xfId="12673"/>
    <cellStyle name="Input 7 2 3" xfId="12674"/>
    <cellStyle name="Input 7 2 3 2" xfId="12675"/>
    <cellStyle name="Input 7 2 3 2 2" xfId="12676"/>
    <cellStyle name="Input 7 2 3 3" xfId="12677"/>
    <cellStyle name="Input 7 2 3 3 2" xfId="12678"/>
    <cellStyle name="Input 7 2 3 4" xfId="12679"/>
    <cellStyle name="Input 7 2 4" xfId="12680"/>
    <cellStyle name="Input 7 2 4 2" xfId="12681"/>
    <cellStyle name="Input 7 2 5" xfId="12682"/>
    <cellStyle name="Input 7 2 5 2" xfId="12683"/>
    <cellStyle name="Input 7 2 6" xfId="12684"/>
    <cellStyle name="Input 7 3" xfId="12685"/>
    <cellStyle name="Input 7 3 2" xfId="12686"/>
    <cellStyle name="Input 7 3 2 2" xfId="12687"/>
    <cellStyle name="Input 7 3 2 2 2" xfId="12688"/>
    <cellStyle name="Input 7 3 2 3" xfId="12689"/>
    <cellStyle name="Input 7 3 2 3 2" xfId="12690"/>
    <cellStyle name="Input 7 3 2 4" xfId="12691"/>
    <cellStyle name="Input 7 3 3" xfId="12692"/>
    <cellStyle name="Input 7 3 3 2" xfId="12693"/>
    <cellStyle name="Input 7 3 3 2 2" xfId="12694"/>
    <cellStyle name="Input 7 3 3 3" xfId="12695"/>
    <cellStyle name="Input 7 3 3 3 2" xfId="12696"/>
    <cellStyle name="Input 7 3 3 4" xfId="12697"/>
    <cellStyle name="Input 7 3 4" xfId="12698"/>
    <cellStyle name="Input 7 3 4 2" xfId="12699"/>
    <cellStyle name="Input 7 3 5" xfId="12700"/>
    <cellStyle name="Input 7 3 5 2" xfId="12701"/>
    <cellStyle name="Input 7 3 6" xfId="12702"/>
    <cellStyle name="Input 7 4" xfId="12703"/>
    <cellStyle name="Input 7 4 2" xfId="12704"/>
    <cellStyle name="Input 7 4 2 2" xfId="12705"/>
    <cellStyle name="Input 7 4 2 2 2" xfId="12706"/>
    <cellStyle name="Input 7 4 2 3" xfId="12707"/>
    <cellStyle name="Input 7 4 2 3 2" xfId="12708"/>
    <cellStyle name="Input 7 4 2 4" xfId="12709"/>
    <cellStyle name="Input 7 4 3" xfId="12710"/>
    <cellStyle name="Input 7 4 3 2" xfId="12711"/>
    <cellStyle name="Input 7 4 3 2 2" xfId="12712"/>
    <cellStyle name="Input 7 4 3 3" xfId="12713"/>
    <cellStyle name="Input 7 4 3 3 2" xfId="12714"/>
    <cellStyle name="Input 7 4 3 4" xfId="12715"/>
    <cellStyle name="Input 7 4 4" xfId="12716"/>
    <cellStyle name="Input 7 4 4 2" xfId="12717"/>
    <cellStyle name="Input 7 4 5" xfId="12718"/>
    <cellStyle name="Input 7 4 5 2" xfId="12719"/>
    <cellStyle name="Input 7 4 6" xfId="12720"/>
    <cellStyle name="Input 7 5" xfId="12721"/>
    <cellStyle name="Input 7 5 2" xfId="12722"/>
    <cellStyle name="Input 7 5 2 2" xfId="12723"/>
    <cellStyle name="Input 7 5 3" xfId="12724"/>
    <cellStyle name="Input 7 5 3 2" xfId="12725"/>
    <cellStyle name="Input 7 5 4" xfId="12726"/>
    <cellStyle name="Input 7 6" xfId="12727"/>
    <cellStyle name="Input 7 6 2" xfId="12728"/>
    <cellStyle name="Input 7 6 2 2" xfId="12729"/>
    <cellStyle name="Input 7 6 3" xfId="12730"/>
    <cellStyle name="Input 7 6 3 2" xfId="12731"/>
    <cellStyle name="Input 7 6 4" xfId="12732"/>
    <cellStyle name="Input 7 7" xfId="12733"/>
    <cellStyle name="Input 7 7 2" xfId="12734"/>
    <cellStyle name="Input 7 8" xfId="12735"/>
    <cellStyle name="Input 7 8 2" xfId="12736"/>
    <cellStyle name="Input 7 9" xfId="12737"/>
    <cellStyle name="Input 8" xfId="12738"/>
    <cellStyle name="Input 8 2" xfId="12739"/>
    <cellStyle name="Input 8 2 2" xfId="12740"/>
    <cellStyle name="Input 8 2 2 2" xfId="12741"/>
    <cellStyle name="Input 8 2 2 2 2" xfId="12742"/>
    <cellStyle name="Input 8 2 2 3" xfId="12743"/>
    <cellStyle name="Input 8 2 2 3 2" xfId="12744"/>
    <cellStyle name="Input 8 2 2 4" xfId="12745"/>
    <cellStyle name="Input 8 2 3" xfId="12746"/>
    <cellStyle name="Input 8 2 3 2" xfId="12747"/>
    <cellStyle name="Input 8 2 3 2 2" xfId="12748"/>
    <cellStyle name="Input 8 2 3 3" xfId="12749"/>
    <cellStyle name="Input 8 2 3 3 2" xfId="12750"/>
    <cellStyle name="Input 8 2 3 4" xfId="12751"/>
    <cellStyle name="Input 8 2 4" xfId="12752"/>
    <cellStyle name="Input 8 2 4 2" xfId="12753"/>
    <cellStyle name="Input 8 2 5" xfId="12754"/>
    <cellStyle name="Input 8 2 5 2" xfId="12755"/>
    <cellStyle name="Input 8 2 6" xfId="12756"/>
    <cellStyle name="Input 8 3" xfId="12757"/>
    <cellStyle name="Input 8 3 2" xfId="12758"/>
    <cellStyle name="Input 8 3 2 2" xfId="12759"/>
    <cellStyle name="Input 8 3 2 2 2" xfId="12760"/>
    <cellStyle name="Input 8 3 2 3" xfId="12761"/>
    <cellStyle name="Input 8 3 2 3 2" xfId="12762"/>
    <cellStyle name="Input 8 3 2 4" xfId="12763"/>
    <cellStyle name="Input 8 3 3" xfId="12764"/>
    <cellStyle name="Input 8 3 3 2" xfId="12765"/>
    <cellStyle name="Input 8 3 3 2 2" xfId="12766"/>
    <cellStyle name="Input 8 3 3 3" xfId="12767"/>
    <cellStyle name="Input 8 3 3 3 2" xfId="12768"/>
    <cellStyle name="Input 8 3 3 4" xfId="12769"/>
    <cellStyle name="Input 8 3 4" xfId="12770"/>
    <cellStyle name="Input 8 3 4 2" xfId="12771"/>
    <cellStyle name="Input 8 3 5" xfId="12772"/>
    <cellStyle name="Input 8 3 5 2" xfId="12773"/>
    <cellStyle name="Input 8 3 6" xfId="12774"/>
    <cellStyle name="Input 8 4" xfId="12775"/>
    <cellStyle name="Input 8 4 2" xfId="12776"/>
    <cellStyle name="Input 8 4 2 2" xfId="12777"/>
    <cellStyle name="Input 8 4 2 2 2" xfId="12778"/>
    <cellStyle name="Input 8 4 2 3" xfId="12779"/>
    <cellStyle name="Input 8 4 2 3 2" xfId="12780"/>
    <cellStyle name="Input 8 4 2 4" xfId="12781"/>
    <cellStyle name="Input 8 4 3" xfId="12782"/>
    <cellStyle name="Input 8 4 3 2" xfId="12783"/>
    <cellStyle name="Input 8 4 3 2 2" xfId="12784"/>
    <cellStyle name="Input 8 4 3 3" xfId="12785"/>
    <cellStyle name="Input 8 4 3 3 2" xfId="12786"/>
    <cellStyle name="Input 8 4 3 4" xfId="12787"/>
    <cellStyle name="Input 8 4 4" xfId="12788"/>
    <cellStyle name="Input 8 4 4 2" xfId="12789"/>
    <cellStyle name="Input 8 4 5" xfId="12790"/>
    <cellStyle name="Input 8 4 5 2" xfId="12791"/>
    <cellStyle name="Input 8 4 6" xfId="12792"/>
    <cellStyle name="Input 8 5" xfId="12793"/>
    <cellStyle name="Input 8 5 2" xfId="12794"/>
    <cellStyle name="Input 8 5 2 2" xfId="12795"/>
    <cellStyle name="Input 8 5 3" xfId="12796"/>
    <cellStyle name="Input 8 5 3 2" xfId="12797"/>
    <cellStyle name="Input 8 5 4" xfId="12798"/>
    <cellStyle name="Input 8 6" xfId="12799"/>
    <cellStyle name="Input 8 6 2" xfId="12800"/>
    <cellStyle name="Input 8 6 2 2" xfId="12801"/>
    <cellStyle name="Input 8 6 3" xfId="12802"/>
    <cellStyle name="Input 8 6 3 2" xfId="12803"/>
    <cellStyle name="Input 8 6 4" xfId="12804"/>
    <cellStyle name="Input 8 7" xfId="12805"/>
    <cellStyle name="Input 8 7 2" xfId="12806"/>
    <cellStyle name="Input 8 8" xfId="12807"/>
    <cellStyle name="Input 8 8 2" xfId="12808"/>
    <cellStyle name="Input 8 9" xfId="12809"/>
    <cellStyle name="Input 9" xfId="12810"/>
    <cellStyle name="Input 9 2" xfId="12811"/>
    <cellStyle name="Input 9 2 2" xfId="12812"/>
    <cellStyle name="Input 9 2 2 2" xfId="12813"/>
    <cellStyle name="Input 9 2 2 2 2" xfId="12814"/>
    <cellStyle name="Input 9 2 2 3" xfId="12815"/>
    <cellStyle name="Input 9 2 2 3 2" xfId="12816"/>
    <cellStyle name="Input 9 2 2 4" xfId="12817"/>
    <cellStyle name="Input 9 2 3" xfId="12818"/>
    <cellStyle name="Input 9 2 3 2" xfId="12819"/>
    <cellStyle name="Input 9 2 3 2 2" xfId="12820"/>
    <cellStyle name="Input 9 2 3 3" xfId="12821"/>
    <cellStyle name="Input 9 2 3 3 2" xfId="12822"/>
    <cellStyle name="Input 9 2 3 4" xfId="12823"/>
    <cellStyle name="Input 9 2 4" xfId="12824"/>
    <cellStyle name="Input 9 2 4 2" xfId="12825"/>
    <cellStyle name="Input 9 2 5" xfId="12826"/>
    <cellStyle name="Input 9 2 5 2" xfId="12827"/>
    <cellStyle name="Input 9 2 6" xfId="12828"/>
    <cellStyle name="Input 9 3" xfId="12829"/>
    <cellStyle name="Input 9 3 2" xfId="12830"/>
    <cellStyle name="Input 9 3 2 2" xfId="12831"/>
    <cellStyle name="Input 9 3 2 2 2" xfId="12832"/>
    <cellStyle name="Input 9 3 2 3" xfId="12833"/>
    <cellStyle name="Input 9 3 2 3 2" xfId="12834"/>
    <cellStyle name="Input 9 3 2 4" xfId="12835"/>
    <cellStyle name="Input 9 3 3" xfId="12836"/>
    <cellStyle name="Input 9 3 3 2" xfId="12837"/>
    <cellStyle name="Input 9 3 3 2 2" xfId="12838"/>
    <cellStyle name="Input 9 3 3 3" xfId="12839"/>
    <cellStyle name="Input 9 3 3 3 2" xfId="12840"/>
    <cellStyle name="Input 9 3 3 4" xfId="12841"/>
    <cellStyle name="Input 9 3 4" xfId="12842"/>
    <cellStyle name="Input 9 3 4 2" xfId="12843"/>
    <cellStyle name="Input 9 3 5" xfId="12844"/>
    <cellStyle name="Input 9 3 5 2" xfId="12845"/>
    <cellStyle name="Input 9 3 6" xfId="12846"/>
    <cellStyle name="Input 9 4" xfId="12847"/>
    <cellStyle name="Input 9 4 2" xfId="12848"/>
    <cellStyle name="Input 9 4 2 2" xfId="12849"/>
    <cellStyle name="Input 9 4 2 2 2" xfId="12850"/>
    <cellStyle name="Input 9 4 2 3" xfId="12851"/>
    <cellStyle name="Input 9 4 2 3 2" xfId="12852"/>
    <cellStyle name="Input 9 4 2 4" xfId="12853"/>
    <cellStyle name="Input 9 4 3" xfId="12854"/>
    <cellStyle name="Input 9 4 3 2" xfId="12855"/>
    <cellStyle name="Input 9 4 3 2 2" xfId="12856"/>
    <cellStyle name="Input 9 4 3 3" xfId="12857"/>
    <cellStyle name="Input 9 4 3 3 2" xfId="12858"/>
    <cellStyle name="Input 9 4 3 4" xfId="12859"/>
    <cellStyle name="Input 9 4 4" xfId="12860"/>
    <cellStyle name="Input 9 4 4 2" xfId="12861"/>
    <cellStyle name="Input 9 4 5" xfId="12862"/>
    <cellStyle name="Input 9 4 5 2" xfId="12863"/>
    <cellStyle name="Input 9 4 6" xfId="12864"/>
    <cellStyle name="Input 9 5" xfId="12865"/>
    <cellStyle name="Input 9 5 2" xfId="12866"/>
    <cellStyle name="Input 9 5 2 2" xfId="12867"/>
    <cellStyle name="Input 9 5 3" xfId="12868"/>
    <cellStyle name="Input 9 5 3 2" xfId="12869"/>
    <cellStyle name="Input 9 5 4" xfId="12870"/>
    <cellStyle name="Input 9 6" xfId="12871"/>
    <cellStyle name="Input 9 6 2" xfId="12872"/>
    <cellStyle name="Input 9 6 2 2" xfId="12873"/>
    <cellStyle name="Input 9 6 3" xfId="12874"/>
    <cellStyle name="Input 9 6 3 2" xfId="12875"/>
    <cellStyle name="Input 9 6 4" xfId="12876"/>
    <cellStyle name="Input 9 7" xfId="12877"/>
    <cellStyle name="Input 9 7 2" xfId="12878"/>
    <cellStyle name="Input 9 8" xfId="12879"/>
    <cellStyle name="Input 9 8 2" xfId="12880"/>
    <cellStyle name="Input 9 9" xfId="12881"/>
    <cellStyle name="Ioe?uaaaoayny aeia?nnueea" xfId="12882"/>
    <cellStyle name="Ioe?uaaaoayny aeia?nnueea 2" xfId="12883"/>
    <cellStyle name="Ioe?uaaaoayny aeia?nnueea 3" xfId="12884"/>
    <cellStyle name="Ioe?uaaaoayny aeia?nnueea 4" xfId="12885"/>
    <cellStyle name="ISO" xfId="12886"/>
    <cellStyle name="ISO 2" xfId="12887"/>
    <cellStyle name="ISO 3" xfId="12888"/>
    <cellStyle name="ISO 4" xfId="12889"/>
    <cellStyle name="Komma [0]_Arcen" xfId="12890"/>
    <cellStyle name="Komma_Arcen" xfId="12891"/>
    <cellStyle name="Link Currency (0)" xfId="12892"/>
    <cellStyle name="Link Currency (2)" xfId="12893"/>
    <cellStyle name="Link Units (0)" xfId="12894"/>
    <cellStyle name="Link Units (1)" xfId="12895"/>
    <cellStyle name="Link Units (2)" xfId="12896"/>
    <cellStyle name="Linked Cell" xfId="12897"/>
    <cellStyle name="Locked Cell - PerformancePoint" xfId="12898"/>
    <cellStyle name="Milliers [0]_BUDGET" xfId="12899"/>
    <cellStyle name="Milliers_BUDGET" xfId="12900"/>
    <cellStyle name="mnb" xfId="12901"/>
    <cellStyle name="mnb 10" xfId="12902"/>
    <cellStyle name="mnb 10 2" xfId="12903"/>
    <cellStyle name="mnb 10 2 2" xfId="12904"/>
    <cellStyle name="mnb 10 2 2 2" xfId="12905"/>
    <cellStyle name="mnb 10 2 3" xfId="12906"/>
    <cellStyle name="mnb 10 2 3 2" xfId="12907"/>
    <cellStyle name="mnb 10 2 4" xfId="12908"/>
    <cellStyle name="mnb 10 3" xfId="12909"/>
    <cellStyle name="mnb 10 3 2" xfId="12910"/>
    <cellStyle name="mnb 10 3 2 2" xfId="12911"/>
    <cellStyle name="mnb 10 3 3" xfId="12912"/>
    <cellStyle name="mnb 10 3 3 2" xfId="12913"/>
    <cellStyle name="mnb 10 3 4" xfId="12914"/>
    <cellStyle name="mnb 10 4" xfId="12915"/>
    <cellStyle name="mnb 10 4 2" xfId="12916"/>
    <cellStyle name="mnb 10 5" xfId="12917"/>
    <cellStyle name="mnb 10 5 2" xfId="12918"/>
    <cellStyle name="mnb 10 6" xfId="12919"/>
    <cellStyle name="mnb 11" xfId="12920"/>
    <cellStyle name="mnb 11 2" xfId="12921"/>
    <cellStyle name="mnb 11 2 2" xfId="12922"/>
    <cellStyle name="mnb 11 2 2 2" xfId="12923"/>
    <cellStyle name="mnb 11 2 3" xfId="12924"/>
    <cellStyle name="mnb 11 2 3 2" xfId="12925"/>
    <cellStyle name="mnb 11 2 4" xfId="12926"/>
    <cellStyle name="mnb 11 3" xfId="12927"/>
    <cellStyle name="mnb 11 3 2" xfId="12928"/>
    <cellStyle name="mnb 11 3 2 2" xfId="12929"/>
    <cellStyle name="mnb 11 3 3" xfId="12930"/>
    <cellStyle name="mnb 11 3 3 2" xfId="12931"/>
    <cellStyle name="mnb 11 3 4" xfId="12932"/>
    <cellStyle name="mnb 11 4" xfId="12933"/>
    <cellStyle name="mnb 11 4 2" xfId="12934"/>
    <cellStyle name="mnb 11 5" xfId="12935"/>
    <cellStyle name="mnb 11 5 2" xfId="12936"/>
    <cellStyle name="mnb 11 6" xfId="12937"/>
    <cellStyle name="mnb 12" xfId="12938"/>
    <cellStyle name="mnb 12 2" xfId="12939"/>
    <cellStyle name="mnb 12 2 2" xfId="12940"/>
    <cellStyle name="mnb 12 2 2 2" xfId="12941"/>
    <cellStyle name="mnb 12 2 3" xfId="12942"/>
    <cellStyle name="mnb 12 2 3 2" xfId="12943"/>
    <cellStyle name="mnb 12 2 4" xfId="12944"/>
    <cellStyle name="mnb 12 3" xfId="12945"/>
    <cellStyle name="mnb 12 3 2" xfId="12946"/>
    <cellStyle name="mnb 12 3 2 2" xfId="12947"/>
    <cellStyle name="mnb 12 3 3" xfId="12948"/>
    <cellStyle name="mnb 12 3 3 2" xfId="12949"/>
    <cellStyle name="mnb 12 3 4" xfId="12950"/>
    <cellStyle name="mnb 12 4" xfId="12951"/>
    <cellStyle name="mnb 12 4 2" xfId="12952"/>
    <cellStyle name="mnb 12 5" xfId="12953"/>
    <cellStyle name="mnb 12 5 2" xfId="12954"/>
    <cellStyle name="mnb 12 6" xfId="12955"/>
    <cellStyle name="mnb 13" xfId="12956"/>
    <cellStyle name="mnb 13 2" xfId="12957"/>
    <cellStyle name="mnb 13 2 2" xfId="12958"/>
    <cellStyle name="mnb 13 2 2 2" xfId="12959"/>
    <cellStyle name="mnb 13 2 3" xfId="12960"/>
    <cellStyle name="mnb 13 2 3 2" xfId="12961"/>
    <cellStyle name="mnb 13 2 4" xfId="12962"/>
    <cellStyle name="mnb 13 3" xfId="12963"/>
    <cellStyle name="mnb 13 3 2" xfId="12964"/>
    <cellStyle name="mnb 13 3 2 2" xfId="12965"/>
    <cellStyle name="mnb 13 3 3" xfId="12966"/>
    <cellStyle name="mnb 13 3 3 2" xfId="12967"/>
    <cellStyle name="mnb 13 3 4" xfId="12968"/>
    <cellStyle name="mnb 13 4" xfId="12969"/>
    <cellStyle name="mnb 13 4 2" xfId="12970"/>
    <cellStyle name="mnb 13 5" xfId="12971"/>
    <cellStyle name="mnb 13 5 2" xfId="12972"/>
    <cellStyle name="mnb 13 6" xfId="12973"/>
    <cellStyle name="mnb 14" xfId="12974"/>
    <cellStyle name="mnb 14 2" xfId="12975"/>
    <cellStyle name="mnb 14 2 2" xfId="12976"/>
    <cellStyle name="mnb 14 2 2 2" xfId="12977"/>
    <cellStyle name="mnb 14 2 3" xfId="12978"/>
    <cellStyle name="mnb 14 2 3 2" xfId="12979"/>
    <cellStyle name="mnb 14 2 4" xfId="12980"/>
    <cellStyle name="mnb 14 3" xfId="12981"/>
    <cellStyle name="mnb 14 3 2" xfId="12982"/>
    <cellStyle name="mnb 14 3 2 2" xfId="12983"/>
    <cellStyle name="mnb 14 3 3" xfId="12984"/>
    <cellStyle name="mnb 14 3 3 2" xfId="12985"/>
    <cellStyle name="mnb 14 3 4" xfId="12986"/>
    <cellStyle name="mnb 14 4" xfId="12987"/>
    <cellStyle name="mnb 14 4 2" xfId="12988"/>
    <cellStyle name="mnb 14 5" xfId="12989"/>
    <cellStyle name="mnb 14 5 2" xfId="12990"/>
    <cellStyle name="mnb 14 6" xfId="12991"/>
    <cellStyle name="mnb 15" xfId="12992"/>
    <cellStyle name="mnb 15 2" xfId="12993"/>
    <cellStyle name="mnb 15 2 2" xfId="12994"/>
    <cellStyle name="mnb 15 2 2 2" xfId="12995"/>
    <cellStyle name="mnb 15 2 3" xfId="12996"/>
    <cellStyle name="mnb 15 2 3 2" xfId="12997"/>
    <cellStyle name="mnb 15 2 4" xfId="12998"/>
    <cellStyle name="mnb 15 3" xfId="12999"/>
    <cellStyle name="mnb 15 3 2" xfId="13000"/>
    <cellStyle name="mnb 15 3 2 2" xfId="13001"/>
    <cellStyle name="mnb 15 3 3" xfId="13002"/>
    <cellStyle name="mnb 15 3 3 2" xfId="13003"/>
    <cellStyle name="mnb 15 3 4" xfId="13004"/>
    <cellStyle name="mnb 15 4" xfId="13005"/>
    <cellStyle name="mnb 15 4 2" xfId="13006"/>
    <cellStyle name="mnb 15 5" xfId="13007"/>
    <cellStyle name="mnb 15 5 2" xfId="13008"/>
    <cellStyle name="mnb 15 6" xfId="13009"/>
    <cellStyle name="mnb 16" xfId="13010"/>
    <cellStyle name="mnb 16 2" xfId="13011"/>
    <cellStyle name="mnb 16 2 2" xfId="13012"/>
    <cellStyle name="mnb 16 2 2 2" xfId="13013"/>
    <cellStyle name="mnb 16 2 3" xfId="13014"/>
    <cellStyle name="mnb 16 2 3 2" xfId="13015"/>
    <cellStyle name="mnb 16 2 4" xfId="13016"/>
    <cellStyle name="mnb 16 3" xfId="13017"/>
    <cellStyle name="mnb 16 3 2" xfId="13018"/>
    <cellStyle name="mnb 16 3 2 2" xfId="13019"/>
    <cellStyle name="mnb 16 3 3" xfId="13020"/>
    <cellStyle name="mnb 16 3 3 2" xfId="13021"/>
    <cellStyle name="mnb 16 3 4" xfId="13022"/>
    <cellStyle name="mnb 16 4" xfId="13023"/>
    <cellStyle name="mnb 16 4 2" xfId="13024"/>
    <cellStyle name="mnb 16 5" xfId="13025"/>
    <cellStyle name="mnb 16 5 2" xfId="13026"/>
    <cellStyle name="mnb 16 6" xfId="13027"/>
    <cellStyle name="mnb 17" xfId="13028"/>
    <cellStyle name="mnb 17 2" xfId="13029"/>
    <cellStyle name="mnb 17 2 2" xfId="13030"/>
    <cellStyle name="mnb 17 2 2 2" xfId="13031"/>
    <cellStyle name="mnb 17 2 3" xfId="13032"/>
    <cellStyle name="mnb 17 2 3 2" xfId="13033"/>
    <cellStyle name="mnb 17 2 4" xfId="13034"/>
    <cellStyle name="mnb 17 3" xfId="13035"/>
    <cellStyle name="mnb 17 3 2" xfId="13036"/>
    <cellStyle name="mnb 17 3 2 2" xfId="13037"/>
    <cellStyle name="mnb 17 3 3" xfId="13038"/>
    <cellStyle name="mnb 17 3 3 2" xfId="13039"/>
    <cellStyle name="mnb 17 3 4" xfId="13040"/>
    <cellStyle name="mnb 17 4" xfId="13041"/>
    <cellStyle name="mnb 17 4 2" xfId="13042"/>
    <cellStyle name="mnb 17 5" xfId="13043"/>
    <cellStyle name="mnb 17 5 2" xfId="13044"/>
    <cellStyle name="mnb 17 6" xfId="13045"/>
    <cellStyle name="mnb 18" xfId="13046"/>
    <cellStyle name="mnb 18 2" xfId="13047"/>
    <cellStyle name="mnb 18 2 2" xfId="13048"/>
    <cellStyle name="mnb 18 2 2 2" xfId="13049"/>
    <cellStyle name="mnb 18 2 3" xfId="13050"/>
    <cellStyle name="mnb 18 2 3 2" xfId="13051"/>
    <cellStyle name="mnb 18 2 4" xfId="13052"/>
    <cellStyle name="mnb 18 3" xfId="13053"/>
    <cellStyle name="mnb 18 3 2" xfId="13054"/>
    <cellStyle name="mnb 18 3 2 2" xfId="13055"/>
    <cellStyle name="mnb 18 3 3" xfId="13056"/>
    <cellStyle name="mnb 18 3 3 2" xfId="13057"/>
    <cellStyle name="mnb 18 3 4" xfId="13058"/>
    <cellStyle name="mnb 18 4" xfId="13059"/>
    <cellStyle name="mnb 18 4 2" xfId="13060"/>
    <cellStyle name="mnb 18 5" xfId="13061"/>
    <cellStyle name="mnb 18 5 2" xfId="13062"/>
    <cellStyle name="mnb 18 6" xfId="13063"/>
    <cellStyle name="mnb 19" xfId="13064"/>
    <cellStyle name="mnb 19 2" xfId="13065"/>
    <cellStyle name="mnb 19 2 2" xfId="13066"/>
    <cellStyle name="mnb 19 2 2 2" xfId="13067"/>
    <cellStyle name="mnb 19 2 3" xfId="13068"/>
    <cellStyle name="mnb 19 2 3 2" xfId="13069"/>
    <cellStyle name="mnb 19 2 4" xfId="13070"/>
    <cellStyle name="mnb 19 3" xfId="13071"/>
    <cellStyle name="mnb 19 3 2" xfId="13072"/>
    <cellStyle name="mnb 19 3 2 2" xfId="13073"/>
    <cellStyle name="mnb 19 3 3" xfId="13074"/>
    <cellStyle name="mnb 19 3 3 2" xfId="13075"/>
    <cellStyle name="mnb 19 3 4" xfId="13076"/>
    <cellStyle name="mnb 19 4" xfId="13077"/>
    <cellStyle name="mnb 19 4 2" xfId="13078"/>
    <cellStyle name="mnb 19 5" xfId="13079"/>
    <cellStyle name="mnb 19 5 2" xfId="13080"/>
    <cellStyle name="mnb 19 6" xfId="13081"/>
    <cellStyle name="mnb 2" xfId="13082"/>
    <cellStyle name="mnb 2 2" xfId="13083"/>
    <cellStyle name="mnb 2 2 2" xfId="13084"/>
    <cellStyle name="mnb 2 2 2 2" xfId="13085"/>
    <cellStyle name="mnb 2 2 3" xfId="13086"/>
    <cellStyle name="mnb 2 2 3 2" xfId="13087"/>
    <cellStyle name="mnb 2 2 4" xfId="13088"/>
    <cellStyle name="mnb 2 3" xfId="13089"/>
    <cellStyle name="mnb 2 3 2" xfId="13090"/>
    <cellStyle name="mnb 2 3 2 2" xfId="13091"/>
    <cellStyle name="mnb 2 3 3" xfId="13092"/>
    <cellStyle name="mnb 2 3 3 2" xfId="13093"/>
    <cellStyle name="mnb 2 3 4" xfId="13094"/>
    <cellStyle name="mnb 2 4" xfId="13095"/>
    <cellStyle name="mnb 2 4 2" xfId="13096"/>
    <cellStyle name="mnb 2 5" xfId="13097"/>
    <cellStyle name="mnb 2 5 2" xfId="13098"/>
    <cellStyle name="mnb 2 6" xfId="13099"/>
    <cellStyle name="mnb 20" xfId="13100"/>
    <cellStyle name="mnb 20 2" xfId="13101"/>
    <cellStyle name="mnb 20 2 2" xfId="13102"/>
    <cellStyle name="mnb 20 2 2 2" xfId="13103"/>
    <cellStyle name="mnb 20 2 3" xfId="13104"/>
    <cellStyle name="mnb 20 2 3 2" xfId="13105"/>
    <cellStyle name="mnb 20 2 4" xfId="13106"/>
    <cellStyle name="mnb 20 3" xfId="13107"/>
    <cellStyle name="mnb 20 3 2" xfId="13108"/>
    <cellStyle name="mnb 20 3 2 2" xfId="13109"/>
    <cellStyle name="mnb 20 3 3" xfId="13110"/>
    <cellStyle name="mnb 20 3 3 2" xfId="13111"/>
    <cellStyle name="mnb 20 3 4" xfId="13112"/>
    <cellStyle name="mnb 20 4" xfId="13113"/>
    <cellStyle name="mnb 20 4 2" xfId="13114"/>
    <cellStyle name="mnb 20 5" xfId="13115"/>
    <cellStyle name="mnb 20 5 2" xfId="13116"/>
    <cellStyle name="mnb 20 6" xfId="13117"/>
    <cellStyle name="mnb 21" xfId="13118"/>
    <cellStyle name="mnb 21 2" xfId="13119"/>
    <cellStyle name="mnb 21 2 2" xfId="13120"/>
    <cellStyle name="mnb 21 3" xfId="13121"/>
    <cellStyle name="mnb 21 3 2" xfId="13122"/>
    <cellStyle name="mnb 21 4" xfId="13123"/>
    <cellStyle name="mnb 22" xfId="13124"/>
    <cellStyle name="mnb 22 2" xfId="13125"/>
    <cellStyle name="mnb 22 2 2" xfId="13126"/>
    <cellStyle name="mnb 22 3" xfId="13127"/>
    <cellStyle name="mnb 22 3 2" xfId="13128"/>
    <cellStyle name="mnb 22 4" xfId="13129"/>
    <cellStyle name="mnb 23" xfId="13130"/>
    <cellStyle name="mnb 23 2" xfId="13131"/>
    <cellStyle name="mnb 24" xfId="13132"/>
    <cellStyle name="mnb 24 2" xfId="13133"/>
    <cellStyle name="mnb 25" xfId="13134"/>
    <cellStyle name="mnb 3" xfId="13135"/>
    <cellStyle name="mnb 3 2" xfId="13136"/>
    <cellStyle name="mnb 3 2 2" xfId="13137"/>
    <cellStyle name="mnb 3 2 2 2" xfId="13138"/>
    <cellStyle name="mnb 3 2 3" xfId="13139"/>
    <cellStyle name="mnb 3 2 3 2" xfId="13140"/>
    <cellStyle name="mnb 3 2 4" xfId="13141"/>
    <cellStyle name="mnb 3 3" xfId="13142"/>
    <cellStyle name="mnb 3 3 2" xfId="13143"/>
    <cellStyle name="mnb 3 3 2 2" xfId="13144"/>
    <cellStyle name="mnb 3 3 3" xfId="13145"/>
    <cellStyle name="mnb 3 3 3 2" xfId="13146"/>
    <cellStyle name="mnb 3 3 4" xfId="13147"/>
    <cellStyle name="mnb 3 4" xfId="13148"/>
    <cellStyle name="mnb 3 4 2" xfId="13149"/>
    <cellStyle name="mnb 3 5" xfId="13150"/>
    <cellStyle name="mnb 3 5 2" xfId="13151"/>
    <cellStyle name="mnb 3 6" xfId="13152"/>
    <cellStyle name="mnb 4" xfId="13153"/>
    <cellStyle name="mnb 4 2" xfId="13154"/>
    <cellStyle name="mnb 4 2 2" xfId="13155"/>
    <cellStyle name="mnb 4 2 2 2" xfId="13156"/>
    <cellStyle name="mnb 4 2 3" xfId="13157"/>
    <cellStyle name="mnb 4 2 3 2" xfId="13158"/>
    <cellStyle name="mnb 4 2 4" xfId="13159"/>
    <cellStyle name="mnb 4 3" xfId="13160"/>
    <cellStyle name="mnb 4 3 2" xfId="13161"/>
    <cellStyle name="mnb 4 3 2 2" xfId="13162"/>
    <cellStyle name="mnb 4 3 3" xfId="13163"/>
    <cellStyle name="mnb 4 3 3 2" xfId="13164"/>
    <cellStyle name="mnb 4 3 4" xfId="13165"/>
    <cellStyle name="mnb 4 4" xfId="13166"/>
    <cellStyle name="mnb 4 4 2" xfId="13167"/>
    <cellStyle name="mnb 4 5" xfId="13168"/>
    <cellStyle name="mnb 4 5 2" xfId="13169"/>
    <cellStyle name="mnb 4 6" xfId="13170"/>
    <cellStyle name="mnb 5" xfId="13171"/>
    <cellStyle name="mnb 5 2" xfId="13172"/>
    <cellStyle name="mnb 5 2 2" xfId="13173"/>
    <cellStyle name="mnb 5 2 2 2" xfId="13174"/>
    <cellStyle name="mnb 5 2 3" xfId="13175"/>
    <cellStyle name="mnb 5 2 3 2" xfId="13176"/>
    <cellStyle name="mnb 5 2 4" xfId="13177"/>
    <cellStyle name="mnb 5 3" xfId="13178"/>
    <cellStyle name="mnb 5 3 2" xfId="13179"/>
    <cellStyle name="mnb 5 3 2 2" xfId="13180"/>
    <cellStyle name="mnb 5 3 3" xfId="13181"/>
    <cellStyle name="mnb 5 3 3 2" xfId="13182"/>
    <cellStyle name="mnb 5 3 4" xfId="13183"/>
    <cellStyle name="mnb 5 4" xfId="13184"/>
    <cellStyle name="mnb 5 4 2" xfId="13185"/>
    <cellStyle name="mnb 5 5" xfId="13186"/>
    <cellStyle name="mnb 5 5 2" xfId="13187"/>
    <cellStyle name="mnb 5 6" xfId="13188"/>
    <cellStyle name="mnb 6" xfId="13189"/>
    <cellStyle name="mnb 6 2" xfId="13190"/>
    <cellStyle name="mnb 6 2 2" xfId="13191"/>
    <cellStyle name="mnb 6 2 2 2" xfId="13192"/>
    <cellStyle name="mnb 6 2 3" xfId="13193"/>
    <cellStyle name="mnb 6 2 3 2" xfId="13194"/>
    <cellStyle name="mnb 6 2 4" xfId="13195"/>
    <cellStyle name="mnb 6 3" xfId="13196"/>
    <cellStyle name="mnb 6 3 2" xfId="13197"/>
    <cellStyle name="mnb 6 3 2 2" xfId="13198"/>
    <cellStyle name="mnb 6 3 3" xfId="13199"/>
    <cellStyle name="mnb 6 3 3 2" xfId="13200"/>
    <cellStyle name="mnb 6 3 4" xfId="13201"/>
    <cellStyle name="mnb 6 4" xfId="13202"/>
    <cellStyle name="mnb 6 4 2" xfId="13203"/>
    <cellStyle name="mnb 6 5" xfId="13204"/>
    <cellStyle name="mnb 6 5 2" xfId="13205"/>
    <cellStyle name="mnb 6 6" xfId="13206"/>
    <cellStyle name="mnb 7" xfId="13207"/>
    <cellStyle name="mnb 7 2" xfId="13208"/>
    <cellStyle name="mnb 7 2 2" xfId="13209"/>
    <cellStyle name="mnb 7 2 2 2" xfId="13210"/>
    <cellStyle name="mnb 7 2 3" xfId="13211"/>
    <cellStyle name="mnb 7 2 3 2" xfId="13212"/>
    <cellStyle name="mnb 7 2 4" xfId="13213"/>
    <cellStyle name="mnb 7 3" xfId="13214"/>
    <cellStyle name="mnb 7 3 2" xfId="13215"/>
    <cellStyle name="mnb 7 3 2 2" xfId="13216"/>
    <cellStyle name="mnb 7 3 3" xfId="13217"/>
    <cellStyle name="mnb 7 3 3 2" xfId="13218"/>
    <cellStyle name="mnb 7 3 4" xfId="13219"/>
    <cellStyle name="mnb 7 4" xfId="13220"/>
    <cellStyle name="mnb 7 4 2" xfId="13221"/>
    <cellStyle name="mnb 7 5" xfId="13222"/>
    <cellStyle name="mnb 7 5 2" xfId="13223"/>
    <cellStyle name="mnb 7 6" xfId="13224"/>
    <cellStyle name="mnb 8" xfId="13225"/>
    <cellStyle name="mnb 8 2" xfId="13226"/>
    <cellStyle name="mnb 8 2 2" xfId="13227"/>
    <cellStyle name="mnb 8 2 2 2" xfId="13228"/>
    <cellStyle name="mnb 8 2 3" xfId="13229"/>
    <cellStyle name="mnb 8 2 3 2" xfId="13230"/>
    <cellStyle name="mnb 8 2 4" xfId="13231"/>
    <cellStyle name="mnb 8 3" xfId="13232"/>
    <cellStyle name="mnb 8 3 2" xfId="13233"/>
    <cellStyle name="mnb 8 3 2 2" xfId="13234"/>
    <cellStyle name="mnb 8 3 3" xfId="13235"/>
    <cellStyle name="mnb 8 3 3 2" xfId="13236"/>
    <cellStyle name="mnb 8 3 4" xfId="13237"/>
    <cellStyle name="mnb 8 4" xfId="13238"/>
    <cellStyle name="mnb 8 4 2" xfId="13239"/>
    <cellStyle name="mnb 8 5" xfId="13240"/>
    <cellStyle name="mnb 8 5 2" xfId="13241"/>
    <cellStyle name="mnb 8 6" xfId="13242"/>
    <cellStyle name="mnb 9" xfId="13243"/>
    <cellStyle name="mnb 9 2" xfId="13244"/>
    <cellStyle name="mnb 9 2 2" xfId="13245"/>
    <cellStyle name="mnb 9 2 2 2" xfId="13246"/>
    <cellStyle name="mnb 9 2 3" xfId="13247"/>
    <cellStyle name="mnb 9 2 3 2" xfId="13248"/>
    <cellStyle name="mnb 9 2 4" xfId="13249"/>
    <cellStyle name="mnb 9 3" xfId="13250"/>
    <cellStyle name="mnb 9 3 2" xfId="13251"/>
    <cellStyle name="mnb 9 3 2 2" xfId="13252"/>
    <cellStyle name="mnb 9 3 3" xfId="13253"/>
    <cellStyle name="mnb 9 3 3 2" xfId="13254"/>
    <cellStyle name="mnb 9 3 4" xfId="13255"/>
    <cellStyle name="mnb 9 4" xfId="13256"/>
    <cellStyle name="mnb 9 4 2" xfId="13257"/>
    <cellStyle name="mnb 9 5" xfId="13258"/>
    <cellStyle name="mnb 9 5 2" xfId="13259"/>
    <cellStyle name="mnb 9 6" xfId="13260"/>
    <cellStyle name="Monétaire [0]_BUDGET" xfId="13261"/>
    <cellStyle name="Monétaire_BUDGET" xfId="13262"/>
    <cellStyle name="MS Sans Serif1017100001516777215" xfId="30"/>
    <cellStyle name="Multiple" xfId="13263"/>
    <cellStyle name="Multiple [0]" xfId="13264"/>
    <cellStyle name="Multiple [1]" xfId="13265"/>
    <cellStyle name="Multiple_1 Dec" xfId="13266"/>
    <cellStyle name="Neutral" xfId="13267"/>
    <cellStyle name="no dec" xfId="13268"/>
    <cellStyle name="Norma11l" xfId="13269"/>
    <cellStyle name="Norma11l 2" xfId="13270"/>
    <cellStyle name="Normal" xfId="480"/>
    <cellStyle name="Normal - Style1" xfId="13271"/>
    <cellStyle name="Normal 2" xfId="13272"/>
    <cellStyle name="Normal 2 10" xfId="13273"/>
    <cellStyle name="Normal 2 10 2" xfId="13274"/>
    <cellStyle name="Normal 2 10 2 2" xfId="13275"/>
    <cellStyle name="Normal 2 10 2 2 2" xfId="13276"/>
    <cellStyle name="Normal 2 10 2 3" xfId="13277"/>
    <cellStyle name="Normal 2 10 2 3 2" xfId="13278"/>
    <cellStyle name="Normal 2 10 2 4" xfId="13279"/>
    <cellStyle name="Normal 2 10 3" xfId="13280"/>
    <cellStyle name="Normal 2 10 3 2" xfId="13281"/>
    <cellStyle name="Normal 2 10 3 2 2" xfId="13282"/>
    <cellStyle name="Normal 2 10 3 3" xfId="13283"/>
    <cellStyle name="Normal 2 10 3 3 2" xfId="13284"/>
    <cellStyle name="Normal 2 10 3 4" xfId="13285"/>
    <cellStyle name="Normal 2 10 4" xfId="13286"/>
    <cellStyle name="Normal 2 10 4 2" xfId="13287"/>
    <cellStyle name="Normal 2 10 5" xfId="13288"/>
    <cellStyle name="Normal 2 10 5 2" xfId="13289"/>
    <cellStyle name="Normal 2 10 6" xfId="13290"/>
    <cellStyle name="Normal 2 11" xfId="13291"/>
    <cellStyle name="Normal 2 11 2" xfId="13292"/>
    <cellStyle name="Normal 2 11 2 2" xfId="13293"/>
    <cellStyle name="Normal 2 11 2 2 2" xfId="13294"/>
    <cellStyle name="Normal 2 11 2 3" xfId="13295"/>
    <cellStyle name="Normal 2 11 2 3 2" xfId="13296"/>
    <cellStyle name="Normal 2 11 2 4" xfId="13297"/>
    <cellStyle name="Normal 2 11 3" xfId="13298"/>
    <cellStyle name="Normal 2 11 3 2" xfId="13299"/>
    <cellStyle name="Normal 2 11 3 2 2" xfId="13300"/>
    <cellStyle name="Normal 2 11 3 3" xfId="13301"/>
    <cellStyle name="Normal 2 11 3 3 2" xfId="13302"/>
    <cellStyle name="Normal 2 11 3 4" xfId="13303"/>
    <cellStyle name="Normal 2 11 4" xfId="13304"/>
    <cellStyle name="Normal 2 11 4 2" xfId="13305"/>
    <cellStyle name="Normal 2 11 5" xfId="13306"/>
    <cellStyle name="Normal 2 11 5 2" xfId="13307"/>
    <cellStyle name="Normal 2 11 6" xfId="13308"/>
    <cellStyle name="Normal 2 12" xfId="13309"/>
    <cellStyle name="Normal 2 12 2" xfId="13310"/>
    <cellStyle name="Normal 2 12 2 2" xfId="13311"/>
    <cellStyle name="Normal 2 12 2 2 2" xfId="13312"/>
    <cellStyle name="Normal 2 12 2 3" xfId="13313"/>
    <cellStyle name="Normal 2 12 2 3 2" xfId="13314"/>
    <cellStyle name="Normal 2 12 2 4" xfId="13315"/>
    <cellStyle name="Normal 2 12 3" xfId="13316"/>
    <cellStyle name="Normal 2 12 3 2" xfId="13317"/>
    <cellStyle name="Normal 2 12 3 2 2" xfId="13318"/>
    <cellStyle name="Normal 2 12 3 3" xfId="13319"/>
    <cellStyle name="Normal 2 12 3 3 2" xfId="13320"/>
    <cellStyle name="Normal 2 12 3 4" xfId="13321"/>
    <cellStyle name="Normal 2 12 4" xfId="13322"/>
    <cellStyle name="Normal 2 12 4 2" xfId="13323"/>
    <cellStyle name="Normal 2 12 5" xfId="13324"/>
    <cellStyle name="Normal 2 12 5 2" xfId="13325"/>
    <cellStyle name="Normal 2 12 6" xfId="13326"/>
    <cellStyle name="Normal 2 13" xfId="13327"/>
    <cellStyle name="Normal 2 13 2" xfId="13328"/>
    <cellStyle name="Normal 2 13 2 2" xfId="13329"/>
    <cellStyle name="Normal 2 13 2 2 2" xfId="13330"/>
    <cellStyle name="Normal 2 13 2 3" xfId="13331"/>
    <cellStyle name="Normal 2 13 2 3 2" xfId="13332"/>
    <cellStyle name="Normal 2 13 2 4" xfId="13333"/>
    <cellStyle name="Normal 2 13 3" xfId="13334"/>
    <cellStyle name="Normal 2 13 3 2" xfId="13335"/>
    <cellStyle name="Normal 2 13 3 2 2" xfId="13336"/>
    <cellStyle name="Normal 2 13 3 3" xfId="13337"/>
    <cellStyle name="Normal 2 13 3 3 2" xfId="13338"/>
    <cellStyle name="Normal 2 13 3 4" xfId="13339"/>
    <cellStyle name="Normal 2 13 4" xfId="13340"/>
    <cellStyle name="Normal 2 13 4 2" xfId="13341"/>
    <cellStyle name="Normal 2 13 5" xfId="13342"/>
    <cellStyle name="Normal 2 13 5 2" xfId="13343"/>
    <cellStyle name="Normal 2 13 6" xfId="13344"/>
    <cellStyle name="Normal 2 14" xfId="13345"/>
    <cellStyle name="Normal 2 14 2" xfId="13346"/>
    <cellStyle name="Normal 2 14 2 2" xfId="13347"/>
    <cellStyle name="Normal 2 14 2 2 2" xfId="13348"/>
    <cellStyle name="Normal 2 14 2 3" xfId="13349"/>
    <cellStyle name="Normal 2 14 2 3 2" xfId="13350"/>
    <cellStyle name="Normal 2 14 2 4" xfId="13351"/>
    <cellStyle name="Normal 2 14 3" xfId="13352"/>
    <cellStyle name="Normal 2 14 3 2" xfId="13353"/>
    <cellStyle name="Normal 2 14 3 2 2" xfId="13354"/>
    <cellStyle name="Normal 2 14 3 3" xfId="13355"/>
    <cellStyle name="Normal 2 14 3 3 2" xfId="13356"/>
    <cellStyle name="Normal 2 14 3 4" xfId="13357"/>
    <cellStyle name="Normal 2 14 4" xfId="13358"/>
    <cellStyle name="Normal 2 14 4 2" xfId="13359"/>
    <cellStyle name="Normal 2 14 5" xfId="13360"/>
    <cellStyle name="Normal 2 14 5 2" xfId="13361"/>
    <cellStyle name="Normal 2 14 6" xfId="13362"/>
    <cellStyle name="Normal 2 15" xfId="13363"/>
    <cellStyle name="Normal 2 15 2" xfId="13364"/>
    <cellStyle name="Normal 2 15 2 2" xfId="13365"/>
    <cellStyle name="Normal 2 15 2 2 2" xfId="13366"/>
    <cellStyle name="Normal 2 15 2 3" xfId="13367"/>
    <cellStyle name="Normal 2 15 2 3 2" xfId="13368"/>
    <cellStyle name="Normal 2 15 2 4" xfId="13369"/>
    <cellStyle name="Normal 2 15 3" xfId="13370"/>
    <cellStyle name="Normal 2 15 3 2" xfId="13371"/>
    <cellStyle name="Normal 2 15 3 2 2" xfId="13372"/>
    <cellStyle name="Normal 2 15 3 3" xfId="13373"/>
    <cellStyle name="Normal 2 15 3 3 2" xfId="13374"/>
    <cellStyle name="Normal 2 15 3 4" xfId="13375"/>
    <cellStyle name="Normal 2 15 4" xfId="13376"/>
    <cellStyle name="Normal 2 15 4 2" xfId="13377"/>
    <cellStyle name="Normal 2 15 5" xfId="13378"/>
    <cellStyle name="Normal 2 15 5 2" xfId="13379"/>
    <cellStyle name="Normal 2 15 6" xfId="13380"/>
    <cellStyle name="Normal 2 16" xfId="13381"/>
    <cellStyle name="Normal 2 16 2" xfId="13382"/>
    <cellStyle name="Normal 2 16 2 2" xfId="13383"/>
    <cellStyle name="Normal 2 16 2 2 2" xfId="13384"/>
    <cellStyle name="Normal 2 16 2 3" xfId="13385"/>
    <cellStyle name="Normal 2 16 2 3 2" xfId="13386"/>
    <cellStyle name="Normal 2 16 2 4" xfId="13387"/>
    <cellStyle name="Normal 2 16 3" xfId="13388"/>
    <cellStyle name="Normal 2 16 3 2" xfId="13389"/>
    <cellStyle name="Normal 2 16 3 2 2" xfId="13390"/>
    <cellStyle name="Normal 2 16 3 3" xfId="13391"/>
    <cellStyle name="Normal 2 16 3 3 2" xfId="13392"/>
    <cellStyle name="Normal 2 16 3 4" xfId="13393"/>
    <cellStyle name="Normal 2 16 4" xfId="13394"/>
    <cellStyle name="Normal 2 16 4 2" xfId="13395"/>
    <cellStyle name="Normal 2 16 5" xfId="13396"/>
    <cellStyle name="Normal 2 16 5 2" xfId="13397"/>
    <cellStyle name="Normal 2 16 6" xfId="13398"/>
    <cellStyle name="Normal 2 17" xfId="13399"/>
    <cellStyle name="Normal 2 17 2" xfId="13400"/>
    <cellStyle name="Normal 2 17 3" xfId="13401"/>
    <cellStyle name="Normal 2 17 4" xfId="13402"/>
    <cellStyle name="Normal 2 18" xfId="13403"/>
    <cellStyle name="Normal 2 19" xfId="13404"/>
    <cellStyle name="Normal 2 2" xfId="13405"/>
    <cellStyle name="Normal 2 2 2" xfId="13406"/>
    <cellStyle name="Normal 2 2 2 2" xfId="13407"/>
    <cellStyle name="Normal 2 2 2 2 2" xfId="13408"/>
    <cellStyle name="Normal 2 2 2 3" xfId="13409"/>
    <cellStyle name="Normal 2 2 2 3 2" xfId="13410"/>
    <cellStyle name="Normal 2 2 2 4" xfId="13411"/>
    <cellStyle name="Normal 2 3" xfId="13412"/>
    <cellStyle name="Normal 2 3 2" xfId="13413"/>
    <cellStyle name="Normal 2 3 2 2" xfId="13414"/>
    <cellStyle name="Normal 2 3 2 2 2" xfId="13415"/>
    <cellStyle name="Normal 2 3 2 3" xfId="13416"/>
    <cellStyle name="Normal 2 3 2 3 2" xfId="13417"/>
    <cellStyle name="Normal 2 3 2 4" xfId="13418"/>
    <cellStyle name="Normal 2 4" xfId="13419"/>
    <cellStyle name="Normal 2 4 2" xfId="13420"/>
    <cellStyle name="Normal 2 4 2 2" xfId="13421"/>
    <cellStyle name="Normal 2 4 2 2 2" xfId="13422"/>
    <cellStyle name="Normal 2 4 2 3" xfId="13423"/>
    <cellStyle name="Normal 2 4 2 3 2" xfId="13424"/>
    <cellStyle name="Normal 2 4 2 4" xfId="13425"/>
    <cellStyle name="Normal 2 4 3" xfId="13426"/>
    <cellStyle name="Normal 2 4 3 2" xfId="13427"/>
    <cellStyle name="Normal 2 4 3 2 2" xfId="13428"/>
    <cellStyle name="Normal 2 4 3 3" xfId="13429"/>
    <cellStyle name="Normal 2 4 3 3 2" xfId="13430"/>
    <cellStyle name="Normal 2 4 3 4" xfId="13431"/>
    <cellStyle name="Normal 2 4 4" xfId="13432"/>
    <cellStyle name="Normal 2 4 4 2" xfId="13433"/>
    <cellStyle name="Normal 2 4 5" xfId="13434"/>
    <cellStyle name="Normal 2 4 5 2" xfId="13435"/>
    <cellStyle name="Normal 2 4 6" xfId="13436"/>
    <cellStyle name="Normal 2 5" xfId="13437"/>
    <cellStyle name="Normal 2 5 2" xfId="13438"/>
    <cellStyle name="Normal 2 5 2 2" xfId="13439"/>
    <cellStyle name="Normal 2 5 2 2 2" xfId="13440"/>
    <cellStyle name="Normal 2 5 2 3" xfId="13441"/>
    <cellStyle name="Normal 2 5 2 3 2" xfId="13442"/>
    <cellStyle name="Normal 2 5 2 4" xfId="13443"/>
    <cellStyle name="Normal 2 5 3" xfId="13444"/>
    <cellStyle name="Normal 2 5 3 2" xfId="13445"/>
    <cellStyle name="Normal 2 5 3 2 2" xfId="13446"/>
    <cellStyle name="Normal 2 5 3 3" xfId="13447"/>
    <cellStyle name="Normal 2 5 3 3 2" xfId="13448"/>
    <cellStyle name="Normal 2 5 3 4" xfId="13449"/>
    <cellStyle name="Normal 2 5 4" xfId="13450"/>
    <cellStyle name="Normal 2 5 4 2" xfId="13451"/>
    <cellStyle name="Normal 2 5 5" xfId="13452"/>
    <cellStyle name="Normal 2 5 5 2" xfId="13453"/>
    <cellStyle name="Normal 2 5 6" xfId="13454"/>
    <cellStyle name="Normal 2 6" xfId="13455"/>
    <cellStyle name="Normal 2 6 2" xfId="13456"/>
    <cellStyle name="Normal 2 6 2 2" xfId="13457"/>
    <cellStyle name="Normal 2 6 2 2 2" xfId="13458"/>
    <cellStyle name="Normal 2 6 2 3" xfId="13459"/>
    <cellStyle name="Normal 2 6 2 3 2" xfId="13460"/>
    <cellStyle name="Normal 2 6 2 4" xfId="13461"/>
    <cellStyle name="Normal 2 6 3" xfId="13462"/>
    <cellStyle name="Normal 2 6 3 2" xfId="13463"/>
    <cellStyle name="Normal 2 6 3 2 2" xfId="13464"/>
    <cellStyle name="Normal 2 6 3 3" xfId="13465"/>
    <cellStyle name="Normal 2 6 3 3 2" xfId="13466"/>
    <cellStyle name="Normal 2 6 3 4" xfId="13467"/>
    <cellStyle name="Normal 2 6 4" xfId="13468"/>
    <cellStyle name="Normal 2 6 4 2" xfId="13469"/>
    <cellStyle name="Normal 2 6 5" xfId="13470"/>
    <cellStyle name="Normal 2 6 5 2" xfId="13471"/>
    <cellStyle name="Normal 2 6 6" xfId="13472"/>
    <cellStyle name="Normal 2 7" xfId="13473"/>
    <cellStyle name="Normal 2 7 2" xfId="13474"/>
    <cellStyle name="Normal 2 7 2 2" xfId="13475"/>
    <cellStyle name="Normal 2 7 2 2 2" xfId="13476"/>
    <cellStyle name="Normal 2 7 2 3" xfId="13477"/>
    <cellStyle name="Normal 2 7 2 3 2" xfId="13478"/>
    <cellStyle name="Normal 2 7 2 4" xfId="13479"/>
    <cellStyle name="Normal 2 7 3" xfId="13480"/>
    <cellStyle name="Normal 2 7 3 2" xfId="13481"/>
    <cellStyle name="Normal 2 7 3 2 2" xfId="13482"/>
    <cellStyle name="Normal 2 7 3 3" xfId="13483"/>
    <cellStyle name="Normal 2 7 3 3 2" xfId="13484"/>
    <cellStyle name="Normal 2 7 3 4" xfId="13485"/>
    <cellStyle name="Normal 2 7 4" xfId="13486"/>
    <cellStyle name="Normal 2 7 4 2" xfId="13487"/>
    <cellStyle name="Normal 2 7 5" xfId="13488"/>
    <cellStyle name="Normal 2 7 5 2" xfId="13489"/>
    <cellStyle name="Normal 2 7 6" xfId="13490"/>
    <cellStyle name="Normal 2 8" xfId="13491"/>
    <cellStyle name="Normal 2 8 2" xfId="13492"/>
    <cellStyle name="Normal 2 8 2 2" xfId="13493"/>
    <cellStyle name="Normal 2 8 2 2 2" xfId="13494"/>
    <cellStyle name="Normal 2 8 2 3" xfId="13495"/>
    <cellStyle name="Normal 2 8 2 3 2" xfId="13496"/>
    <cellStyle name="Normal 2 8 2 4" xfId="13497"/>
    <cellStyle name="Normal 2 8 3" xfId="13498"/>
    <cellStyle name="Normal 2 8 3 2" xfId="13499"/>
    <cellStyle name="Normal 2 8 3 2 2" xfId="13500"/>
    <cellStyle name="Normal 2 8 3 3" xfId="13501"/>
    <cellStyle name="Normal 2 8 3 3 2" xfId="13502"/>
    <cellStyle name="Normal 2 8 3 4" xfId="13503"/>
    <cellStyle name="Normal 2 8 4" xfId="13504"/>
    <cellStyle name="Normal 2 8 4 2" xfId="13505"/>
    <cellStyle name="Normal 2 8 5" xfId="13506"/>
    <cellStyle name="Normal 2 8 5 2" xfId="13507"/>
    <cellStyle name="Normal 2 8 6" xfId="13508"/>
    <cellStyle name="Normal 2 9" xfId="13509"/>
    <cellStyle name="Normal 2 9 2" xfId="13510"/>
    <cellStyle name="Normal 2 9 2 2" xfId="13511"/>
    <cellStyle name="Normal 2 9 2 2 2" xfId="13512"/>
    <cellStyle name="Normal 2 9 2 3" xfId="13513"/>
    <cellStyle name="Normal 2 9 2 3 2" xfId="13514"/>
    <cellStyle name="Normal 2 9 2 4" xfId="13515"/>
    <cellStyle name="Normal 2 9 3" xfId="13516"/>
    <cellStyle name="Normal 2 9 3 2" xfId="13517"/>
    <cellStyle name="Normal 2 9 3 2 2" xfId="13518"/>
    <cellStyle name="Normal 2 9 3 3" xfId="13519"/>
    <cellStyle name="Normal 2 9 3 3 2" xfId="13520"/>
    <cellStyle name="Normal 2 9 3 4" xfId="13521"/>
    <cellStyle name="Normal 2 9 4" xfId="13522"/>
    <cellStyle name="Normal 2 9 4 2" xfId="13523"/>
    <cellStyle name="Normal 2 9 5" xfId="13524"/>
    <cellStyle name="Normal 2 9 5 2" xfId="13525"/>
    <cellStyle name="Normal 2 9 6" xfId="13526"/>
    <cellStyle name="Normal 3" xfId="13527"/>
    <cellStyle name="Normal." xfId="13528"/>
    <cellStyle name="Normal. 2" xfId="13529"/>
    <cellStyle name="Normal. 3" xfId="13530"/>
    <cellStyle name="Normal. 4" xfId="13531"/>
    <cellStyle name="Normal_# 41-Market &amp;Trends" xfId="13532"/>
    <cellStyle name="Normál_1." xfId="13533"/>
    <cellStyle name="Normal_7y-предприятие-010305" xfId="13534"/>
    <cellStyle name="Normál_VERZIOK" xfId="13535"/>
    <cellStyle name="Normal_АУФ_АГН" xfId="13536"/>
    <cellStyle name="NormalGB" xfId="13537"/>
    <cellStyle name="NormalGB 2" xfId="13538"/>
    <cellStyle name="NormalGB 3" xfId="13539"/>
    <cellStyle name="NormalGB 4" xfId="13540"/>
    <cellStyle name="Note" xfId="13541"/>
    <cellStyle name="Note 10" xfId="13542"/>
    <cellStyle name="Note 11" xfId="13543"/>
    <cellStyle name="Note 12" xfId="13544"/>
    <cellStyle name="Note 13" xfId="13545"/>
    <cellStyle name="Note 14" xfId="13546"/>
    <cellStyle name="Note 2" xfId="13547"/>
    <cellStyle name="Note 2 2" xfId="13548"/>
    <cellStyle name="Note 2 2 2" xfId="13549"/>
    <cellStyle name="Note 2 3" xfId="13550"/>
    <cellStyle name="Note 2 3 2" xfId="13551"/>
    <cellStyle name="Note 2 4" xfId="13552"/>
    <cellStyle name="Note 3" xfId="13553"/>
    <cellStyle name="Note 3 2" xfId="13554"/>
    <cellStyle name="Note 3 2 2" xfId="13555"/>
    <cellStyle name="Note 3 3" xfId="13556"/>
    <cellStyle name="Note 3 3 2" xfId="13557"/>
    <cellStyle name="Note 3 4" xfId="13558"/>
    <cellStyle name="Note 4" xfId="13559"/>
    <cellStyle name="Note 4 2" xfId="13560"/>
    <cellStyle name="Note 5" xfId="13561"/>
    <cellStyle name="Note 5 2" xfId="13562"/>
    <cellStyle name="Note 6" xfId="13563"/>
    <cellStyle name="Note 7" xfId="13564"/>
    <cellStyle name="Note 8" xfId="13565"/>
    <cellStyle name="Note 9" xfId="13566"/>
    <cellStyle name="Output" xfId="13567"/>
    <cellStyle name="Output 10" xfId="13568"/>
    <cellStyle name="Output 11" xfId="13569"/>
    <cellStyle name="Output 12" xfId="13570"/>
    <cellStyle name="Output 13" xfId="13571"/>
    <cellStyle name="Output 14" xfId="13572"/>
    <cellStyle name="Output 2" xfId="13573"/>
    <cellStyle name="Output 2 2" xfId="13574"/>
    <cellStyle name="Output 2 2 2" xfId="13575"/>
    <cellStyle name="Output 2 3" xfId="13576"/>
    <cellStyle name="Output 2 3 2" xfId="13577"/>
    <cellStyle name="Output 2 4" xfId="13578"/>
    <cellStyle name="Output 3" xfId="13579"/>
    <cellStyle name="Output 3 2" xfId="13580"/>
    <cellStyle name="Output 3 2 2" xfId="13581"/>
    <cellStyle name="Output 3 3" xfId="13582"/>
    <cellStyle name="Output 3 3 2" xfId="13583"/>
    <cellStyle name="Output 3 4" xfId="13584"/>
    <cellStyle name="Output 4" xfId="13585"/>
    <cellStyle name="Output 4 2" xfId="13586"/>
    <cellStyle name="Output 5" xfId="13587"/>
    <cellStyle name="Output 5 2" xfId="13588"/>
    <cellStyle name="Output 6" xfId="13589"/>
    <cellStyle name="Output 7" xfId="13590"/>
    <cellStyle name="Output 8" xfId="13591"/>
    <cellStyle name="Output 9" xfId="13592"/>
    <cellStyle name="Output Amounts" xfId="13593"/>
    <cellStyle name="Output Column Headings" xfId="13594"/>
    <cellStyle name="Output Column Headings 2" xfId="13595"/>
    <cellStyle name="Output Column Headings 3" xfId="13596"/>
    <cellStyle name="Output Column Headings 4" xfId="13597"/>
    <cellStyle name="Output Line Items" xfId="13598"/>
    <cellStyle name="Output Line Items 2" xfId="13599"/>
    <cellStyle name="Output Line Items 3" xfId="13600"/>
    <cellStyle name="Output Line Items 4" xfId="13601"/>
    <cellStyle name="Output Report Heading" xfId="13602"/>
    <cellStyle name="Output Report Heading 2" xfId="13603"/>
    <cellStyle name="Output Report Heading 3" xfId="13604"/>
    <cellStyle name="Output Report Heading 4" xfId="13605"/>
    <cellStyle name="Output Report Title" xfId="13606"/>
    <cellStyle name="Output Report Title 2" xfId="13607"/>
    <cellStyle name="Output Report Title 3" xfId="13608"/>
    <cellStyle name="Output Report Title 4" xfId="13609"/>
    <cellStyle name="Outputtitle" xfId="13610"/>
    <cellStyle name="Outputtitle 2" xfId="13611"/>
    <cellStyle name="Outputtitle 3" xfId="13612"/>
    <cellStyle name="Outputtitle 4" xfId="13613"/>
    <cellStyle name="Paaotsikko" xfId="13614"/>
    <cellStyle name="Paaotsikko 2" xfId="13615"/>
    <cellStyle name="Paaotsikko 3" xfId="13616"/>
    <cellStyle name="Paaotsikko 4" xfId="13617"/>
    <cellStyle name="Page Number" xfId="13618"/>
    <cellStyle name="Pénznem [0]_Document" xfId="13619"/>
    <cellStyle name="Pénznem_Document" xfId="13620"/>
    <cellStyle name="Percent [0]" xfId="13621"/>
    <cellStyle name="Percent [0] 2" xfId="13622"/>
    <cellStyle name="Percent [0] 3" xfId="13623"/>
    <cellStyle name="Percent [0] 4" xfId="13624"/>
    <cellStyle name="Percent [00]" xfId="13625"/>
    <cellStyle name="Percent [00] 2" xfId="13626"/>
    <cellStyle name="Percent [1]" xfId="13627"/>
    <cellStyle name="Percent 2" xfId="13628"/>
    <cellStyle name="Percent 2 2" xfId="13629"/>
    <cellStyle name="Percent_#6 Temps &amp; Contractors" xfId="13630"/>
    <cellStyle name="PrePop Currency (0)" xfId="13631"/>
    <cellStyle name="PrePop Currency (2)" xfId="13632"/>
    <cellStyle name="PrePop Units (0)" xfId="13633"/>
    <cellStyle name="PrePop Units (1)" xfId="13634"/>
    <cellStyle name="PrePop Units (2)" xfId="13635"/>
    <cellStyle name="prochrek" xfId="13636"/>
    <cellStyle name="prochrek 10" xfId="13637"/>
    <cellStyle name="prochrek 10 2" xfId="13638"/>
    <cellStyle name="prochrek 10 3" xfId="13639"/>
    <cellStyle name="prochrek 11" xfId="13640"/>
    <cellStyle name="prochrek 11 2" xfId="13641"/>
    <cellStyle name="prochrek 11 3" xfId="13642"/>
    <cellStyle name="prochrek 12" xfId="13643"/>
    <cellStyle name="prochrek 12 2" xfId="13644"/>
    <cellStyle name="prochrek 12 3" xfId="13645"/>
    <cellStyle name="prochrek 13" xfId="13646"/>
    <cellStyle name="prochrek 13 2" xfId="13647"/>
    <cellStyle name="prochrek 13 3" xfId="13648"/>
    <cellStyle name="prochrek 14" xfId="13649"/>
    <cellStyle name="prochrek 15" xfId="13650"/>
    <cellStyle name="prochrek 2" xfId="13651"/>
    <cellStyle name="prochrek 2 2" xfId="13652"/>
    <cellStyle name="prochrek 2 3" xfId="13653"/>
    <cellStyle name="prochrek 3" xfId="13654"/>
    <cellStyle name="prochrek 3 2" xfId="13655"/>
    <cellStyle name="prochrek 3 3" xfId="13656"/>
    <cellStyle name="prochrek 4" xfId="13657"/>
    <cellStyle name="prochrek 4 2" xfId="13658"/>
    <cellStyle name="prochrek 4 3" xfId="13659"/>
    <cellStyle name="prochrek 5" xfId="13660"/>
    <cellStyle name="prochrek 5 2" xfId="13661"/>
    <cellStyle name="prochrek 5 3" xfId="13662"/>
    <cellStyle name="prochrek 6" xfId="13663"/>
    <cellStyle name="prochrek 6 2" xfId="13664"/>
    <cellStyle name="prochrek 6 3" xfId="13665"/>
    <cellStyle name="prochrek 7" xfId="13666"/>
    <cellStyle name="prochrek 7 2" xfId="13667"/>
    <cellStyle name="prochrek 7 3" xfId="13668"/>
    <cellStyle name="prochrek 8" xfId="13669"/>
    <cellStyle name="prochrek 8 2" xfId="13670"/>
    <cellStyle name="prochrek 8 3" xfId="13671"/>
    <cellStyle name="prochrek 9" xfId="13672"/>
    <cellStyle name="prochrek 9 2" xfId="13673"/>
    <cellStyle name="prochrek 9 3" xfId="13674"/>
    <cellStyle name="Pддotsikko" xfId="13675"/>
    <cellStyle name="Pддotsikko 2" xfId="13676"/>
    <cellStyle name="Pддotsikko 3" xfId="13677"/>
    <cellStyle name="Pддotsikko 4" xfId="13678"/>
    <cellStyle name="Red" xfId="13679"/>
    <cellStyle name="Red 2" xfId="13680"/>
    <cellStyle name="Red 3" xfId="13681"/>
    <cellStyle name="Red 4" xfId="13682"/>
    <cellStyle name="Salomon Logo" xfId="13683"/>
    <cellStyle name="Salomon Logo 2" xfId="13684"/>
    <cellStyle name="Salomon Logo 3" xfId="13685"/>
    <cellStyle name="Salomon Logo 4" xfId="13686"/>
    <cellStyle name="SAPBEXaggData" xfId="31"/>
    <cellStyle name="SAPBEXaggData 2" xfId="32"/>
    <cellStyle name="SAPBEXaggData 2 2" xfId="13687"/>
    <cellStyle name="SAPBEXaggData 2 2 2" xfId="13688"/>
    <cellStyle name="SAPBEXaggData 2 2 2 2" xfId="13689"/>
    <cellStyle name="SAPBEXaggData 2 2 3" xfId="13690"/>
    <cellStyle name="SAPBEXaggData 2 2 3 2" xfId="13691"/>
    <cellStyle name="SAPBEXaggData 2 2 4" xfId="13692"/>
    <cellStyle name="SAPBEXaggData 2 3" xfId="13693"/>
    <cellStyle name="SAPBEXaggData 2 3 2" xfId="13694"/>
    <cellStyle name="SAPBEXaggData 2 3 2 2" xfId="13695"/>
    <cellStyle name="SAPBEXaggData 2 3 3" xfId="13696"/>
    <cellStyle name="SAPBEXaggData 2 3 3 2" xfId="13697"/>
    <cellStyle name="SAPBEXaggData 2 3 4" xfId="13698"/>
    <cellStyle name="SAPBEXaggData 2 4" xfId="13699"/>
    <cellStyle name="SAPBEXaggData 2 4 2" xfId="13700"/>
    <cellStyle name="SAPBEXaggData 2 5" xfId="13701"/>
    <cellStyle name="SAPBEXaggData 2 5 2" xfId="13702"/>
    <cellStyle name="SAPBEXaggData 2 6" xfId="13703"/>
    <cellStyle name="SAPBEXaggData 3" xfId="33"/>
    <cellStyle name="SAPBEXaggData 3 2" xfId="13704"/>
    <cellStyle name="SAPBEXaggData 3 2 2" xfId="13705"/>
    <cellStyle name="SAPBEXaggData 3 3" xfId="13706"/>
    <cellStyle name="SAPBEXaggData 3 3 2" xfId="13707"/>
    <cellStyle name="SAPBEXaggData 3 4" xfId="13708"/>
    <cellStyle name="SAPBEXaggData 4" xfId="34"/>
    <cellStyle name="SAPBEXaggData 4 2" xfId="13709"/>
    <cellStyle name="SAPBEXaggData 4 2 2" xfId="13710"/>
    <cellStyle name="SAPBEXaggData 4 3" xfId="13711"/>
    <cellStyle name="SAPBEXaggData 4 3 2" xfId="13712"/>
    <cellStyle name="SAPBEXaggData 4 4" xfId="13713"/>
    <cellStyle name="SAPBEXaggData 5" xfId="13714"/>
    <cellStyle name="SAPBEXaggData 5 2" xfId="13715"/>
    <cellStyle name="SAPBEXaggData 6" xfId="13716"/>
    <cellStyle name="SAPBEXaggData 6 2" xfId="13717"/>
    <cellStyle name="SAPBEXaggData 7" xfId="13718"/>
    <cellStyle name="SAPBEXaggDataEmph" xfId="35"/>
    <cellStyle name="SAPBEXaggDataEmph 2" xfId="36"/>
    <cellStyle name="SAPBEXaggDataEmph 2 2" xfId="13719"/>
    <cellStyle name="SAPBEXaggDataEmph 2 2 2" xfId="13720"/>
    <cellStyle name="SAPBEXaggDataEmph 2 2 2 2" xfId="13721"/>
    <cellStyle name="SAPBEXaggDataEmph 2 2 3" xfId="13722"/>
    <cellStyle name="SAPBEXaggDataEmph 2 2 3 2" xfId="13723"/>
    <cellStyle name="SAPBEXaggDataEmph 2 2 4" xfId="13724"/>
    <cellStyle name="SAPBEXaggDataEmph 2 3" xfId="13725"/>
    <cellStyle name="SAPBEXaggDataEmph 2 3 2" xfId="13726"/>
    <cellStyle name="SAPBEXaggDataEmph 2 4" xfId="13727"/>
    <cellStyle name="SAPBEXaggDataEmph 2 4 2" xfId="13728"/>
    <cellStyle name="SAPBEXaggDataEmph 2 5" xfId="13729"/>
    <cellStyle name="SAPBEXaggDataEmph 3" xfId="37"/>
    <cellStyle name="SAPBEXaggDataEmph 3 2" xfId="13730"/>
    <cellStyle name="SAPBEXaggDataEmph 3 2 2" xfId="13731"/>
    <cellStyle name="SAPBEXaggDataEmph 3 3" xfId="13732"/>
    <cellStyle name="SAPBEXaggDataEmph 3 3 2" xfId="13733"/>
    <cellStyle name="SAPBEXaggDataEmph 3 4" xfId="13734"/>
    <cellStyle name="SAPBEXaggDataEmph 4" xfId="38"/>
    <cellStyle name="SAPBEXaggDataEmph 4 2" xfId="13735"/>
    <cellStyle name="SAPBEXaggDataEmph 4 2 2" xfId="13736"/>
    <cellStyle name="SAPBEXaggDataEmph 4 3" xfId="13737"/>
    <cellStyle name="SAPBEXaggDataEmph 4 3 2" xfId="13738"/>
    <cellStyle name="SAPBEXaggDataEmph 4 4" xfId="13739"/>
    <cellStyle name="SAPBEXaggDataEmph 5" xfId="13740"/>
    <cellStyle name="SAPBEXaggDataEmph 5 2" xfId="13741"/>
    <cellStyle name="SAPBEXaggDataEmph 6" xfId="13742"/>
    <cellStyle name="SAPBEXaggDataEmph 6 2" xfId="13743"/>
    <cellStyle name="SAPBEXaggDataEmph 7" xfId="13744"/>
    <cellStyle name="SAPBEXaggItem" xfId="39"/>
    <cellStyle name="SAPBEXaggItem 2" xfId="40"/>
    <cellStyle name="SAPBEXaggItem 2 2" xfId="13745"/>
    <cellStyle name="SAPBEXaggItem 2 2 2" xfId="13746"/>
    <cellStyle name="SAPBEXaggItem 2 2 2 2" xfId="13747"/>
    <cellStyle name="SAPBEXaggItem 2 2 3" xfId="13748"/>
    <cellStyle name="SAPBEXaggItem 2 2 3 2" xfId="13749"/>
    <cellStyle name="SAPBEXaggItem 2 2 4" xfId="13750"/>
    <cellStyle name="SAPBEXaggItem 2 3" xfId="13751"/>
    <cellStyle name="SAPBEXaggItem 2 3 2" xfId="13752"/>
    <cellStyle name="SAPBEXaggItem 2 3 2 2" xfId="13753"/>
    <cellStyle name="SAPBEXaggItem 2 3 3" xfId="13754"/>
    <cellStyle name="SAPBEXaggItem 2 3 3 2" xfId="13755"/>
    <cellStyle name="SAPBEXaggItem 2 3 4" xfId="13756"/>
    <cellStyle name="SAPBEXaggItem 2 4" xfId="13757"/>
    <cellStyle name="SAPBEXaggItem 2 4 2" xfId="13758"/>
    <cellStyle name="SAPBEXaggItem 2 5" xfId="13759"/>
    <cellStyle name="SAPBEXaggItem 2 5 2" xfId="13760"/>
    <cellStyle name="SAPBEXaggItem 2 6" xfId="13761"/>
    <cellStyle name="SAPBEXaggItem 3" xfId="41"/>
    <cellStyle name="SAPBEXaggItem 3 2" xfId="13762"/>
    <cellStyle name="SAPBEXaggItem 3 2 2" xfId="13763"/>
    <cellStyle name="SAPBEXaggItem 3 3" xfId="13764"/>
    <cellStyle name="SAPBEXaggItem 3 3 2" xfId="13765"/>
    <cellStyle name="SAPBEXaggItem 3 4" xfId="13766"/>
    <cellStyle name="SAPBEXaggItem 4" xfId="42"/>
    <cellStyle name="SAPBEXaggItem 4 2" xfId="13767"/>
    <cellStyle name="SAPBEXaggItem 4 2 2" xfId="13768"/>
    <cellStyle name="SAPBEXaggItem 4 3" xfId="13769"/>
    <cellStyle name="SAPBEXaggItem 4 3 2" xfId="13770"/>
    <cellStyle name="SAPBEXaggItem 4 4" xfId="13771"/>
    <cellStyle name="SAPBEXaggItem 5" xfId="13772"/>
    <cellStyle name="SAPBEXaggItem 5 2" xfId="13773"/>
    <cellStyle name="SAPBEXaggItem 6" xfId="13774"/>
    <cellStyle name="SAPBEXaggItem 6 2" xfId="13775"/>
    <cellStyle name="SAPBEXaggItem 7" xfId="13776"/>
    <cellStyle name="SAPBEXaggItemX" xfId="43"/>
    <cellStyle name="SAPBEXaggItemX 2" xfId="44"/>
    <cellStyle name="SAPBEXaggItemX 2 2" xfId="13777"/>
    <cellStyle name="SAPBEXaggItemX 2 2 2" xfId="13778"/>
    <cellStyle name="SAPBEXaggItemX 2 2 2 2" xfId="13779"/>
    <cellStyle name="SAPBEXaggItemX 2 2 3" xfId="13780"/>
    <cellStyle name="SAPBEXaggItemX 2 2 3 2" xfId="13781"/>
    <cellStyle name="SAPBEXaggItemX 2 2 4" xfId="13782"/>
    <cellStyle name="SAPBEXaggItemX 2 3" xfId="13783"/>
    <cellStyle name="SAPBEXaggItemX 2 3 2" xfId="13784"/>
    <cellStyle name="SAPBEXaggItemX 2 4" xfId="13785"/>
    <cellStyle name="SAPBEXaggItemX 2 4 2" xfId="13786"/>
    <cellStyle name="SAPBEXaggItemX 2 5" xfId="13787"/>
    <cellStyle name="SAPBEXaggItemX 3" xfId="45"/>
    <cellStyle name="SAPBEXaggItemX 3 2" xfId="13788"/>
    <cellStyle name="SAPBEXaggItemX 3 2 2" xfId="13789"/>
    <cellStyle name="SAPBEXaggItemX 3 3" xfId="13790"/>
    <cellStyle name="SAPBEXaggItemX 3 3 2" xfId="13791"/>
    <cellStyle name="SAPBEXaggItemX 3 4" xfId="13792"/>
    <cellStyle name="SAPBEXaggItemX 4" xfId="46"/>
    <cellStyle name="SAPBEXaggItemX 4 2" xfId="13793"/>
    <cellStyle name="SAPBEXaggItemX 4 2 2" xfId="13794"/>
    <cellStyle name="SAPBEXaggItemX 4 3" xfId="13795"/>
    <cellStyle name="SAPBEXaggItemX 4 3 2" xfId="13796"/>
    <cellStyle name="SAPBEXaggItemX 4 4" xfId="13797"/>
    <cellStyle name="SAPBEXaggItemX 5" xfId="13798"/>
    <cellStyle name="SAPBEXaggItemX 5 2" xfId="13799"/>
    <cellStyle name="SAPBEXaggItemX 6" xfId="13800"/>
    <cellStyle name="SAPBEXaggItemX 6 2" xfId="13801"/>
    <cellStyle name="SAPBEXaggItemX 7" xfId="13802"/>
    <cellStyle name="SAPBEXchaText" xfId="47"/>
    <cellStyle name="SAPBEXchaText 2" xfId="48"/>
    <cellStyle name="SAPBEXchaText 2 2" xfId="49"/>
    <cellStyle name="SAPBEXchaText 2 2 2" xfId="50"/>
    <cellStyle name="SAPBEXchaText 2 2 2 2" xfId="13803"/>
    <cellStyle name="SAPBEXchaText 2 2 3" xfId="13804"/>
    <cellStyle name="SAPBEXchaText 2 2 3 2" xfId="13805"/>
    <cellStyle name="SAPBEXchaText 2 2 4" xfId="13806"/>
    <cellStyle name="SAPBEXchaText 2 3" xfId="51"/>
    <cellStyle name="SAPBEXchaText 2 3 2" xfId="13807"/>
    <cellStyle name="SAPBEXchaText 2 3 2 2" xfId="13808"/>
    <cellStyle name="SAPBEXchaText 2 3 3" xfId="13809"/>
    <cellStyle name="SAPBEXchaText 2 3 3 2" xfId="13810"/>
    <cellStyle name="SAPBEXchaText 2 3 4" xfId="13811"/>
    <cellStyle name="SAPBEXchaText 2 4" xfId="52"/>
    <cellStyle name="SAPBEXchaText 2 4 2" xfId="13812"/>
    <cellStyle name="SAPBEXchaText 2 5" xfId="13813"/>
    <cellStyle name="SAPBEXchaText 2 5 2" xfId="13814"/>
    <cellStyle name="SAPBEXchaText 2 6" xfId="13815"/>
    <cellStyle name="SAPBEXchaText 3" xfId="53"/>
    <cellStyle name="SAPBEXchaText 4" xfId="54"/>
    <cellStyle name="SAPBEXchaText 5" xfId="55"/>
    <cellStyle name="SAPBEXexcBad7" xfId="56"/>
    <cellStyle name="SAPBEXexcBad7 2" xfId="57"/>
    <cellStyle name="SAPBEXexcBad7 2 2" xfId="58"/>
    <cellStyle name="SAPBEXexcBad7 2 2 2" xfId="13816"/>
    <cellStyle name="SAPBEXexcBad7 2 2 2 2" xfId="13817"/>
    <cellStyle name="SAPBEXexcBad7 2 2 3" xfId="13818"/>
    <cellStyle name="SAPBEXexcBad7 2 2 3 2" xfId="13819"/>
    <cellStyle name="SAPBEXexcBad7 2 2 4" xfId="13820"/>
    <cellStyle name="SAPBEXexcBad7 2 3" xfId="59"/>
    <cellStyle name="SAPBEXexcBad7 2 3 2" xfId="13821"/>
    <cellStyle name="SAPBEXexcBad7 2 4" xfId="60"/>
    <cellStyle name="SAPBEXexcBad7 2 4 2" xfId="13822"/>
    <cellStyle name="SAPBEXexcBad7 2 5" xfId="13823"/>
    <cellStyle name="SAPBEXexcBad7 3" xfId="61"/>
    <cellStyle name="SAPBEXexcBad7 3 2" xfId="13824"/>
    <cellStyle name="SAPBEXexcBad7 3 2 2" xfId="13825"/>
    <cellStyle name="SAPBEXexcBad7 3 3" xfId="13826"/>
    <cellStyle name="SAPBEXexcBad7 3 3 2" xfId="13827"/>
    <cellStyle name="SAPBEXexcBad7 3 4" xfId="13828"/>
    <cellStyle name="SAPBEXexcBad7 4" xfId="62"/>
    <cellStyle name="SAPBEXexcBad7 4 2" xfId="13829"/>
    <cellStyle name="SAPBEXexcBad7 4 2 2" xfId="13830"/>
    <cellStyle name="SAPBEXexcBad7 4 3" xfId="13831"/>
    <cellStyle name="SAPBEXexcBad7 4 3 2" xfId="13832"/>
    <cellStyle name="SAPBEXexcBad7 4 4" xfId="13833"/>
    <cellStyle name="SAPBEXexcBad7 5" xfId="63"/>
    <cellStyle name="SAPBEXexcBad7 5 2" xfId="13834"/>
    <cellStyle name="SAPBEXexcBad7 6" xfId="13835"/>
    <cellStyle name="SAPBEXexcBad7 6 2" xfId="13836"/>
    <cellStyle name="SAPBEXexcBad7 7" xfId="13837"/>
    <cellStyle name="SAPBEXexcBad8" xfId="64"/>
    <cellStyle name="SAPBEXexcBad8 2" xfId="65"/>
    <cellStyle name="SAPBEXexcBad8 2 2" xfId="66"/>
    <cellStyle name="SAPBEXexcBad8 2 2 2" xfId="13838"/>
    <cellStyle name="SAPBEXexcBad8 2 2 2 2" xfId="13839"/>
    <cellStyle name="SAPBEXexcBad8 2 2 3" xfId="13840"/>
    <cellStyle name="SAPBEXexcBad8 2 2 3 2" xfId="13841"/>
    <cellStyle name="SAPBEXexcBad8 2 2 4" xfId="13842"/>
    <cellStyle name="SAPBEXexcBad8 2 3" xfId="67"/>
    <cellStyle name="SAPBEXexcBad8 2 3 2" xfId="13843"/>
    <cellStyle name="SAPBEXexcBad8 2 4" xfId="68"/>
    <cellStyle name="SAPBEXexcBad8 2 4 2" xfId="13844"/>
    <cellStyle name="SAPBEXexcBad8 2 5" xfId="13845"/>
    <cellStyle name="SAPBEXexcBad8 3" xfId="69"/>
    <cellStyle name="SAPBEXexcBad8 3 2" xfId="13846"/>
    <cellStyle name="SAPBEXexcBad8 3 2 2" xfId="13847"/>
    <cellStyle name="SAPBEXexcBad8 3 3" xfId="13848"/>
    <cellStyle name="SAPBEXexcBad8 3 3 2" xfId="13849"/>
    <cellStyle name="SAPBEXexcBad8 3 4" xfId="13850"/>
    <cellStyle name="SAPBEXexcBad8 4" xfId="70"/>
    <cellStyle name="SAPBEXexcBad8 4 2" xfId="13851"/>
    <cellStyle name="SAPBEXexcBad8 4 2 2" xfId="13852"/>
    <cellStyle name="SAPBEXexcBad8 4 3" xfId="13853"/>
    <cellStyle name="SAPBEXexcBad8 4 3 2" xfId="13854"/>
    <cellStyle name="SAPBEXexcBad8 4 4" xfId="13855"/>
    <cellStyle name="SAPBEXexcBad8 5" xfId="71"/>
    <cellStyle name="SAPBEXexcBad8 5 2" xfId="13856"/>
    <cellStyle name="SAPBEXexcBad8 6" xfId="13857"/>
    <cellStyle name="SAPBEXexcBad8 6 2" xfId="13858"/>
    <cellStyle name="SAPBEXexcBad8 7" xfId="13859"/>
    <cellStyle name="SAPBEXexcBad9" xfId="72"/>
    <cellStyle name="SAPBEXexcBad9 2" xfId="73"/>
    <cellStyle name="SAPBEXexcBad9 2 2" xfId="74"/>
    <cellStyle name="SAPBEXexcBad9 2 2 2" xfId="13860"/>
    <cellStyle name="SAPBEXexcBad9 2 2 2 2" xfId="13861"/>
    <cellStyle name="SAPBEXexcBad9 2 2 3" xfId="13862"/>
    <cellStyle name="SAPBEXexcBad9 2 2 3 2" xfId="13863"/>
    <cellStyle name="SAPBEXexcBad9 2 2 4" xfId="13864"/>
    <cellStyle name="SAPBEXexcBad9 2 3" xfId="75"/>
    <cellStyle name="SAPBEXexcBad9 2 3 2" xfId="13865"/>
    <cellStyle name="SAPBEXexcBad9 2 4" xfId="76"/>
    <cellStyle name="SAPBEXexcBad9 2 4 2" xfId="13866"/>
    <cellStyle name="SAPBEXexcBad9 2 5" xfId="13867"/>
    <cellStyle name="SAPBEXexcBad9 3" xfId="77"/>
    <cellStyle name="SAPBEXexcBad9 3 2" xfId="13868"/>
    <cellStyle name="SAPBEXexcBad9 3 2 2" xfId="13869"/>
    <cellStyle name="SAPBEXexcBad9 3 3" xfId="13870"/>
    <cellStyle name="SAPBEXexcBad9 3 3 2" xfId="13871"/>
    <cellStyle name="SAPBEXexcBad9 3 4" xfId="13872"/>
    <cellStyle name="SAPBEXexcBad9 4" xfId="78"/>
    <cellStyle name="SAPBEXexcBad9 4 2" xfId="13873"/>
    <cellStyle name="SAPBEXexcBad9 4 2 2" xfId="13874"/>
    <cellStyle name="SAPBEXexcBad9 4 3" xfId="13875"/>
    <cellStyle name="SAPBEXexcBad9 4 3 2" xfId="13876"/>
    <cellStyle name="SAPBEXexcBad9 4 4" xfId="13877"/>
    <cellStyle name="SAPBEXexcBad9 5" xfId="79"/>
    <cellStyle name="SAPBEXexcBad9 5 2" xfId="13878"/>
    <cellStyle name="SAPBEXexcBad9 6" xfId="13879"/>
    <cellStyle name="SAPBEXexcBad9 6 2" xfId="13880"/>
    <cellStyle name="SAPBEXexcBad9 7" xfId="13881"/>
    <cellStyle name="SAPBEXexcCritical4" xfId="80"/>
    <cellStyle name="SAPBEXexcCritical4 2" xfId="81"/>
    <cellStyle name="SAPBEXexcCritical4 2 2" xfId="82"/>
    <cellStyle name="SAPBEXexcCritical4 2 2 2" xfId="13882"/>
    <cellStyle name="SAPBEXexcCritical4 2 2 2 2" xfId="13883"/>
    <cellStyle name="SAPBEXexcCritical4 2 2 3" xfId="13884"/>
    <cellStyle name="SAPBEXexcCritical4 2 2 3 2" xfId="13885"/>
    <cellStyle name="SAPBEXexcCritical4 2 2 4" xfId="13886"/>
    <cellStyle name="SAPBEXexcCritical4 2 3" xfId="83"/>
    <cellStyle name="SAPBEXexcCritical4 2 3 2" xfId="13887"/>
    <cellStyle name="SAPBEXexcCritical4 2 4" xfId="84"/>
    <cellStyle name="SAPBEXexcCritical4 2 4 2" xfId="13888"/>
    <cellStyle name="SAPBEXexcCritical4 2 5" xfId="13889"/>
    <cellStyle name="SAPBEXexcCritical4 3" xfId="85"/>
    <cellStyle name="SAPBEXexcCritical4 3 2" xfId="13890"/>
    <cellStyle name="SAPBEXexcCritical4 3 2 2" xfId="13891"/>
    <cellStyle name="SAPBEXexcCritical4 3 3" xfId="13892"/>
    <cellStyle name="SAPBEXexcCritical4 3 3 2" xfId="13893"/>
    <cellStyle name="SAPBEXexcCritical4 3 4" xfId="13894"/>
    <cellStyle name="SAPBEXexcCritical4 4" xfId="86"/>
    <cellStyle name="SAPBEXexcCritical4 4 2" xfId="13895"/>
    <cellStyle name="SAPBEXexcCritical4 4 2 2" xfId="13896"/>
    <cellStyle name="SAPBEXexcCritical4 4 3" xfId="13897"/>
    <cellStyle name="SAPBEXexcCritical4 4 3 2" xfId="13898"/>
    <cellStyle name="SAPBEXexcCritical4 4 4" xfId="13899"/>
    <cellStyle name="SAPBEXexcCritical4 5" xfId="87"/>
    <cellStyle name="SAPBEXexcCritical4 5 2" xfId="13900"/>
    <cellStyle name="SAPBEXexcCritical4 6" xfId="13901"/>
    <cellStyle name="SAPBEXexcCritical4 6 2" xfId="13902"/>
    <cellStyle name="SAPBEXexcCritical4 7" xfId="13903"/>
    <cellStyle name="SAPBEXexcCritical5" xfId="88"/>
    <cellStyle name="SAPBEXexcCritical5 2" xfId="89"/>
    <cellStyle name="SAPBEXexcCritical5 2 2" xfId="90"/>
    <cellStyle name="SAPBEXexcCritical5 2 2 2" xfId="13904"/>
    <cellStyle name="SAPBEXexcCritical5 2 2 2 2" xfId="13905"/>
    <cellStyle name="SAPBEXexcCritical5 2 2 3" xfId="13906"/>
    <cellStyle name="SAPBEXexcCritical5 2 2 3 2" xfId="13907"/>
    <cellStyle name="SAPBEXexcCritical5 2 2 4" xfId="13908"/>
    <cellStyle name="SAPBEXexcCritical5 2 3" xfId="91"/>
    <cellStyle name="SAPBEXexcCritical5 2 3 2" xfId="13909"/>
    <cellStyle name="SAPBEXexcCritical5 2 4" xfId="92"/>
    <cellStyle name="SAPBEXexcCritical5 2 4 2" xfId="13910"/>
    <cellStyle name="SAPBEXexcCritical5 2 5" xfId="13911"/>
    <cellStyle name="SAPBEXexcCritical5 3" xfId="93"/>
    <cellStyle name="SAPBEXexcCritical5 3 2" xfId="13912"/>
    <cellStyle name="SAPBEXexcCritical5 3 2 2" xfId="13913"/>
    <cellStyle name="SAPBEXexcCritical5 3 3" xfId="13914"/>
    <cellStyle name="SAPBEXexcCritical5 3 3 2" xfId="13915"/>
    <cellStyle name="SAPBEXexcCritical5 3 4" xfId="13916"/>
    <cellStyle name="SAPBEXexcCritical5 4" xfId="94"/>
    <cellStyle name="SAPBEXexcCritical5 4 2" xfId="13917"/>
    <cellStyle name="SAPBEXexcCritical5 4 2 2" xfId="13918"/>
    <cellStyle name="SAPBEXexcCritical5 4 3" xfId="13919"/>
    <cellStyle name="SAPBEXexcCritical5 4 3 2" xfId="13920"/>
    <cellStyle name="SAPBEXexcCritical5 4 4" xfId="13921"/>
    <cellStyle name="SAPBEXexcCritical5 5" xfId="95"/>
    <cellStyle name="SAPBEXexcCritical5 5 2" xfId="13922"/>
    <cellStyle name="SAPBEXexcCritical5 6" xfId="13923"/>
    <cellStyle name="SAPBEXexcCritical5 6 2" xfId="13924"/>
    <cellStyle name="SAPBEXexcCritical5 7" xfId="13925"/>
    <cellStyle name="SAPBEXexcCritical6" xfId="96"/>
    <cellStyle name="SAPBEXexcCritical6 2" xfId="97"/>
    <cellStyle name="SAPBEXexcCritical6 2 2" xfId="98"/>
    <cellStyle name="SAPBEXexcCritical6 2 2 2" xfId="13926"/>
    <cellStyle name="SAPBEXexcCritical6 2 2 2 2" xfId="13927"/>
    <cellStyle name="SAPBEXexcCritical6 2 2 3" xfId="13928"/>
    <cellStyle name="SAPBEXexcCritical6 2 2 3 2" xfId="13929"/>
    <cellStyle name="SAPBEXexcCritical6 2 2 4" xfId="13930"/>
    <cellStyle name="SAPBEXexcCritical6 2 3" xfId="99"/>
    <cellStyle name="SAPBEXexcCritical6 2 3 2" xfId="13931"/>
    <cellStyle name="SAPBEXexcCritical6 2 4" xfId="100"/>
    <cellStyle name="SAPBEXexcCritical6 2 4 2" xfId="13932"/>
    <cellStyle name="SAPBEXexcCritical6 2 5" xfId="13933"/>
    <cellStyle name="SAPBEXexcCritical6 3" xfId="101"/>
    <cellStyle name="SAPBEXexcCritical6 3 2" xfId="13934"/>
    <cellStyle name="SAPBEXexcCritical6 3 2 2" xfId="13935"/>
    <cellStyle name="SAPBEXexcCritical6 3 3" xfId="13936"/>
    <cellStyle name="SAPBEXexcCritical6 3 3 2" xfId="13937"/>
    <cellStyle name="SAPBEXexcCritical6 3 4" xfId="13938"/>
    <cellStyle name="SAPBEXexcCritical6 4" xfId="102"/>
    <cellStyle name="SAPBEXexcCritical6 4 2" xfId="13939"/>
    <cellStyle name="SAPBEXexcCritical6 4 2 2" xfId="13940"/>
    <cellStyle name="SAPBEXexcCritical6 4 3" xfId="13941"/>
    <cellStyle name="SAPBEXexcCritical6 4 3 2" xfId="13942"/>
    <cellStyle name="SAPBEXexcCritical6 4 4" xfId="13943"/>
    <cellStyle name="SAPBEXexcCritical6 5" xfId="103"/>
    <cellStyle name="SAPBEXexcCritical6 5 2" xfId="13944"/>
    <cellStyle name="SAPBEXexcCritical6 6" xfId="13945"/>
    <cellStyle name="SAPBEXexcCritical6 6 2" xfId="13946"/>
    <cellStyle name="SAPBEXexcCritical6 7" xfId="13947"/>
    <cellStyle name="SAPBEXexcGood1" xfId="104"/>
    <cellStyle name="SAPBEXexcGood1 2" xfId="105"/>
    <cellStyle name="SAPBEXexcGood1 2 2" xfId="106"/>
    <cellStyle name="SAPBEXexcGood1 2 2 2" xfId="13948"/>
    <cellStyle name="SAPBEXexcGood1 2 2 2 2" xfId="13949"/>
    <cellStyle name="SAPBEXexcGood1 2 2 3" xfId="13950"/>
    <cellStyle name="SAPBEXexcGood1 2 2 3 2" xfId="13951"/>
    <cellStyle name="SAPBEXexcGood1 2 2 4" xfId="13952"/>
    <cellStyle name="SAPBEXexcGood1 2 3" xfId="107"/>
    <cellStyle name="SAPBEXexcGood1 2 3 2" xfId="13953"/>
    <cellStyle name="SAPBEXexcGood1 2 4" xfId="108"/>
    <cellStyle name="SAPBEXexcGood1 2 4 2" xfId="13954"/>
    <cellStyle name="SAPBEXexcGood1 2 5" xfId="13955"/>
    <cellStyle name="SAPBEXexcGood1 3" xfId="109"/>
    <cellStyle name="SAPBEXexcGood1 3 2" xfId="13956"/>
    <cellStyle name="SAPBEXexcGood1 3 2 2" xfId="13957"/>
    <cellStyle name="SAPBEXexcGood1 3 3" xfId="13958"/>
    <cellStyle name="SAPBEXexcGood1 3 3 2" xfId="13959"/>
    <cellStyle name="SAPBEXexcGood1 3 4" xfId="13960"/>
    <cellStyle name="SAPBEXexcGood1 4" xfId="110"/>
    <cellStyle name="SAPBEXexcGood1 4 2" xfId="13961"/>
    <cellStyle name="SAPBEXexcGood1 4 2 2" xfId="13962"/>
    <cellStyle name="SAPBEXexcGood1 4 3" xfId="13963"/>
    <cellStyle name="SAPBEXexcGood1 4 3 2" xfId="13964"/>
    <cellStyle name="SAPBEXexcGood1 4 4" xfId="13965"/>
    <cellStyle name="SAPBEXexcGood1 5" xfId="111"/>
    <cellStyle name="SAPBEXexcGood1 5 2" xfId="13966"/>
    <cellStyle name="SAPBEXexcGood1 6" xfId="13967"/>
    <cellStyle name="SAPBEXexcGood1 6 2" xfId="13968"/>
    <cellStyle name="SAPBEXexcGood1 7" xfId="13969"/>
    <cellStyle name="SAPBEXexcGood2" xfId="112"/>
    <cellStyle name="SAPBEXexcGood2 2" xfId="113"/>
    <cellStyle name="SAPBEXexcGood2 2 2" xfId="114"/>
    <cellStyle name="SAPBEXexcGood2 2 2 2" xfId="13970"/>
    <cellStyle name="SAPBEXexcGood2 2 2 2 2" xfId="13971"/>
    <cellStyle name="SAPBEXexcGood2 2 2 3" xfId="13972"/>
    <cellStyle name="SAPBEXexcGood2 2 2 3 2" xfId="13973"/>
    <cellStyle name="SAPBEXexcGood2 2 2 4" xfId="13974"/>
    <cellStyle name="SAPBEXexcGood2 2 3" xfId="115"/>
    <cellStyle name="SAPBEXexcGood2 2 3 2" xfId="13975"/>
    <cellStyle name="SAPBEXexcGood2 2 4" xfId="116"/>
    <cellStyle name="SAPBEXexcGood2 2 4 2" xfId="13976"/>
    <cellStyle name="SAPBEXexcGood2 2 5" xfId="13977"/>
    <cellStyle name="SAPBEXexcGood2 3" xfId="117"/>
    <cellStyle name="SAPBEXexcGood2 3 2" xfId="13978"/>
    <cellStyle name="SAPBEXexcGood2 3 2 2" xfId="13979"/>
    <cellStyle name="SAPBEXexcGood2 3 3" xfId="13980"/>
    <cellStyle name="SAPBEXexcGood2 3 3 2" xfId="13981"/>
    <cellStyle name="SAPBEXexcGood2 3 4" xfId="13982"/>
    <cellStyle name="SAPBEXexcGood2 4" xfId="118"/>
    <cellStyle name="SAPBEXexcGood2 4 2" xfId="13983"/>
    <cellStyle name="SAPBEXexcGood2 4 2 2" xfId="13984"/>
    <cellStyle name="SAPBEXexcGood2 4 3" xfId="13985"/>
    <cellStyle name="SAPBEXexcGood2 4 3 2" xfId="13986"/>
    <cellStyle name="SAPBEXexcGood2 4 4" xfId="13987"/>
    <cellStyle name="SAPBEXexcGood2 5" xfId="119"/>
    <cellStyle name="SAPBEXexcGood2 5 2" xfId="13988"/>
    <cellStyle name="SAPBEXexcGood2 6" xfId="13989"/>
    <cellStyle name="SAPBEXexcGood2 6 2" xfId="13990"/>
    <cellStyle name="SAPBEXexcGood2 7" xfId="13991"/>
    <cellStyle name="SAPBEXexcGood3" xfId="120"/>
    <cellStyle name="SAPBEXexcGood3 2" xfId="121"/>
    <cellStyle name="SAPBEXexcGood3 2 2" xfId="122"/>
    <cellStyle name="SAPBEXexcGood3 2 2 2" xfId="13992"/>
    <cellStyle name="SAPBEXexcGood3 2 2 2 2" xfId="13993"/>
    <cellStyle name="SAPBEXexcGood3 2 2 3" xfId="13994"/>
    <cellStyle name="SAPBEXexcGood3 2 2 3 2" xfId="13995"/>
    <cellStyle name="SAPBEXexcGood3 2 2 4" xfId="13996"/>
    <cellStyle name="SAPBEXexcGood3 2 3" xfId="123"/>
    <cellStyle name="SAPBEXexcGood3 2 3 2" xfId="13997"/>
    <cellStyle name="SAPBEXexcGood3 2 4" xfId="124"/>
    <cellStyle name="SAPBEXexcGood3 2 4 2" xfId="13998"/>
    <cellStyle name="SAPBEXexcGood3 2 5" xfId="13999"/>
    <cellStyle name="SAPBEXexcGood3 3" xfId="125"/>
    <cellStyle name="SAPBEXexcGood3 3 2" xfId="14000"/>
    <cellStyle name="SAPBEXexcGood3 3 2 2" xfId="14001"/>
    <cellStyle name="SAPBEXexcGood3 3 3" xfId="14002"/>
    <cellStyle name="SAPBEXexcGood3 3 3 2" xfId="14003"/>
    <cellStyle name="SAPBEXexcGood3 3 4" xfId="14004"/>
    <cellStyle name="SAPBEXexcGood3 4" xfId="126"/>
    <cellStyle name="SAPBEXexcGood3 4 2" xfId="14005"/>
    <cellStyle name="SAPBEXexcGood3 4 2 2" xfId="14006"/>
    <cellStyle name="SAPBEXexcGood3 4 3" xfId="14007"/>
    <cellStyle name="SAPBEXexcGood3 4 3 2" xfId="14008"/>
    <cellStyle name="SAPBEXexcGood3 4 4" xfId="14009"/>
    <cellStyle name="SAPBEXexcGood3 5" xfId="127"/>
    <cellStyle name="SAPBEXexcGood3 5 2" xfId="14010"/>
    <cellStyle name="SAPBEXexcGood3 6" xfId="14011"/>
    <cellStyle name="SAPBEXexcGood3 6 2" xfId="14012"/>
    <cellStyle name="SAPBEXexcGood3 7" xfId="14013"/>
    <cellStyle name="SAPBEXfilterDrill" xfId="128"/>
    <cellStyle name="SAPBEXfilterDrill 2" xfId="129"/>
    <cellStyle name="SAPBEXfilterDrill 2 2" xfId="130"/>
    <cellStyle name="SAPBEXfilterDrill 2 2 2" xfId="14014"/>
    <cellStyle name="SAPBEXfilterDrill 2 2 2 2" xfId="14015"/>
    <cellStyle name="SAPBEXfilterDrill 2 2 3" xfId="14016"/>
    <cellStyle name="SAPBEXfilterDrill 2 2 3 2" xfId="14017"/>
    <cellStyle name="SAPBEXfilterDrill 2 2 4" xfId="14018"/>
    <cellStyle name="SAPBEXfilterDrill 2 3" xfId="131"/>
    <cellStyle name="SAPBEXfilterDrill 2 3 2" xfId="14019"/>
    <cellStyle name="SAPBEXfilterDrill 2 4" xfId="132"/>
    <cellStyle name="SAPBEXfilterDrill 2 4 2" xfId="14020"/>
    <cellStyle name="SAPBEXfilterDrill 2 5" xfId="14021"/>
    <cellStyle name="SAPBEXfilterDrill 3" xfId="133"/>
    <cellStyle name="SAPBEXfilterDrill 3 2" xfId="14022"/>
    <cellStyle name="SAPBEXfilterDrill 3 2 2" xfId="14023"/>
    <cellStyle name="SAPBEXfilterDrill 3 3" xfId="14024"/>
    <cellStyle name="SAPBEXfilterDrill 3 3 2" xfId="14025"/>
    <cellStyle name="SAPBEXfilterDrill 3 4" xfId="14026"/>
    <cellStyle name="SAPBEXfilterDrill 4" xfId="134"/>
    <cellStyle name="SAPBEXfilterDrill 4 2" xfId="14027"/>
    <cellStyle name="SAPBEXfilterDrill 4 2 2" xfId="14028"/>
    <cellStyle name="SAPBEXfilterDrill 4 3" xfId="14029"/>
    <cellStyle name="SAPBEXfilterDrill 4 3 2" xfId="14030"/>
    <cellStyle name="SAPBEXfilterDrill 4 4" xfId="14031"/>
    <cellStyle name="SAPBEXfilterDrill 5" xfId="135"/>
    <cellStyle name="SAPBEXfilterDrill 5 2" xfId="14032"/>
    <cellStyle name="SAPBEXfilterDrill 6" xfId="14033"/>
    <cellStyle name="SAPBEXfilterDrill 6 2" xfId="14034"/>
    <cellStyle name="SAPBEXfilterDrill 7" xfId="14035"/>
    <cellStyle name="SAPBEXfilterItem" xfId="136"/>
    <cellStyle name="SAPBEXfilterItem 2" xfId="137"/>
    <cellStyle name="SAPBEXfilterItem 2 2" xfId="14036"/>
    <cellStyle name="SAPBEXfilterItem 2 2 2" xfId="14037"/>
    <cellStyle name="SAPBEXfilterItem 2 2 3" xfId="14038"/>
    <cellStyle name="SAPBEXfilterItem 2 3" xfId="14039"/>
    <cellStyle name="SAPBEXfilterItem 2 4" xfId="14040"/>
    <cellStyle name="SAPBEXfilterItem 3" xfId="138"/>
    <cellStyle name="SAPBEXfilterItem 3 2" xfId="14041"/>
    <cellStyle name="SAPBEXfilterItem 3 3" xfId="14042"/>
    <cellStyle name="SAPBEXfilterItem 4" xfId="139"/>
    <cellStyle name="SAPBEXfilterItem 4 2" xfId="14043"/>
    <cellStyle name="SAPBEXfilterItem 4 3" xfId="14044"/>
    <cellStyle name="SAPBEXfilterItem 5" xfId="14045"/>
    <cellStyle name="SAPBEXfilterItem 6" xfId="14046"/>
    <cellStyle name="SAPBEXfilterText" xfId="140"/>
    <cellStyle name="SAPBEXfilterText 2" xfId="141"/>
    <cellStyle name="SAPBEXfilterText 3" xfId="142"/>
    <cellStyle name="SAPBEXfilterText 4" xfId="143"/>
    <cellStyle name="SAPBEXformats" xfId="144"/>
    <cellStyle name="SAPBEXformats 2" xfId="145"/>
    <cellStyle name="SAPBEXformats 2 2" xfId="146"/>
    <cellStyle name="SAPBEXformats 2 2 2" xfId="14047"/>
    <cellStyle name="SAPBEXformats 2 2 2 2" xfId="14048"/>
    <cellStyle name="SAPBEXformats 2 2 3" xfId="14049"/>
    <cellStyle name="SAPBEXformats 2 2 3 2" xfId="14050"/>
    <cellStyle name="SAPBEXformats 2 2 4" xfId="14051"/>
    <cellStyle name="SAPBEXformats 2 3" xfId="147"/>
    <cellStyle name="SAPBEXformats 2 3 2" xfId="14052"/>
    <cellStyle name="SAPBEXformats 2 3 2 2" xfId="14053"/>
    <cellStyle name="SAPBEXformats 2 3 3" xfId="14054"/>
    <cellStyle name="SAPBEXformats 2 3 3 2" xfId="14055"/>
    <cellStyle name="SAPBEXformats 2 3 4" xfId="14056"/>
    <cellStyle name="SAPBEXformats 2 4" xfId="148"/>
    <cellStyle name="SAPBEXformats 2 4 2" xfId="14057"/>
    <cellStyle name="SAPBEXformats 2 5" xfId="14058"/>
    <cellStyle name="SAPBEXformats 2 5 2" xfId="14059"/>
    <cellStyle name="SAPBEXformats 2 6" xfId="14060"/>
    <cellStyle name="SAPBEXformats 3" xfId="149"/>
    <cellStyle name="SAPBEXformats 4" xfId="150"/>
    <cellStyle name="SAPBEXformats 5" xfId="151"/>
    <cellStyle name="SAPBEXheaderItem" xfId="152"/>
    <cellStyle name="SAPBEXheaderItem 2" xfId="153"/>
    <cellStyle name="SAPBEXheaderItem 2 2" xfId="154"/>
    <cellStyle name="SAPBEXheaderItem 2 3" xfId="155"/>
    <cellStyle name="SAPBEXheaderItem 2 4" xfId="156"/>
    <cellStyle name="SAPBEXheaderItem 3" xfId="157"/>
    <cellStyle name="SAPBEXheaderItem 4" xfId="158"/>
    <cellStyle name="SAPBEXheaderItem 5" xfId="159"/>
    <cellStyle name="SAPBEXheaderText" xfId="160"/>
    <cellStyle name="SAPBEXheaderText 2" xfId="161"/>
    <cellStyle name="SAPBEXheaderText 2 2" xfId="162"/>
    <cellStyle name="SAPBEXheaderText 2 3" xfId="163"/>
    <cellStyle name="SAPBEXheaderText 2 4" xfId="164"/>
    <cellStyle name="SAPBEXheaderText 3" xfId="165"/>
    <cellStyle name="SAPBEXheaderText 4" xfId="166"/>
    <cellStyle name="SAPBEXheaderText 5" xfId="167"/>
    <cellStyle name="SAPBEXHLevel0" xfId="168"/>
    <cellStyle name="SAPBEXHLevel0 2" xfId="169"/>
    <cellStyle name="SAPBEXHLevel0 2 2" xfId="170"/>
    <cellStyle name="SAPBEXHLevel0 2 3" xfId="171"/>
    <cellStyle name="SAPBEXHLevel0 2 4" xfId="172"/>
    <cellStyle name="SAPBEXHLevel0 3" xfId="173"/>
    <cellStyle name="SAPBEXHLevel0 4" xfId="174"/>
    <cellStyle name="SAPBEXHLevel0 5" xfId="175"/>
    <cellStyle name="SAPBEXHLevel0X" xfId="176"/>
    <cellStyle name="SAPBEXHLevel0X 2" xfId="177"/>
    <cellStyle name="SAPBEXHLevel0X 2 2" xfId="178"/>
    <cellStyle name="SAPBEXHLevel0X 2 3" xfId="179"/>
    <cellStyle name="SAPBEXHLevel0X 2 4" xfId="180"/>
    <cellStyle name="SAPBEXHLevel0X 2 5" xfId="181"/>
    <cellStyle name="SAPBEXHLevel0X 3" xfId="182"/>
    <cellStyle name="SAPBEXHLevel0X 4" xfId="183"/>
    <cellStyle name="SAPBEXHLevel0X 5" xfId="184"/>
    <cellStyle name="SAPBEXHLevel1" xfId="185"/>
    <cellStyle name="SAPBEXHLevel1 2" xfId="186"/>
    <cellStyle name="SAPBEXHLevel1 2 2" xfId="187"/>
    <cellStyle name="SAPBEXHLevel1 2 3" xfId="188"/>
    <cellStyle name="SAPBEXHLevel1 2 4" xfId="189"/>
    <cellStyle name="SAPBEXHLevel1 3" xfId="190"/>
    <cellStyle name="SAPBEXHLevel1 4" xfId="191"/>
    <cellStyle name="SAPBEXHLevel1 5" xfId="192"/>
    <cellStyle name="SAPBEXHLevel1X" xfId="193"/>
    <cellStyle name="SAPBEXHLevel1X 2" xfId="194"/>
    <cellStyle name="SAPBEXHLevel1X 2 2" xfId="195"/>
    <cellStyle name="SAPBEXHLevel1X 2 3" xfId="196"/>
    <cellStyle name="SAPBEXHLevel1X 2 4" xfId="197"/>
    <cellStyle name="SAPBEXHLevel1X 2 5" xfId="198"/>
    <cellStyle name="SAPBEXHLevel1X 3" xfId="199"/>
    <cellStyle name="SAPBEXHLevel1X 4" xfId="200"/>
    <cellStyle name="SAPBEXHLevel1X 5" xfId="201"/>
    <cellStyle name="SAPBEXHLevel2" xfId="202"/>
    <cellStyle name="SAPBEXHLevel2 2" xfId="203"/>
    <cellStyle name="SAPBEXHLevel2 2 2" xfId="204"/>
    <cellStyle name="SAPBEXHLevel2 2 3" xfId="205"/>
    <cellStyle name="SAPBEXHLevel2 2 4" xfId="206"/>
    <cellStyle name="SAPBEXHLevel2 3" xfId="207"/>
    <cellStyle name="SAPBEXHLevel2 4" xfId="208"/>
    <cellStyle name="SAPBEXHLevel2 5" xfId="209"/>
    <cellStyle name="SAPBEXHLevel2X" xfId="210"/>
    <cellStyle name="SAPBEXHLevel2X 2" xfId="211"/>
    <cellStyle name="SAPBEXHLevel2X 2 2" xfId="212"/>
    <cellStyle name="SAPBEXHLevel2X 2 2 2" xfId="14061"/>
    <cellStyle name="SAPBEXHLevel2X 2 2 2 2" xfId="14062"/>
    <cellStyle name="SAPBEXHLevel2X 2 2 3" xfId="14063"/>
    <cellStyle name="SAPBEXHLevel2X 2 2 3 2" xfId="14064"/>
    <cellStyle name="SAPBEXHLevel2X 2 2 4" xfId="14065"/>
    <cellStyle name="SAPBEXHLevel2X 2 3" xfId="213"/>
    <cellStyle name="SAPBEXHLevel2X 2 3 2" xfId="14066"/>
    <cellStyle name="SAPBEXHLevel2X 2 4" xfId="214"/>
    <cellStyle name="SAPBEXHLevel2X 2 4 2" xfId="14067"/>
    <cellStyle name="SAPBEXHLevel2X 2 5" xfId="215"/>
    <cellStyle name="SAPBEXHLevel2X 3" xfId="216"/>
    <cellStyle name="SAPBEXHLevel2X 3 2" xfId="14068"/>
    <cellStyle name="SAPBEXHLevel2X 3 2 2" xfId="14069"/>
    <cellStyle name="SAPBEXHLevel2X 3 3" xfId="14070"/>
    <cellStyle name="SAPBEXHLevel2X 3 3 2" xfId="14071"/>
    <cellStyle name="SAPBEXHLevel2X 3 4" xfId="14072"/>
    <cellStyle name="SAPBEXHLevel2X 4" xfId="217"/>
    <cellStyle name="SAPBEXHLevel2X 4 2" xfId="14073"/>
    <cellStyle name="SAPBEXHLevel2X 4 2 2" xfId="14074"/>
    <cellStyle name="SAPBEXHLevel2X 4 3" xfId="14075"/>
    <cellStyle name="SAPBEXHLevel2X 4 3 2" xfId="14076"/>
    <cellStyle name="SAPBEXHLevel2X 4 4" xfId="14077"/>
    <cellStyle name="SAPBEXHLevel2X 5" xfId="218"/>
    <cellStyle name="SAPBEXHLevel2X 5 2" xfId="14078"/>
    <cellStyle name="SAPBEXHLevel2X 6" xfId="14079"/>
    <cellStyle name="SAPBEXHLevel2X 6 2" xfId="14080"/>
    <cellStyle name="SAPBEXHLevel2X 7" xfId="14081"/>
    <cellStyle name="SAPBEXHLevel3" xfId="219"/>
    <cellStyle name="SAPBEXHLevel3 2" xfId="220"/>
    <cellStyle name="SAPBEXHLevel3 2 2" xfId="221"/>
    <cellStyle name="SAPBEXHLevel3 2 3" xfId="222"/>
    <cellStyle name="SAPBEXHLevel3 2 4" xfId="223"/>
    <cellStyle name="SAPBEXHLevel3 3" xfId="224"/>
    <cellStyle name="SAPBEXHLevel3 4" xfId="225"/>
    <cellStyle name="SAPBEXHLevel3 5" xfId="226"/>
    <cellStyle name="SAPBEXHLevel3X" xfId="227"/>
    <cellStyle name="SAPBEXHLevel3X 2" xfId="228"/>
    <cellStyle name="SAPBEXHLevel3X 2 2" xfId="229"/>
    <cellStyle name="SAPBEXHLevel3X 2 2 2" xfId="14082"/>
    <cellStyle name="SAPBEXHLevel3X 2 2 2 2" xfId="14083"/>
    <cellStyle name="SAPBEXHLevel3X 2 2 3" xfId="14084"/>
    <cellStyle name="SAPBEXHLevel3X 2 2 3 2" xfId="14085"/>
    <cellStyle name="SAPBEXHLevel3X 2 2 4" xfId="14086"/>
    <cellStyle name="SAPBEXHLevel3X 2 3" xfId="230"/>
    <cellStyle name="SAPBEXHLevel3X 2 3 2" xfId="14087"/>
    <cellStyle name="SAPBEXHLevel3X 2 4" xfId="231"/>
    <cellStyle name="SAPBEXHLevel3X 2 4 2" xfId="14088"/>
    <cellStyle name="SAPBEXHLevel3X 2 5" xfId="232"/>
    <cellStyle name="SAPBEXHLevel3X 3" xfId="233"/>
    <cellStyle name="SAPBEXHLevel3X 3 2" xfId="14089"/>
    <cellStyle name="SAPBEXHLevel3X 3 2 2" xfId="14090"/>
    <cellStyle name="SAPBEXHLevel3X 3 3" xfId="14091"/>
    <cellStyle name="SAPBEXHLevel3X 3 3 2" xfId="14092"/>
    <cellStyle name="SAPBEXHLevel3X 3 4" xfId="14093"/>
    <cellStyle name="SAPBEXHLevel3X 4" xfId="234"/>
    <cellStyle name="SAPBEXHLevel3X 4 2" xfId="14094"/>
    <cellStyle name="SAPBEXHLevel3X 4 2 2" xfId="14095"/>
    <cellStyle name="SAPBEXHLevel3X 4 3" xfId="14096"/>
    <cellStyle name="SAPBEXHLevel3X 4 3 2" xfId="14097"/>
    <cellStyle name="SAPBEXHLevel3X 4 4" xfId="14098"/>
    <cellStyle name="SAPBEXHLevel3X 5" xfId="235"/>
    <cellStyle name="SAPBEXHLevel3X 5 2" xfId="14099"/>
    <cellStyle name="SAPBEXHLevel3X 6" xfId="14100"/>
    <cellStyle name="SAPBEXHLevel3X 6 2" xfId="14101"/>
    <cellStyle name="SAPBEXHLevel3X 7" xfId="14102"/>
    <cellStyle name="SAPBEXinputData" xfId="236"/>
    <cellStyle name="SAPBEXinputData 2" xfId="237"/>
    <cellStyle name="SAPBEXinputData 2 2" xfId="238"/>
    <cellStyle name="SAPBEXinputData 3" xfId="14103"/>
    <cellStyle name="SAPBEXinputData 3 2" xfId="14104"/>
    <cellStyle name="SAPBEXinputData 4" xfId="14105"/>
    <cellStyle name="SAPBEXItemHeader" xfId="239"/>
    <cellStyle name="SAPBEXItemHeader 2" xfId="240"/>
    <cellStyle name="SAPBEXItemHeader 2 2" xfId="14106"/>
    <cellStyle name="SAPBEXItemHeader 2 2 2" xfId="14107"/>
    <cellStyle name="SAPBEXItemHeader 2 3" xfId="14108"/>
    <cellStyle name="SAPBEXItemHeader 2 3 2" xfId="14109"/>
    <cellStyle name="SAPBEXItemHeader 2 4" xfId="14110"/>
    <cellStyle name="SAPBEXItemHeader 3" xfId="241"/>
    <cellStyle name="SAPBEXItemHeader 3 2" xfId="14111"/>
    <cellStyle name="SAPBEXItemHeader 3 2 2" xfId="14112"/>
    <cellStyle name="SAPBEXItemHeader 3 3" xfId="14113"/>
    <cellStyle name="SAPBEXItemHeader 3 3 2" xfId="14114"/>
    <cellStyle name="SAPBEXItemHeader 3 4" xfId="14115"/>
    <cellStyle name="SAPBEXItemHeader 4" xfId="242"/>
    <cellStyle name="SAPBEXItemHeader 4 2" xfId="14116"/>
    <cellStyle name="SAPBEXItemHeader 5" xfId="14117"/>
    <cellStyle name="SAPBEXItemHeader 5 2" xfId="14118"/>
    <cellStyle name="SAPBEXItemHeader 6" xfId="14119"/>
    <cellStyle name="SAPBEXresData" xfId="243"/>
    <cellStyle name="SAPBEXresData 2" xfId="244"/>
    <cellStyle name="SAPBEXresData 2 2" xfId="14120"/>
    <cellStyle name="SAPBEXresData 2 2 2" xfId="14121"/>
    <cellStyle name="SAPBEXresData 2 2 2 2" xfId="14122"/>
    <cellStyle name="SAPBEXresData 2 2 3" xfId="14123"/>
    <cellStyle name="SAPBEXresData 2 2 3 2" xfId="14124"/>
    <cellStyle name="SAPBEXresData 2 2 4" xfId="14125"/>
    <cellStyle name="SAPBEXresData 2 3" xfId="14126"/>
    <cellStyle name="SAPBEXresData 2 3 2" xfId="14127"/>
    <cellStyle name="SAPBEXresData 2 4" xfId="14128"/>
    <cellStyle name="SAPBEXresData 2 4 2" xfId="14129"/>
    <cellStyle name="SAPBEXresData 2 5" xfId="14130"/>
    <cellStyle name="SAPBEXresData 3" xfId="245"/>
    <cellStyle name="SAPBEXresData 3 2" xfId="14131"/>
    <cellStyle name="SAPBEXresData 3 2 2" xfId="14132"/>
    <cellStyle name="SAPBEXresData 3 3" xfId="14133"/>
    <cellStyle name="SAPBEXresData 3 3 2" xfId="14134"/>
    <cellStyle name="SAPBEXresData 3 4" xfId="14135"/>
    <cellStyle name="SAPBEXresData 4" xfId="246"/>
    <cellStyle name="SAPBEXresData 4 2" xfId="14136"/>
    <cellStyle name="SAPBEXresData 4 2 2" xfId="14137"/>
    <cellStyle name="SAPBEXresData 4 3" xfId="14138"/>
    <cellStyle name="SAPBEXresData 4 3 2" xfId="14139"/>
    <cellStyle name="SAPBEXresData 4 4" xfId="14140"/>
    <cellStyle name="SAPBEXresData 5" xfId="14141"/>
    <cellStyle name="SAPBEXresData 5 2" xfId="14142"/>
    <cellStyle name="SAPBEXresData 6" xfId="14143"/>
    <cellStyle name="SAPBEXresData 6 2" xfId="14144"/>
    <cellStyle name="SAPBEXresData 7" xfId="14145"/>
    <cellStyle name="SAPBEXresDataEmph" xfId="247"/>
    <cellStyle name="SAPBEXresDataEmph 2" xfId="248"/>
    <cellStyle name="SAPBEXresDataEmph 2 2" xfId="14146"/>
    <cellStyle name="SAPBEXresDataEmph 2 2 2" xfId="14147"/>
    <cellStyle name="SAPBEXresDataEmph 2 2 2 2" xfId="14148"/>
    <cellStyle name="SAPBEXresDataEmph 2 2 3" xfId="14149"/>
    <cellStyle name="SAPBEXresDataEmph 2 2 3 2" xfId="14150"/>
    <cellStyle name="SAPBEXresDataEmph 2 2 4" xfId="14151"/>
    <cellStyle name="SAPBEXresDataEmph 2 3" xfId="14152"/>
    <cellStyle name="SAPBEXresDataEmph 2 3 2" xfId="14153"/>
    <cellStyle name="SAPBEXresDataEmph 2 4" xfId="14154"/>
    <cellStyle name="SAPBEXresDataEmph 2 4 2" xfId="14155"/>
    <cellStyle name="SAPBEXresDataEmph 2 5" xfId="14156"/>
    <cellStyle name="SAPBEXresDataEmph 3" xfId="249"/>
    <cellStyle name="SAPBEXresDataEmph 3 2" xfId="14157"/>
    <cellStyle name="SAPBEXresDataEmph 3 2 2" xfId="14158"/>
    <cellStyle name="SAPBEXresDataEmph 3 3" xfId="14159"/>
    <cellStyle name="SAPBEXresDataEmph 3 3 2" xfId="14160"/>
    <cellStyle name="SAPBEXresDataEmph 3 4" xfId="14161"/>
    <cellStyle name="SAPBEXresDataEmph 4" xfId="250"/>
    <cellStyle name="SAPBEXresDataEmph 4 2" xfId="14162"/>
    <cellStyle name="SAPBEXresDataEmph 4 2 2" xfId="14163"/>
    <cellStyle name="SAPBEXresDataEmph 4 3" xfId="14164"/>
    <cellStyle name="SAPBEXresDataEmph 4 3 2" xfId="14165"/>
    <cellStyle name="SAPBEXresDataEmph 4 4" xfId="14166"/>
    <cellStyle name="SAPBEXresDataEmph 5" xfId="14167"/>
    <cellStyle name="SAPBEXresDataEmph 5 2" xfId="14168"/>
    <cellStyle name="SAPBEXresDataEmph 6" xfId="14169"/>
    <cellStyle name="SAPBEXresDataEmph 6 2" xfId="14170"/>
    <cellStyle name="SAPBEXresDataEmph 7" xfId="14171"/>
    <cellStyle name="SAPBEXresItem" xfId="251"/>
    <cellStyle name="SAPBEXresItem 2" xfId="252"/>
    <cellStyle name="SAPBEXresItem 2 2" xfId="14172"/>
    <cellStyle name="SAPBEXresItem 2 2 2" xfId="14173"/>
    <cellStyle name="SAPBEXresItem 2 2 2 2" xfId="14174"/>
    <cellStyle name="SAPBEXresItem 2 2 3" xfId="14175"/>
    <cellStyle name="SAPBEXresItem 2 2 3 2" xfId="14176"/>
    <cellStyle name="SAPBEXresItem 2 2 4" xfId="14177"/>
    <cellStyle name="SAPBEXresItem 2 3" xfId="14178"/>
    <cellStyle name="SAPBEXresItem 2 3 2" xfId="14179"/>
    <cellStyle name="SAPBEXresItem 2 4" xfId="14180"/>
    <cellStyle name="SAPBEXresItem 2 4 2" xfId="14181"/>
    <cellStyle name="SAPBEXresItem 2 5" xfId="14182"/>
    <cellStyle name="SAPBEXresItem 3" xfId="253"/>
    <cellStyle name="SAPBEXresItem 3 2" xfId="14183"/>
    <cellStyle name="SAPBEXresItem 3 2 2" xfId="14184"/>
    <cellStyle name="SAPBEXresItem 3 3" xfId="14185"/>
    <cellStyle name="SAPBEXresItem 3 3 2" xfId="14186"/>
    <cellStyle name="SAPBEXresItem 3 4" xfId="14187"/>
    <cellStyle name="SAPBEXresItem 4" xfId="254"/>
    <cellStyle name="SAPBEXresItem 4 2" xfId="14188"/>
    <cellStyle name="SAPBEXresItem 4 2 2" xfId="14189"/>
    <cellStyle name="SAPBEXresItem 4 3" xfId="14190"/>
    <cellStyle name="SAPBEXresItem 4 3 2" xfId="14191"/>
    <cellStyle name="SAPBEXresItem 4 4" xfId="14192"/>
    <cellStyle name="SAPBEXresItem 5" xfId="14193"/>
    <cellStyle name="SAPBEXresItem 5 2" xfId="14194"/>
    <cellStyle name="SAPBEXresItem 6" xfId="14195"/>
    <cellStyle name="SAPBEXresItem 6 2" xfId="14196"/>
    <cellStyle name="SAPBEXresItem 7" xfId="14197"/>
    <cellStyle name="SAPBEXresItemX" xfId="255"/>
    <cellStyle name="SAPBEXresItemX 2" xfId="256"/>
    <cellStyle name="SAPBEXresItemX 2 2" xfId="14198"/>
    <cellStyle name="SAPBEXresItemX 2 2 2" xfId="14199"/>
    <cellStyle name="SAPBEXresItemX 2 2 2 2" xfId="14200"/>
    <cellStyle name="SAPBEXresItemX 2 2 3" xfId="14201"/>
    <cellStyle name="SAPBEXresItemX 2 2 3 2" xfId="14202"/>
    <cellStyle name="SAPBEXresItemX 2 2 4" xfId="14203"/>
    <cellStyle name="SAPBEXresItemX 2 3" xfId="14204"/>
    <cellStyle name="SAPBEXresItemX 2 3 2" xfId="14205"/>
    <cellStyle name="SAPBEXresItemX 2 4" xfId="14206"/>
    <cellStyle name="SAPBEXresItemX 2 4 2" xfId="14207"/>
    <cellStyle name="SAPBEXresItemX 2 5" xfId="14208"/>
    <cellStyle name="SAPBEXresItemX 3" xfId="257"/>
    <cellStyle name="SAPBEXresItemX 3 2" xfId="14209"/>
    <cellStyle name="SAPBEXresItemX 3 2 2" xfId="14210"/>
    <cellStyle name="SAPBEXresItemX 3 3" xfId="14211"/>
    <cellStyle name="SAPBEXresItemX 3 3 2" xfId="14212"/>
    <cellStyle name="SAPBEXresItemX 3 4" xfId="14213"/>
    <cellStyle name="SAPBEXresItemX 4" xfId="258"/>
    <cellStyle name="SAPBEXresItemX 4 2" xfId="14214"/>
    <cellStyle name="SAPBEXresItemX 4 2 2" xfId="14215"/>
    <cellStyle name="SAPBEXresItemX 4 3" xfId="14216"/>
    <cellStyle name="SAPBEXresItemX 4 3 2" xfId="14217"/>
    <cellStyle name="SAPBEXresItemX 4 4" xfId="14218"/>
    <cellStyle name="SAPBEXresItemX 5" xfId="14219"/>
    <cellStyle name="SAPBEXresItemX 5 2" xfId="14220"/>
    <cellStyle name="SAPBEXresItemX 6" xfId="14221"/>
    <cellStyle name="SAPBEXresItemX 6 2" xfId="14222"/>
    <cellStyle name="SAPBEXresItemX 7" xfId="14223"/>
    <cellStyle name="SAPBEXstdData" xfId="259"/>
    <cellStyle name="SAPBEXstdData 2" xfId="260"/>
    <cellStyle name="SAPBEXstdData 2 2" xfId="261"/>
    <cellStyle name="SAPBEXstdData 2 2 2" xfId="14224"/>
    <cellStyle name="SAPBEXstdData 2 2 2 2" xfId="14225"/>
    <cellStyle name="SAPBEXstdData 2 2 3" xfId="14226"/>
    <cellStyle name="SAPBEXstdData 2 2 3 2" xfId="14227"/>
    <cellStyle name="SAPBEXstdData 2 2 4" xfId="14228"/>
    <cellStyle name="SAPBEXstdData 2 3" xfId="262"/>
    <cellStyle name="SAPBEXstdData 2 3 2" xfId="14229"/>
    <cellStyle name="SAPBEXstdData 2 3 2 2" xfId="14230"/>
    <cellStyle name="SAPBEXstdData 2 3 3" xfId="14231"/>
    <cellStyle name="SAPBEXstdData 2 3 3 2" xfId="14232"/>
    <cellStyle name="SAPBEXstdData 2 3 4" xfId="14233"/>
    <cellStyle name="SAPBEXstdData 2 4" xfId="263"/>
    <cellStyle name="SAPBEXstdData 2 4 2" xfId="14234"/>
    <cellStyle name="SAPBEXstdData 2 5" xfId="14235"/>
    <cellStyle name="SAPBEXstdData 2 5 2" xfId="14236"/>
    <cellStyle name="SAPBEXstdData 2 6" xfId="14237"/>
    <cellStyle name="SAPBEXstdData 22 2" xfId="14238"/>
    <cellStyle name="SAPBEXstdData 22 2 2" xfId="14239"/>
    <cellStyle name="SAPBEXstdData 3" xfId="264"/>
    <cellStyle name="SAPBEXstdData 3 2" xfId="14240"/>
    <cellStyle name="SAPBEXstdData 3 2 2" xfId="14241"/>
    <cellStyle name="SAPBEXstdData 3 3" xfId="14242"/>
    <cellStyle name="SAPBEXstdData 3 3 2" xfId="14243"/>
    <cellStyle name="SAPBEXstdData 3 4" xfId="14244"/>
    <cellStyle name="SAPBEXstdData 4" xfId="265"/>
    <cellStyle name="SAPBEXstdData 4 2" xfId="14245"/>
    <cellStyle name="SAPBEXstdData 4 2 2" xfId="14246"/>
    <cellStyle name="SAPBEXstdData 4 3" xfId="14247"/>
    <cellStyle name="SAPBEXstdData 4 3 2" xfId="14248"/>
    <cellStyle name="SAPBEXstdData 4 4" xfId="14249"/>
    <cellStyle name="SAPBEXstdData 5" xfId="266"/>
    <cellStyle name="SAPBEXstdData 5 2" xfId="14250"/>
    <cellStyle name="SAPBEXstdData 6" xfId="14251"/>
    <cellStyle name="SAPBEXstdData 6 2" xfId="14252"/>
    <cellStyle name="SAPBEXstdData 7" xfId="14253"/>
    <cellStyle name="SAPBEXstdDataEmph" xfId="267"/>
    <cellStyle name="SAPBEXstdDataEmph 2" xfId="268"/>
    <cellStyle name="SAPBEXstdDataEmph 2 2" xfId="14254"/>
    <cellStyle name="SAPBEXstdDataEmph 2 2 2" xfId="14255"/>
    <cellStyle name="SAPBEXstdDataEmph 2 2 2 2" xfId="14256"/>
    <cellStyle name="SAPBEXstdDataEmph 2 2 3" xfId="14257"/>
    <cellStyle name="SAPBEXstdDataEmph 2 2 3 2" xfId="14258"/>
    <cellStyle name="SAPBEXstdDataEmph 2 2 4" xfId="14259"/>
    <cellStyle name="SAPBEXstdDataEmph 2 3" xfId="14260"/>
    <cellStyle name="SAPBEXstdDataEmph 2 3 2" xfId="14261"/>
    <cellStyle name="SAPBEXstdDataEmph 2 4" xfId="14262"/>
    <cellStyle name="SAPBEXstdDataEmph 2 4 2" xfId="14263"/>
    <cellStyle name="SAPBEXstdDataEmph 2 5" xfId="14264"/>
    <cellStyle name="SAPBEXstdDataEmph 3" xfId="269"/>
    <cellStyle name="SAPBEXstdDataEmph 3 2" xfId="14265"/>
    <cellStyle name="SAPBEXstdDataEmph 3 2 2" xfId="14266"/>
    <cellStyle name="SAPBEXstdDataEmph 3 3" xfId="14267"/>
    <cellStyle name="SAPBEXstdDataEmph 3 3 2" xfId="14268"/>
    <cellStyle name="SAPBEXstdDataEmph 3 4" xfId="14269"/>
    <cellStyle name="SAPBEXstdDataEmph 4" xfId="270"/>
    <cellStyle name="SAPBEXstdDataEmph 4 2" xfId="14270"/>
    <cellStyle name="SAPBEXstdDataEmph 4 2 2" xfId="14271"/>
    <cellStyle name="SAPBEXstdDataEmph 4 3" xfId="14272"/>
    <cellStyle name="SAPBEXstdDataEmph 4 3 2" xfId="14273"/>
    <cellStyle name="SAPBEXstdDataEmph 4 4" xfId="14274"/>
    <cellStyle name="SAPBEXstdDataEmph 5" xfId="14275"/>
    <cellStyle name="SAPBEXstdDataEmph 5 2" xfId="14276"/>
    <cellStyle name="SAPBEXstdDataEmph 6" xfId="14277"/>
    <cellStyle name="SAPBEXstdDataEmph 6 2" xfId="14278"/>
    <cellStyle name="SAPBEXstdDataEmph 7" xfId="14279"/>
    <cellStyle name="SAPBEXstdItem" xfId="271"/>
    <cellStyle name="SAPBEXstdItem 2" xfId="272"/>
    <cellStyle name="SAPBEXstdItem 2 2" xfId="273"/>
    <cellStyle name="SAPBEXstdItem 2 2 2" xfId="14280"/>
    <cellStyle name="SAPBEXstdItem 2 2 2 2" xfId="14281"/>
    <cellStyle name="SAPBEXstdItem 2 2 3" xfId="14282"/>
    <cellStyle name="SAPBEXstdItem 2 2 3 2" xfId="14283"/>
    <cellStyle name="SAPBEXstdItem 2 2 4" xfId="14284"/>
    <cellStyle name="SAPBEXstdItem 2 3" xfId="274"/>
    <cellStyle name="SAPBEXstdItem 2 3 2" xfId="14285"/>
    <cellStyle name="SAPBEXstdItem 2 3 2 2" xfId="14286"/>
    <cellStyle name="SAPBEXstdItem 2 3 3" xfId="14287"/>
    <cellStyle name="SAPBEXstdItem 2 3 3 2" xfId="14288"/>
    <cellStyle name="SAPBEXstdItem 2 3 4" xfId="14289"/>
    <cellStyle name="SAPBEXstdItem 2 4" xfId="275"/>
    <cellStyle name="SAPBEXstdItem 2 4 2" xfId="14290"/>
    <cellStyle name="SAPBEXstdItem 2 5" xfId="14291"/>
    <cellStyle name="SAPBEXstdItem 2 5 2" xfId="14292"/>
    <cellStyle name="SAPBEXstdItem 2 6" xfId="14293"/>
    <cellStyle name="SAPBEXstdItem 3" xfId="276"/>
    <cellStyle name="SAPBEXstdItem 3 2" xfId="277"/>
    <cellStyle name="SAPBEXstdItem 4" xfId="278"/>
    <cellStyle name="SAPBEXstdItem 5" xfId="279"/>
    <cellStyle name="SAPBEXstdItemX" xfId="280"/>
    <cellStyle name="SAPBEXstdItemX 2" xfId="281"/>
    <cellStyle name="SAPBEXstdItemX 3" xfId="282"/>
    <cellStyle name="SAPBEXstdItemX 4" xfId="283"/>
    <cellStyle name="SAPBEXtitle" xfId="284"/>
    <cellStyle name="SAPBEXtitle 2" xfId="285"/>
    <cellStyle name="SAPBEXtitle 3" xfId="286"/>
    <cellStyle name="SAPBEXtitle 4" xfId="287"/>
    <cellStyle name="SAPBEXunassignedItem" xfId="288"/>
    <cellStyle name="SAPBEXunassignedItem 2" xfId="289"/>
    <cellStyle name="SAPBEXunassignedItem 2 2" xfId="290"/>
    <cellStyle name="SAPBEXunassignedItem 2 3" xfId="291"/>
    <cellStyle name="SAPBEXunassignedItem 2 4" xfId="292"/>
    <cellStyle name="SAPBEXunassignedItem 3" xfId="293"/>
    <cellStyle name="SAPBEXunassignedItem 3 2" xfId="14294"/>
    <cellStyle name="SAPBEXunassignedItem 4" xfId="294"/>
    <cellStyle name="SAPBEXunassignedItem 5" xfId="295"/>
    <cellStyle name="SAPBEXundefined" xfId="296"/>
    <cellStyle name="SAPBEXundefined 2" xfId="297"/>
    <cellStyle name="SAPBEXundefined 2 2" xfId="14295"/>
    <cellStyle name="SAPBEXundefined 2 2 2" xfId="14296"/>
    <cellStyle name="SAPBEXundefined 2 2 2 2" xfId="14297"/>
    <cellStyle name="SAPBEXundefined 2 2 3" xfId="14298"/>
    <cellStyle name="SAPBEXundefined 2 2 3 2" xfId="14299"/>
    <cellStyle name="SAPBEXundefined 2 2 4" xfId="14300"/>
    <cellStyle name="SAPBEXundefined 2 3" xfId="14301"/>
    <cellStyle name="SAPBEXundefined 2 3 2" xfId="14302"/>
    <cellStyle name="SAPBEXundefined 2 4" xfId="14303"/>
    <cellStyle name="SAPBEXundefined 2 4 2" xfId="14304"/>
    <cellStyle name="SAPBEXundefined 2 5" xfId="14305"/>
    <cellStyle name="SAPBEXundefined 3" xfId="298"/>
    <cellStyle name="SAPBEXundefined 3 2" xfId="14306"/>
    <cellStyle name="SAPBEXundefined 3 2 2" xfId="14307"/>
    <cellStyle name="SAPBEXundefined 3 3" xfId="14308"/>
    <cellStyle name="SAPBEXundefined 3 3 2" xfId="14309"/>
    <cellStyle name="SAPBEXundefined 3 4" xfId="14310"/>
    <cellStyle name="SAPBEXundefined 4" xfId="299"/>
    <cellStyle name="SAPBEXundefined 4 2" xfId="14311"/>
    <cellStyle name="SAPBEXundefined 4 2 2" xfId="14312"/>
    <cellStyle name="SAPBEXundefined 4 3" xfId="14313"/>
    <cellStyle name="SAPBEXundefined 4 3 2" xfId="14314"/>
    <cellStyle name="SAPBEXundefined 4 4" xfId="14315"/>
    <cellStyle name="SAPBEXundefined 5" xfId="14316"/>
    <cellStyle name="SAPBEXundefined 5 2" xfId="14317"/>
    <cellStyle name="SAPBEXundefined 6" xfId="14318"/>
    <cellStyle name="SAPBEXundefined 6 2" xfId="14319"/>
    <cellStyle name="SAPBEXundefined 7" xfId="14320"/>
    <cellStyle name="ScotchRule" xfId="14321"/>
    <cellStyle name="ScotchRule 2" xfId="14322"/>
    <cellStyle name="ScotchRule 2 2" xfId="14323"/>
    <cellStyle name="ScotchRule 3" xfId="14324"/>
    <cellStyle name="ScotchRule 3 2" xfId="14325"/>
    <cellStyle name="ScotchRule 4" xfId="14326"/>
    <cellStyle name="ScotchRule 4 2" xfId="14327"/>
    <cellStyle name="ScotchRule 5" xfId="14328"/>
    <cellStyle name="Sheet Title" xfId="300"/>
    <cellStyle name="Single Accounting" xfId="14329"/>
    <cellStyle name="Single Accounting 2" xfId="14330"/>
    <cellStyle name="Single Accounting 3" xfId="14331"/>
    <cellStyle name="Single Accounting 4" xfId="14332"/>
    <cellStyle name="small" xfId="14333"/>
    <cellStyle name="small 2" xfId="14334"/>
    <cellStyle name="small 2 2" xfId="14335"/>
    <cellStyle name="small 3" xfId="14336"/>
    <cellStyle name="small 3 2" xfId="14337"/>
    <cellStyle name="small 4" xfId="14338"/>
    <cellStyle name="small 4 2" xfId="14339"/>
    <cellStyle name="small 5" xfId="14340"/>
    <cellStyle name="Standard_tabelle" xfId="14341"/>
    <cellStyle name="Subtitle" xfId="14342"/>
    <cellStyle name="Subtitle 2" xfId="14343"/>
    <cellStyle name="Subtitle 3" xfId="14344"/>
    <cellStyle name="Subtitle 4" xfId="14345"/>
    <cellStyle name="SUCH" xfId="14346"/>
    <cellStyle name="Summary style" xfId="301"/>
    <cellStyle name="Table Head" xfId="14347"/>
    <cellStyle name="Table Head 2" xfId="14348"/>
    <cellStyle name="Table Head 3" xfId="14349"/>
    <cellStyle name="Table Head 4" xfId="14350"/>
    <cellStyle name="Table Head Aligned" xfId="14351"/>
    <cellStyle name="Table Head Aligned 2" xfId="14352"/>
    <cellStyle name="Table Head Aligned 3" xfId="14353"/>
    <cellStyle name="Table Head Aligned 4" xfId="14354"/>
    <cellStyle name="Table Head Blue" xfId="14355"/>
    <cellStyle name="Table Head Blue 2" xfId="14356"/>
    <cellStyle name="Table Head Blue 3" xfId="14357"/>
    <cellStyle name="Table Head Blue 4" xfId="14358"/>
    <cellStyle name="Table Head Green" xfId="14359"/>
    <cellStyle name="Table Head Green 2" xfId="14360"/>
    <cellStyle name="Table Head Green 3" xfId="14361"/>
    <cellStyle name="Table Head Green 4" xfId="14362"/>
    <cellStyle name="Table Head_Val_Sum_Graph" xfId="14363"/>
    <cellStyle name="Table Text" xfId="14364"/>
    <cellStyle name="Table Text 2" xfId="14365"/>
    <cellStyle name="Table Text 3" xfId="14366"/>
    <cellStyle name="Table Text 4" xfId="14367"/>
    <cellStyle name="Table Title" xfId="14368"/>
    <cellStyle name="Table Title 2" xfId="14369"/>
    <cellStyle name="Table Title 3" xfId="14370"/>
    <cellStyle name="Table Title 4" xfId="14371"/>
    <cellStyle name="Table Units" xfId="14372"/>
    <cellStyle name="Table Units 2" xfId="14373"/>
    <cellStyle name="Table Units 3" xfId="14374"/>
    <cellStyle name="Table Units 4" xfId="14375"/>
    <cellStyle name="Table_Header" xfId="14376"/>
    <cellStyle name="Text 1" xfId="14377"/>
    <cellStyle name="Text 1 2" xfId="14378"/>
    <cellStyle name="Text 1 3" xfId="14379"/>
    <cellStyle name="Text 1 4" xfId="14380"/>
    <cellStyle name="Text Head 1" xfId="14381"/>
    <cellStyle name="Text Head 1 2" xfId="14382"/>
    <cellStyle name="Text Head 1 3" xfId="14383"/>
    <cellStyle name="Text Head 1 4" xfId="14384"/>
    <cellStyle name="Text Indent A" xfId="14385"/>
    <cellStyle name="Text Indent B" xfId="14386"/>
    <cellStyle name="Text Indent B 2" xfId="14387"/>
    <cellStyle name="Text Indent C" xfId="14388"/>
    <cellStyle name="Text Indent C 2" xfId="14389"/>
    <cellStyle name="Times 10" xfId="14390"/>
    <cellStyle name="Times 10 2" xfId="14391"/>
    <cellStyle name="Times 10 3" xfId="14392"/>
    <cellStyle name="Times 10 4" xfId="14393"/>
    <cellStyle name="Times 12" xfId="14394"/>
    <cellStyle name="Times 12 2" xfId="14395"/>
    <cellStyle name="Times 12 3" xfId="14396"/>
    <cellStyle name="Times 12 4" xfId="14397"/>
    <cellStyle name="Times New Roman01100000015536870911" xfId="14398"/>
    <cellStyle name="Times New Roman01101000015536870911" xfId="14399"/>
    <cellStyle name="Times New Roman01121000015536870911" xfId="14400"/>
    <cellStyle name="Times New Roman0181000015536870911" xfId="14401"/>
    <cellStyle name="Times New Roman0181000015536870911 2" xfId="14402"/>
    <cellStyle name="Times New Roman0181000015536870911 2 2" xfId="14403"/>
    <cellStyle name="Times New Roman0181000015536870911 2 2 2" xfId="14404"/>
    <cellStyle name="Times New Roman0181000015536870911 2 3" xfId="14405"/>
    <cellStyle name="Times New Roman0181000015536870911 2 3 2" xfId="14406"/>
    <cellStyle name="Times New Roman0181000015536870911 2 4" xfId="14407"/>
    <cellStyle name="Times New Roman0181000015536870911 3" xfId="14408"/>
    <cellStyle name="Times New Roman0181000015536870911 3 2" xfId="14409"/>
    <cellStyle name="Times New Roman0181000015536870911 3 2 2" xfId="14410"/>
    <cellStyle name="Times New Roman0181000015536870911 3 3" xfId="14411"/>
    <cellStyle name="Times New Roman0181000015536870911 3 3 2" xfId="14412"/>
    <cellStyle name="Times New Roman0181000015536870911 3 4" xfId="14413"/>
    <cellStyle name="Times New Roman0181000015536870911 4" xfId="14414"/>
    <cellStyle name="Times New Roman0181000015536870911 4 2" xfId="14415"/>
    <cellStyle name="Times New Roman0181000015536870911 5" xfId="14416"/>
    <cellStyle name="Times New Roman0181000015536870911 5 2" xfId="14417"/>
    <cellStyle name="Times New Roman0181000015536870911 6" xfId="14418"/>
    <cellStyle name="Title" xfId="14419"/>
    <cellStyle name="Title 2" xfId="14420"/>
    <cellStyle name="Title 3" xfId="14421"/>
    <cellStyle name="Title 4" xfId="14422"/>
    <cellStyle name="TL_CheckBox" xfId="14423"/>
    <cellStyle name="To" xfId="14424"/>
    <cellStyle name="To 2" xfId="14425"/>
    <cellStyle name="To 3" xfId="14426"/>
    <cellStyle name="To 4" xfId="14427"/>
    <cellStyle name="Total" xfId="14428"/>
    <cellStyle name="Total 10" xfId="14429"/>
    <cellStyle name="Total 11" xfId="14430"/>
    <cellStyle name="Total 12" xfId="14431"/>
    <cellStyle name="Total 13" xfId="14432"/>
    <cellStyle name="Total 14" xfId="14433"/>
    <cellStyle name="Total 2" xfId="14434"/>
    <cellStyle name="Total 2 2" xfId="14435"/>
    <cellStyle name="Total 2 2 2" xfId="14436"/>
    <cellStyle name="Total 2 2 2 2" xfId="14437"/>
    <cellStyle name="Total 2 2 3" xfId="14438"/>
    <cellStyle name="Total 2 2 3 2" xfId="14439"/>
    <cellStyle name="Total 2 2 4" xfId="14440"/>
    <cellStyle name="Total 2 3" xfId="14441"/>
    <cellStyle name="Total 2 3 2" xfId="14442"/>
    <cellStyle name="Total 2 3 2 2" xfId="14443"/>
    <cellStyle name="Total 2 3 3" xfId="14444"/>
    <cellStyle name="Total 2 3 3 2" xfId="14445"/>
    <cellStyle name="Total 2 3 4" xfId="14446"/>
    <cellStyle name="Total 2 4" xfId="14447"/>
    <cellStyle name="Total 2 4 2" xfId="14448"/>
    <cellStyle name="Total 2 4 2 2" xfId="14449"/>
    <cellStyle name="Total 2 4 3" xfId="14450"/>
    <cellStyle name="Total 2 4 3 2" xfId="14451"/>
    <cellStyle name="Total 2 4 4" xfId="14452"/>
    <cellStyle name="Total 2 5" xfId="14453"/>
    <cellStyle name="Total 2 5 2" xfId="14454"/>
    <cellStyle name="Total 2 6" xfId="14455"/>
    <cellStyle name="Total 2 6 2" xfId="14456"/>
    <cellStyle name="Total 2 7" xfId="14457"/>
    <cellStyle name="Total 3" xfId="14458"/>
    <cellStyle name="Total 3 2" xfId="14459"/>
    <cellStyle name="Total 3 2 2" xfId="14460"/>
    <cellStyle name="Total 3 2 2 2" xfId="14461"/>
    <cellStyle name="Total 3 2 3" xfId="14462"/>
    <cellStyle name="Total 3 2 3 2" xfId="14463"/>
    <cellStyle name="Total 3 2 4" xfId="14464"/>
    <cellStyle name="Total 3 3" xfId="14465"/>
    <cellStyle name="Total 3 3 2" xfId="14466"/>
    <cellStyle name="Total 3 3 2 2" xfId="14467"/>
    <cellStyle name="Total 3 3 3" xfId="14468"/>
    <cellStyle name="Total 3 3 3 2" xfId="14469"/>
    <cellStyle name="Total 3 3 4" xfId="14470"/>
    <cellStyle name="Total 3 4" xfId="14471"/>
    <cellStyle name="Total 3 4 2" xfId="14472"/>
    <cellStyle name="Total 3 4 2 2" xfId="14473"/>
    <cellStyle name="Total 3 4 3" xfId="14474"/>
    <cellStyle name="Total 3 4 3 2" xfId="14475"/>
    <cellStyle name="Total 3 4 4" xfId="14476"/>
    <cellStyle name="Total 3 5" xfId="14477"/>
    <cellStyle name="Total 3 5 2" xfId="14478"/>
    <cellStyle name="Total 3 6" xfId="14479"/>
    <cellStyle name="Total 3 6 2" xfId="14480"/>
    <cellStyle name="Total 3 7" xfId="14481"/>
    <cellStyle name="Total 4" xfId="14482"/>
    <cellStyle name="Total 4 2" xfId="14483"/>
    <cellStyle name="Total 4 2 2" xfId="14484"/>
    <cellStyle name="Total 4 2 2 2" xfId="14485"/>
    <cellStyle name="Total 4 2 3" xfId="14486"/>
    <cellStyle name="Total 4 2 3 2" xfId="14487"/>
    <cellStyle name="Total 4 2 4" xfId="14488"/>
    <cellStyle name="Total 4 3" xfId="14489"/>
    <cellStyle name="Total 4 3 2" xfId="14490"/>
    <cellStyle name="Total 4 3 2 2" xfId="14491"/>
    <cellStyle name="Total 4 3 3" xfId="14492"/>
    <cellStyle name="Total 4 3 3 2" xfId="14493"/>
    <cellStyle name="Total 4 3 4" xfId="14494"/>
    <cellStyle name="Total 4 4" xfId="14495"/>
    <cellStyle name="Total 4 4 2" xfId="14496"/>
    <cellStyle name="Total 4 4 2 2" xfId="14497"/>
    <cellStyle name="Total 4 4 3" xfId="14498"/>
    <cellStyle name="Total 4 4 3 2" xfId="14499"/>
    <cellStyle name="Total 4 4 4" xfId="14500"/>
    <cellStyle name="Total 4 5" xfId="14501"/>
    <cellStyle name="Total 4 5 2" xfId="14502"/>
    <cellStyle name="Total 4 6" xfId="14503"/>
    <cellStyle name="Total 4 6 2" xfId="14504"/>
    <cellStyle name="Total 4 7" xfId="14505"/>
    <cellStyle name="Total 5" xfId="14506"/>
    <cellStyle name="Total 5 2" xfId="14507"/>
    <cellStyle name="Total 5 2 2" xfId="14508"/>
    <cellStyle name="Total 5 3" xfId="14509"/>
    <cellStyle name="Total 5 3 2" xfId="14510"/>
    <cellStyle name="Total 5 4" xfId="14511"/>
    <cellStyle name="Total 6" xfId="14512"/>
    <cellStyle name="Total 6 2" xfId="14513"/>
    <cellStyle name="Total 6 2 2" xfId="14514"/>
    <cellStyle name="Total 6 3" xfId="14515"/>
    <cellStyle name="Total 6 3 2" xfId="14516"/>
    <cellStyle name="Total 6 4" xfId="14517"/>
    <cellStyle name="Total 7" xfId="14518"/>
    <cellStyle name="Total 7 2" xfId="14519"/>
    <cellStyle name="Total 8" xfId="14520"/>
    <cellStyle name="Total 8 2" xfId="14521"/>
    <cellStyle name="Total 9" xfId="14522"/>
    <cellStyle name="Underline_Single" xfId="14523"/>
    <cellStyle name="Valiotsikko" xfId="14524"/>
    <cellStyle name="Valiotsikko 2" xfId="14525"/>
    <cellStyle name="Valiotsikko 3" xfId="14526"/>
    <cellStyle name="Valiotsikko 4" xfId="14527"/>
    <cellStyle name="Valuta [0]_Arcen" xfId="14528"/>
    <cellStyle name="Valuta_Arcen" xfId="14529"/>
    <cellStyle name="Vдliotsikko" xfId="14530"/>
    <cellStyle name="Vдliotsikko 2" xfId="14531"/>
    <cellStyle name="Vдliotsikko 3" xfId="14532"/>
    <cellStyle name="Vдliotsikko 4" xfId="14533"/>
    <cellStyle name="Warning Text" xfId="14534"/>
    <cellStyle name="WIP" xfId="14535"/>
    <cellStyle name="WIP 2" xfId="14536"/>
    <cellStyle name="WIP 3" xfId="14537"/>
    <cellStyle name="WIP 4" xfId="14538"/>
    <cellStyle name="WK? Settings" xfId="14539"/>
    <cellStyle name="year" xfId="14540"/>
    <cellStyle name="year 2" xfId="14541"/>
    <cellStyle name="year 2 2" xfId="14542"/>
    <cellStyle name="year 3" xfId="14543"/>
    <cellStyle name="year 3 2" xfId="14544"/>
    <cellStyle name="year 4" xfId="14545"/>
    <cellStyle name="year 4 2" xfId="14546"/>
    <cellStyle name="year 5" xfId="14547"/>
    <cellStyle name="Yen" xfId="14548"/>
    <cellStyle name="zas_style1" xfId="14549"/>
    <cellStyle name="Zero" xfId="14550"/>
    <cellStyle name="ZTOTAL 3" xfId="14551"/>
    <cellStyle name="Акцент1 10" xfId="14552"/>
    <cellStyle name="Акцент1 100" xfId="14553"/>
    <cellStyle name="Акцент1 101" xfId="14554"/>
    <cellStyle name="Акцент1 102" xfId="14555"/>
    <cellStyle name="Акцент1 103" xfId="14556"/>
    <cellStyle name="Акцент1 104" xfId="14557"/>
    <cellStyle name="Акцент1 105" xfId="14558"/>
    <cellStyle name="Акцент1 106" xfId="14559"/>
    <cellStyle name="Акцент1 107" xfId="14560"/>
    <cellStyle name="Акцент1 108" xfId="14561"/>
    <cellStyle name="Акцент1 109" xfId="14562"/>
    <cellStyle name="Акцент1 11" xfId="14563"/>
    <cellStyle name="Акцент1 110" xfId="14564"/>
    <cellStyle name="Акцент1 111" xfId="14565"/>
    <cellStyle name="Акцент1 112" xfId="14566"/>
    <cellStyle name="Акцент1 113" xfId="14567"/>
    <cellStyle name="Акцент1 114" xfId="14568"/>
    <cellStyle name="Акцент1 115" xfId="14569"/>
    <cellStyle name="Акцент1 116" xfId="14570"/>
    <cellStyle name="Акцент1 117" xfId="14571"/>
    <cellStyle name="Акцент1 118" xfId="14572"/>
    <cellStyle name="Акцент1 119" xfId="14573"/>
    <cellStyle name="Акцент1 12" xfId="14574"/>
    <cellStyle name="Акцент1 120" xfId="14575"/>
    <cellStyle name="Акцент1 121" xfId="14576"/>
    <cellStyle name="Акцент1 122" xfId="14577"/>
    <cellStyle name="Акцент1 123" xfId="14578"/>
    <cellStyle name="Акцент1 124" xfId="14579"/>
    <cellStyle name="Акцент1 125" xfId="14580"/>
    <cellStyle name="Акцент1 126" xfId="14581"/>
    <cellStyle name="Акцент1 127" xfId="14582"/>
    <cellStyle name="Акцент1 128" xfId="14583"/>
    <cellStyle name="Акцент1 129" xfId="14584"/>
    <cellStyle name="Акцент1 13" xfId="14585"/>
    <cellStyle name="Акцент1 130" xfId="14586"/>
    <cellStyle name="Акцент1 131" xfId="14587"/>
    <cellStyle name="Акцент1 132" xfId="14588"/>
    <cellStyle name="Акцент1 133" xfId="14589"/>
    <cellStyle name="Акцент1 134" xfId="14590"/>
    <cellStyle name="Акцент1 135" xfId="14591"/>
    <cellStyle name="Акцент1 136" xfId="14592"/>
    <cellStyle name="Акцент1 137" xfId="14593"/>
    <cellStyle name="Акцент1 138" xfId="14594"/>
    <cellStyle name="Акцент1 139" xfId="14595"/>
    <cellStyle name="Акцент1 14" xfId="14596"/>
    <cellStyle name="Акцент1 140" xfId="14597"/>
    <cellStyle name="Акцент1 141" xfId="14598"/>
    <cellStyle name="Акцент1 142" xfId="14599"/>
    <cellStyle name="Акцент1 143" xfId="14600"/>
    <cellStyle name="Акцент1 144" xfId="14601"/>
    <cellStyle name="Акцент1 145" xfId="14602"/>
    <cellStyle name="Акцент1 146" xfId="14603"/>
    <cellStyle name="Акцент1 147" xfId="14604"/>
    <cellStyle name="Акцент1 148" xfId="14605"/>
    <cellStyle name="Акцент1 149" xfId="14606"/>
    <cellStyle name="Акцент1 15" xfId="14607"/>
    <cellStyle name="Акцент1 150" xfId="14608"/>
    <cellStyle name="Акцент1 151" xfId="14609"/>
    <cellStyle name="Акцент1 152" xfId="14610"/>
    <cellStyle name="Акцент1 16" xfId="14611"/>
    <cellStyle name="Акцент1 17" xfId="14612"/>
    <cellStyle name="Акцент1 18" xfId="14613"/>
    <cellStyle name="Акцент1 19" xfId="14614"/>
    <cellStyle name="Акцент1 2" xfId="302"/>
    <cellStyle name="Акцент1 2 2" xfId="14615"/>
    <cellStyle name="Акцент1 2 3" xfId="14616"/>
    <cellStyle name="Акцент1 2 4" xfId="14617"/>
    <cellStyle name="Акцент1 2 5" xfId="14618"/>
    <cellStyle name="Акцент1 2 6" xfId="14619"/>
    <cellStyle name="Акцент1 2 7" xfId="14620"/>
    <cellStyle name="Акцент1 20" xfId="14621"/>
    <cellStyle name="Акцент1 20 2" xfId="14622"/>
    <cellStyle name="Акцент1 21" xfId="14623"/>
    <cellStyle name="Акцент1 22" xfId="14624"/>
    <cellStyle name="Акцент1 23" xfId="14625"/>
    <cellStyle name="Акцент1 24" xfId="14626"/>
    <cellStyle name="Акцент1 25" xfId="14627"/>
    <cellStyle name="Акцент1 26" xfId="14628"/>
    <cellStyle name="Акцент1 27" xfId="14629"/>
    <cellStyle name="Акцент1 28" xfId="14630"/>
    <cellStyle name="Акцент1 29" xfId="14631"/>
    <cellStyle name="Акцент1 3" xfId="14632"/>
    <cellStyle name="Акцент1 30" xfId="14633"/>
    <cellStyle name="Акцент1 31" xfId="14634"/>
    <cellStyle name="Акцент1 32" xfId="14635"/>
    <cellStyle name="Акцент1 33" xfId="14636"/>
    <cellStyle name="Акцент1 34" xfId="14637"/>
    <cellStyle name="Акцент1 35" xfId="14638"/>
    <cellStyle name="Акцент1 36" xfId="14639"/>
    <cellStyle name="Акцент1 37" xfId="14640"/>
    <cellStyle name="Акцент1 38" xfId="14641"/>
    <cellStyle name="Акцент1 39" xfId="14642"/>
    <cellStyle name="Акцент1 4" xfId="14643"/>
    <cellStyle name="Акцент1 40" xfId="14644"/>
    <cellStyle name="Акцент1 41" xfId="14645"/>
    <cellStyle name="Акцент1 42" xfId="14646"/>
    <cellStyle name="Акцент1 43" xfId="14647"/>
    <cellStyle name="Акцент1 44" xfId="14648"/>
    <cellStyle name="Акцент1 45" xfId="14649"/>
    <cellStyle name="Акцент1 46" xfId="14650"/>
    <cellStyle name="Акцент1 47" xfId="14651"/>
    <cellStyle name="Акцент1 48" xfId="14652"/>
    <cellStyle name="Акцент1 49" xfId="14653"/>
    <cellStyle name="Акцент1 5" xfId="14654"/>
    <cellStyle name="Акцент1 50" xfId="14655"/>
    <cellStyle name="Акцент1 51" xfId="14656"/>
    <cellStyle name="Акцент1 52" xfId="14657"/>
    <cellStyle name="Акцент1 53" xfId="14658"/>
    <cellStyle name="Акцент1 54" xfId="14659"/>
    <cellStyle name="Акцент1 55" xfId="14660"/>
    <cellStyle name="Акцент1 56" xfId="14661"/>
    <cellStyle name="Акцент1 57" xfId="14662"/>
    <cellStyle name="Акцент1 58" xfId="14663"/>
    <cellStyle name="Акцент1 59" xfId="14664"/>
    <cellStyle name="Акцент1 6" xfId="14665"/>
    <cellStyle name="Акцент1 60" xfId="14666"/>
    <cellStyle name="Акцент1 61" xfId="14667"/>
    <cellStyle name="Акцент1 62" xfId="14668"/>
    <cellStyle name="Акцент1 63" xfId="14669"/>
    <cellStyle name="Акцент1 64" xfId="14670"/>
    <cellStyle name="Акцент1 65" xfId="14671"/>
    <cellStyle name="Акцент1 66" xfId="14672"/>
    <cellStyle name="Акцент1 67" xfId="14673"/>
    <cellStyle name="Акцент1 68" xfId="14674"/>
    <cellStyle name="Акцент1 69" xfId="14675"/>
    <cellStyle name="Акцент1 7" xfId="14676"/>
    <cellStyle name="Акцент1 70" xfId="14677"/>
    <cellStyle name="Акцент1 71" xfId="14678"/>
    <cellStyle name="Акцент1 72" xfId="14679"/>
    <cellStyle name="Акцент1 73" xfId="14680"/>
    <cellStyle name="Акцент1 74" xfId="14681"/>
    <cellStyle name="Акцент1 75" xfId="14682"/>
    <cellStyle name="Акцент1 76" xfId="14683"/>
    <cellStyle name="Акцент1 77" xfId="14684"/>
    <cellStyle name="Акцент1 78" xfId="14685"/>
    <cellStyle name="Акцент1 79" xfId="14686"/>
    <cellStyle name="Акцент1 8" xfId="14687"/>
    <cellStyle name="Акцент1 80" xfId="14688"/>
    <cellStyle name="Акцент1 81" xfId="14689"/>
    <cellStyle name="Акцент1 82" xfId="14690"/>
    <cellStyle name="Акцент1 83" xfId="14691"/>
    <cellStyle name="Акцент1 84" xfId="14692"/>
    <cellStyle name="Акцент1 85" xfId="14693"/>
    <cellStyle name="Акцент1 86" xfId="14694"/>
    <cellStyle name="Акцент1 87" xfId="14695"/>
    <cellStyle name="Акцент1 88" xfId="14696"/>
    <cellStyle name="Акцент1 89" xfId="14697"/>
    <cellStyle name="Акцент1 9" xfId="14698"/>
    <cellStyle name="Акцент1 90" xfId="14699"/>
    <cellStyle name="Акцент1 91" xfId="14700"/>
    <cellStyle name="Акцент1 92" xfId="14701"/>
    <cellStyle name="Акцент1 93" xfId="14702"/>
    <cellStyle name="Акцент1 94" xfId="14703"/>
    <cellStyle name="Акцент1 95" xfId="14704"/>
    <cellStyle name="Акцент1 96" xfId="14705"/>
    <cellStyle name="Акцент1 97" xfId="14706"/>
    <cellStyle name="Акцент1 98" xfId="14707"/>
    <cellStyle name="Акцент1 99" xfId="14708"/>
    <cellStyle name="Акцент2 10" xfId="14709"/>
    <cellStyle name="Акцент2 100" xfId="14710"/>
    <cellStyle name="Акцент2 101" xfId="14711"/>
    <cellStyle name="Акцент2 102" xfId="14712"/>
    <cellStyle name="Акцент2 103" xfId="14713"/>
    <cellStyle name="Акцент2 104" xfId="14714"/>
    <cellStyle name="Акцент2 105" xfId="14715"/>
    <cellStyle name="Акцент2 106" xfId="14716"/>
    <cellStyle name="Акцент2 107" xfId="14717"/>
    <cellStyle name="Акцент2 108" xfId="14718"/>
    <cellStyle name="Акцент2 109" xfId="14719"/>
    <cellStyle name="Акцент2 11" xfId="14720"/>
    <cellStyle name="Акцент2 110" xfId="14721"/>
    <cellStyle name="Акцент2 111" xfId="14722"/>
    <cellStyle name="Акцент2 112" xfId="14723"/>
    <cellStyle name="Акцент2 113" xfId="14724"/>
    <cellStyle name="Акцент2 114" xfId="14725"/>
    <cellStyle name="Акцент2 115" xfId="14726"/>
    <cellStyle name="Акцент2 116" xfId="14727"/>
    <cellStyle name="Акцент2 117" xfId="14728"/>
    <cellStyle name="Акцент2 118" xfId="14729"/>
    <cellStyle name="Акцент2 119" xfId="14730"/>
    <cellStyle name="Акцент2 12" xfId="14731"/>
    <cellStyle name="Акцент2 120" xfId="14732"/>
    <cellStyle name="Акцент2 121" xfId="14733"/>
    <cellStyle name="Акцент2 122" xfId="14734"/>
    <cellStyle name="Акцент2 123" xfId="14735"/>
    <cellStyle name="Акцент2 124" xfId="14736"/>
    <cellStyle name="Акцент2 125" xfId="14737"/>
    <cellStyle name="Акцент2 126" xfId="14738"/>
    <cellStyle name="Акцент2 127" xfId="14739"/>
    <cellStyle name="Акцент2 128" xfId="14740"/>
    <cellStyle name="Акцент2 129" xfId="14741"/>
    <cellStyle name="Акцент2 13" xfId="14742"/>
    <cellStyle name="Акцент2 130" xfId="14743"/>
    <cellStyle name="Акцент2 131" xfId="14744"/>
    <cellStyle name="Акцент2 132" xfId="14745"/>
    <cellStyle name="Акцент2 133" xfId="14746"/>
    <cellStyle name="Акцент2 134" xfId="14747"/>
    <cellStyle name="Акцент2 135" xfId="14748"/>
    <cellStyle name="Акцент2 136" xfId="14749"/>
    <cellStyle name="Акцент2 137" xfId="14750"/>
    <cellStyle name="Акцент2 138" xfId="14751"/>
    <cellStyle name="Акцент2 139" xfId="14752"/>
    <cellStyle name="Акцент2 14" xfId="14753"/>
    <cellStyle name="Акцент2 140" xfId="14754"/>
    <cellStyle name="Акцент2 141" xfId="14755"/>
    <cellStyle name="Акцент2 142" xfId="14756"/>
    <cellStyle name="Акцент2 143" xfId="14757"/>
    <cellStyle name="Акцент2 144" xfId="14758"/>
    <cellStyle name="Акцент2 145" xfId="14759"/>
    <cellStyle name="Акцент2 146" xfId="14760"/>
    <cellStyle name="Акцент2 147" xfId="14761"/>
    <cellStyle name="Акцент2 148" xfId="14762"/>
    <cellStyle name="Акцент2 149" xfId="14763"/>
    <cellStyle name="Акцент2 15" xfId="14764"/>
    <cellStyle name="Акцент2 150" xfId="14765"/>
    <cellStyle name="Акцент2 151" xfId="14766"/>
    <cellStyle name="Акцент2 152" xfId="14767"/>
    <cellStyle name="Акцент2 16" xfId="14768"/>
    <cellStyle name="Акцент2 17" xfId="14769"/>
    <cellStyle name="Акцент2 18" xfId="14770"/>
    <cellStyle name="Акцент2 19" xfId="14771"/>
    <cellStyle name="Акцент2 2" xfId="303"/>
    <cellStyle name="Акцент2 2 2" xfId="14772"/>
    <cellStyle name="Акцент2 2 3" xfId="14773"/>
    <cellStyle name="Акцент2 2 4" xfId="14774"/>
    <cellStyle name="Акцент2 2 5" xfId="14775"/>
    <cellStyle name="Акцент2 2 6" xfId="14776"/>
    <cellStyle name="Акцент2 2 7" xfId="14777"/>
    <cellStyle name="Акцент2 20" xfId="14778"/>
    <cellStyle name="Акцент2 20 2" xfId="14779"/>
    <cellStyle name="Акцент2 21" xfId="14780"/>
    <cellStyle name="Акцент2 22" xfId="14781"/>
    <cellStyle name="Акцент2 23" xfId="14782"/>
    <cellStyle name="Акцент2 24" xfId="14783"/>
    <cellStyle name="Акцент2 25" xfId="14784"/>
    <cellStyle name="Акцент2 26" xfId="14785"/>
    <cellStyle name="Акцент2 27" xfId="14786"/>
    <cellStyle name="Акцент2 28" xfId="14787"/>
    <cellStyle name="Акцент2 29" xfId="14788"/>
    <cellStyle name="Акцент2 3" xfId="14789"/>
    <cellStyle name="Акцент2 30" xfId="14790"/>
    <cellStyle name="Акцент2 31" xfId="14791"/>
    <cellStyle name="Акцент2 32" xfId="14792"/>
    <cellStyle name="Акцент2 33" xfId="14793"/>
    <cellStyle name="Акцент2 34" xfId="14794"/>
    <cellStyle name="Акцент2 35" xfId="14795"/>
    <cellStyle name="Акцент2 36" xfId="14796"/>
    <cellStyle name="Акцент2 37" xfId="14797"/>
    <cellStyle name="Акцент2 38" xfId="14798"/>
    <cellStyle name="Акцент2 39" xfId="14799"/>
    <cellStyle name="Акцент2 4" xfId="14800"/>
    <cellStyle name="Акцент2 40" xfId="14801"/>
    <cellStyle name="Акцент2 41" xfId="14802"/>
    <cellStyle name="Акцент2 42" xfId="14803"/>
    <cellStyle name="Акцент2 43" xfId="14804"/>
    <cellStyle name="Акцент2 44" xfId="14805"/>
    <cellStyle name="Акцент2 45" xfId="14806"/>
    <cellStyle name="Акцент2 46" xfId="14807"/>
    <cellStyle name="Акцент2 47" xfId="14808"/>
    <cellStyle name="Акцент2 48" xfId="14809"/>
    <cellStyle name="Акцент2 49" xfId="14810"/>
    <cellStyle name="Акцент2 5" xfId="14811"/>
    <cellStyle name="Акцент2 50" xfId="14812"/>
    <cellStyle name="Акцент2 51" xfId="14813"/>
    <cellStyle name="Акцент2 52" xfId="14814"/>
    <cellStyle name="Акцент2 53" xfId="14815"/>
    <cellStyle name="Акцент2 54" xfId="14816"/>
    <cellStyle name="Акцент2 55" xfId="14817"/>
    <cellStyle name="Акцент2 56" xfId="14818"/>
    <cellStyle name="Акцент2 57" xfId="14819"/>
    <cellStyle name="Акцент2 58" xfId="14820"/>
    <cellStyle name="Акцент2 59" xfId="14821"/>
    <cellStyle name="Акцент2 6" xfId="14822"/>
    <cellStyle name="Акцент2 60" xfId="14823"/>
    <cellStyle name="Акцент2 61" xfId="14824"/>
    <cellStyle name="Акцент2 62" xfId="14825"/>
    <cellStyle name="Акцент2 63" xfId="14826"/>
    <cellStyle name="Акцент2 64" xfId="14827"/>
    <cellStyle name="Акцент2 65" xfId="14828"/>
    <cellStyle name="Акцент2 66" xfId="14829"/>
    <cellStyle name="Акцент2 67" xfId="14830"/>
    <cellStyle name="Акцент2 68" xfId="14831"/>
    <cellStyle name="Акцент2 69" xfId="14832"/>
    <cellStyle name="Акцент2 7" xfId="14833"/>
    <cellStyle name="Акцент2 70" xfId="14834"/>
    <cellStyle name="Акцент2 71" xfId="14835"/>
    <cellStyle name="Акцент2 72" xfId="14836"/>
    <cellStyle name="Акцент2 73" xfId="14837"/>
    <cellStyle name="Акцент2 74" xfId="14838"/>
    <cellStyle name="Акцент2 75" xfId="14839"/>
    <cellStyle name="Акцент2 76" xfId="14840"/>
    <cellStyle name="Акцент2 77" xfId="14841"/>
    <cellStyle name="Акцент2 78" xfId="14842"/>
    <cellStyle name="Акцент2 79" xfId="14843"/>
    <cellStyle name="Акцент2 8" xfId="14844"/>
    <cellStyle name="Акцент2 80" xfId="14845"/>
    <cellStyle name="Акцент2 81" xfId="14846"/>
    <cellStyle name="Акцент2 82" xfId="14847"/>
    <cellStyle name="Акцент2 83" xfId="14848"/>
    <cellStyle name="Акцент2 84" xfId="14849"/>
    <cellStyle name="Акцент2 85" xfId="14850"/>
    <cellStyle name="Акцент2 86" xfId="14851"/>
    <cellStyle name="Акцент2 87" xfId="14852"/>
    <cellStyle name="Акцент2 88" xfId="14853"/>
    <cellStyle name="Акцент2 89" xfId="14854"/>
    <cellStyle name="Акцент2 9" xfId="14855"/>
    <cellStyle name="Акцент2 90" xfId="14856"/>
    <cellStyle name="Акцент2 91" xfId="14857"/>
    <cellStyle name="Акцент2 92" xfId="14858"/>
    <cellStyle name="Акцент2 93" xfId="14859"/>
    <cellStyle name="Акцент2 94" xfId="14860"/>
    <cellStyle name="Акцент2 95" xfId="14861"/>
    <cellStyle name="Акцент2 96" xfId="14862"/>
    <cellStyle name="Акцент2 97" xfId="14863"/>
    <cellStyle name="Акцент2 98" xfId="14864"/>
    <cellStyle name="Акцент2 99" xfId="14865"/>
    <cellStyle name="Акцент3 10" xfId="14866"/>
    <cellStyle name="Акцент3 100" xfId="14867"/>
    <cellStyle name="Акцент3 101" xfId="14868"/>
    <cellStyle name="Акцент3 102" xfId="14869"/>
    <cellStyle name="Акцент3 103" xfId="14870"/>
    <cellStyle name="Акцент3 104" xfId="14871"/>
    <cellStyle name="Акцент3 105" xfId="14872"/>
    <cellStyle name="Акцент3 106" xfId="14873"/>
    <cellStyle name="Акцент3 107" xfId="14874"/>
    <cellStyle name="Акцент3 108" xfId="14875"/>
    <cellStyle name="Акцент3 109" xfId="14876"/>
    <cellStyle name="Акцент3 11" xfId="14877"/>
    <cellStyle name="Акцент3 110" xfId="14878"/>
    <cellStyle name="Акцент3 111" xfId="14879"/>
    <cellStyle name="Акцент3 112" xfId="14880"/>
    <cellStyle name="Акцент3 113" xfId="14881"/>
    <cellStyle name="Акцент3 114" xfId="14882"/>
    <cellStyle name="Акцент3 115" xfId="14883"/>
    <cellStyle name="Акцент3 116" xfId="14884"/>
    <cellStyle name="Акцент3 117" xfId="14885"/>
    <cellStyle name="Акцент3 118" xfId="14886"/>
    <cellStyle name="Акцент3 119" xfId="14887"/>
    <cellStyle name="Акцент3 12" xfId="14888"/>
    <cellStyle name="Акцент3 120" xfId="14889"/>
    <cellStyle name="Акцент3 121" xfId="14890"/>
    <cellStyle name="Акцент3 122" xfId="14891"/>
    <cellStyle name="Акцент3 123" xfId="14892"/>
    <cellStyle name="Акцент3 124" xfId="14893"/>
    <cellStyle name="Акцент3 125" xfId="14894"/>
    <cellStyle name="Акцент3 126" xfId="14895"/>
    <cellStyle name="Акцент3 127" xfId="14896"/>
    <cellStyle name="Акцент3 128" xfId="14897"/>
    <cellStyle name="Акцент3 129" xfId="14898"/>
    <cellStyle name="Акцент3 13" xfId="14899"/>
    <cellStyle name="Акцент3 130" xfId="14900"/>
    <cellStyle name="Акцент3 131" xfId="14901"/>
    <cellStyle name="Акцент3 132" xfId="14902"/>
    <cellStyle name="Акцент3 133" xfId="14903"/>
    <cellStyle name="Акцент3 134" xfId="14904"/>
    <cellStyle name="Акцент3 135" xfId="14905"/>
    <cellStyle name="Акцент3 136" xfId="14906"/>
    <cellStyle name="Акцент3 137" xfId="14907"/>
    <cellStyle name="Акцент3 138" xfId="14908"/>
    <cellStyle name="Акцент3 139" xfId="14909"/>
    <cellStyle name="Акцент3 14" xfId="14910"/>
    <cellStyle name="Акцент3 140" xfId="14911"/>
    <cellStyle name="Акцент3 141" xfId="14912"/>
    <cellStyle name="Акцент3 142" xfId="14913"/>
    <cellStyle name="Акцент3 143" xfId="14914"/>
    <cellStyle name="Акцент3 144" xfId="14915"/>
    <cellStyle name="Акцент3 145" xfId="14916"/>
    <cellStyle name="Акцент3 146" xfId="14917"/>
    <cellStyle name="Акцент3 147" xfId="14918"/>
    <cellStyle name="Акцент3 148" xfId="14919"/>
    <cellStyle name="Акцент3 149" xfId="14920"/>
    <cellStyle name="Акцент3 15" xfId="14921"/>
    <cellStyle name="Акцент3 150" xfId="14922"/>
    <cellStyle name="Акцент3 151" xfId="14923"/>
    <cellStyle name="Акцент3 152" xfId="14924"/>
    <cellStyle name="Акцент3 16" xfId="14925"/>
    <cellStyle name="Акцент3 17" xfId="14926"/>
    <cellStyle name="Акцент3 18" xfId="14927"/>
    <cellStyle name="Акцент3 19" xfId="14928"/>
    <cellStyle name="Акцент3 2" xfId="304"/>
    <cellStyle name="Акцент3 2 2" xfId="14929"/>
    <cellStyle name="Акцент3 2 3" xfId="14930"/>
    <cellStyle name="Акцент3 2 4" xfId="14931"/>
    <cellStyle name="Акцент3 2 5" xfId="14932"/>
    <cellStyle name="Акцент3 2 6" xfId="14933"/>
    <cellStyle name="Акцент3 2 7" xfId="14934"/>
    <cellStyle name="Акцент3 20" xfId="14935"/>
    <cellStyle name="Акцент3 20 2" xfId="14936"/>
    <cellStyle name="Акцент3 21" xfId="14937"/>
    <cellStyle name="Акцент3 22" xfId="14938"/>
    <cellStyle name="Акцент3 23" xfId="14939"/>
    <cellStyle name="Акцент3 24" xfId="14940"/>
    <cellStyle name="Акцент3 25" xfId="14941"/>
    <cellStyle name="Акцент3 26" xfId="14942"/>
    <cellStyle name="Акцент3 27" xfId="14943"/>
    <cellStyle name="Акцент3 28" xfId="14944"/>
    <cellStyle name="Акцент3 29" xfId="14945"/>
    <cellStyle name="Акцент3 3" xfId="14946"/>
    <cellStyle name="Акцент3 30" xfId="14947"/>
    <cellStyle name="Акцент3 31" xfId="14948"/>
    <cellStyle name="Акцент3 32" xfId="14949"/>
    <cellStyle name="Акцент3 33" xfId="14950"/>
    <cellStyle name="Акцент3 34" xfId="14951"/>
    <cellStyle name="Акцент3 35" xfId="14952"/>
    <cellStyle name="Акцент3 36" xfId="14953"/>
    <cellStyle name="Акцент3 37" xfId="14954"/>
    <cellStyle name="Акцент3 38" xfId="14955"/>
    <cellStyle name="Акцент3 39" xfId="14956"/>
    <cellStyle name="Акцент3 4" xfId="14957"/>
    <cellStyle name="Акцент3 40" xfId="14958"/>
    <cellStyle name="Акцент3 41" xfId="14959"/>
    <cellStyle name="Акцент3 42" xfId="14960"/>
    <cellStyle name="Акцент3 43" xfId="14961"/>
    <cellStyle name="Акцент3 44" xfId="14962"/>
    <cellStyle name="Акцент3 45" xfId="14963"/>
    <cellStyle name="Акцент3 46" xfId="14964"/>
    <cellStyle name="Акцент3 47" xfId="14965"/>
    <cellStyle name="Акцент3 48" xfId="14966"/>
    <cellStyle name="Акцент3 49" xfId="14967"/>
    <cellStyle name="Акцент3 5" xfId="14968"/>
    <cellStyle name="Акцент3 50" xfId="14969"/>
    <cellStyle name="Акцент3 51" xfId="14970"/>
    <cellStyle name="Акцент3 52" xfId="14971"/>
    <cellStyle name="Акцент3 53" xfId="14972"/>
    <cellStyle name="Акцент3 54" xfId="14973"/>
    <cellStyle name="Акцент3 55" xfId="14974"/>
    <cellStyle name="Акцент3 56" xfId="14975"/>
    <cellStyle name="Акцент3 57" xfId="14976"/>
    <cellStyle name="Акцент3 58" xfId="14977"/>
    <cellStyle name="Акцент3 59" xfId="14978"/>
    <cellStyle name="Акцент3 6" xfId="14979"/>
    <cellStyle name="Акцент3 60" xfId="14980"/>
    <cellStyle name="Акцент3 61" xfId="14981"/>
    <cellStyle name="Акцент3 62" xfId="14982"/>
    <cellStyle name="Акцент3 63" xfId="14983"/>
    <cellStyle name="Акцент3 64" xfId="14984"/>
    <cellStyle name="Акцент3 65" xfId="14985"/>
    <cellStyle name="Акцент3 66" xfId="14986"/>
    <cellStyle name="Акцент3 67" xfId="14987"/>
    <cellStyle name="Акцент3 68" xfId="14988"/>
    <cellStyle name="Акцент3 69" xfId="14989"/>
    <cellStyle name="Акцент3 7" xfId="14990"/>
    <cellStyle name="Акцент3 70" xfId="14991"/>
    <cellStyle name="Акцент3 71" xfId="14992"/>
    <cellStyle name="Акцент3 72" xfId="14993"/>
    <cellStyle name="Акцент3 73" xfId="14994"/>
    <cellStyle name="Акцент3 74" xfId="14995"/>
    <cellStyle name="Акцент3 75" xfId="14996"/>
    <cellStyle name="Акцент3 76" xfId="14997"/>
    <cellStyle name="Акцент3 77" xfId="14998"/>
    <cellStyle name="Акцент3 78" xfId="14999"/>
    <cellStyle name="Акцент3 79" xfId="15000"/>
    <cellStyle name="Акцент3 8" xfId="15001"/>
    <cellStyle name="Акцент3 80" xfId="15002"/>
    <cellStyle name="Акцент3 81" xfId="15003"/>
    <cellStyle name="Акцент3 82" xfId="15004"/>
    <cellStyle name="Акцент3 83" xfId="15005"/>
    <cellStyle name="Акцент3 84" xfId="15006"/>
    <cellStyle name="Акцент3 85" xfId="15007"/>
    <cellStyle name="Акцент3 86" xfId="15008"/>
    <cellStyle name="Акцент3 87" xfId="15009"/>
    <cellStyle name="Акцент3 88" xfId="15010"/>
    <cellStyle name="Акцент3 89" xfId="15011"/>
    <cellStyle name="Акцент3 9" xfId="15012"/>
    <cellStyle name="Акцент3 90" xfId="15013"/>
    <cellStyle name="Акцент3 91" xfId="15014"/>
    <cellStyle name="Акцент3 92" xfId="15015"/>
    <cellStyle name="Акцент3 93" xfId="15016"/>
    <cellStyle name="Акцент3 94" xfId="15017"/>
    <cellStyle name="Акцент3 95" xfId="15018"/>
    <cellStyle name="Акцент3 96" xfId="15019"/>
    <cellStyle name="Акцент3 97" xfId="15020"/>
    <cellStyle name="Акцент3 98" xfId="15021"/>
    <cellStyle name="Акцент3 99" xfId="15022"/>
    <cellStyle name="Акцент4 10" xfId="15023"/>
    <cellStyle name="Акцент4 100" xfId="15024"/>
    <cellStyle name="Акцент4 101" xfId="15025"/>
    <cellStyle name="Акцент4 102" xfId="15026"/>
    <cellStyle name="Акцент4 103" xfId="15027"/>
    <cellStyle name="Акцент4 104" xfId="15028"/>
    <cellStyle name="Акцент4 105" xfId="15029"/>
    <cellStyle name="Акцент4 106" xfId="15030"/>
    <cellStyle name="Акцент4 107" xfId="15031"/>
    <cellStyle name="Акцент4 108" xfId="15032"/>
    <cellStyle name="Акцент4 109" xfId="15033"/>
    <cellStyle name="Акцент4 11" xfId="15034"/>
    <cellStyle name="Акцент4 110" xfId="15035"/>
    <cellStyle name="Акцент4 111" xfId="15036"/>
    <cellStyle name="Акцент4 112" xfId="15037"/>
    <cellStyle name="Акцент4 113" xfId="15038"/>
    <cellStyle name="Акцент4 114" xfId="15039"/>
    <cellStyle name="Акцент4 115" xfId="15040"/>
    <cellStyle name="Акцент4 116" xfId="15041"/>
    <cellStyle name="Акцент4 117" xfId="15042"/>
    <cellStyle name="Акцент4 118" xfId="15043"/>
    <cellStyle name="Акцент4 119" xfId="15044"/>
    <cellStyle name="Акцент4 12" xfId="15045"/>
    <cellStyle name="Акцент4 120" xfId="15046"/>
    <cellStyle name="Акцент4 121" xfId="15047"/>
    <cellStyle name="Акцент4 122" xfId="15048"/>
    <cellStyle name="Акцент4 123" xfId="15049"/>
    <cellStyle name="Акцент4 124" xfId="15050"/>
    <cellStyle name="Акцент4 125" xfId="15051"/>
    <cellStyle name="Акцент4 126" xfId="15052"/>
    <cellStyle name="Акцент4 127" xfId="15053"/>
    <cellStyle name="Акцент4 128" xfId="15054"/>
    <cellStyle name="Акцент4 129" xfId="15055"/>
    <cellStyle name="Акцент4 13" xfId="15056"/>
    <cellStyle name="Акцент4 130" xfId="15057"/>
    <cellStyle name="Акцент4 131" xfId="15058"/>
    <cellStyle name="Акцент4 132" xfId="15059"/>
    <cellStyle name="Акцент4 133" xfId="15060"/>
    <cellStyle name="Акцент4 134" xfId="15061"/>
    <cellStyle name="Акцент4 135" xfId="15062"/>
    <cellStyle name="Акцент4 136" xfId="15063"/>
    <cellStyle name="Акцент4 137" xfId="15064"/>
    <cellStyle name="Акцент4 138" xfId="15065"/>
    <cellStyle name="Акцент4 139" xfId="15066"/>
    <cellStyle name="Акцент4 14" xfId="15067"/>
    <cellStyle name="Акцент4 140" xfId="15068"/>
    <cellStyle name="Акцент4 141" xfId="15069"/>
    <cellStyle name="Акцент4 142" xfId="15070"/>
    <cellStyle name="Акцент4 143" xfId="15071"/>
    <cellStyle name="Акцент4 144" xfId="15072"/>
    <cellStyle name="Акцент4 145" xfId="15073"/>
    <cellStyle name="Акцент4 146" xfId="15074"/>
    <cellStyle name="Акцент4 147" xfId="15075"/>
    <cellStyle name="Акцент4 148" xfId="15076"/>
    <cellStyle name="Акцент4 149" xfId="15077"/>
    <cellStyle name="Акцент4 15" xfId="15078"/>
    <cellStyle name="Акцент4 150" xfId="15079"/>
    <cellStyle name="Акцент4 151" xfId="15080"/>
    <cellStyle name="Акцент4 152" xfId="15081"/>
    <cellStyle name="Акцент4 16" xfId="15082"/>
    <cellStyle name="Акцент4 17" xfId="15083"/>
    <cellStyle name="Акцент4 18" xfId="15084"/>
    <cellStyle name="Акцент4 19" xfId="15085"/>
    <cellStyle name="Акцент4 2" xfId="305"/>
    <cellStyle name="Акцент4 2 2" xfId="15086"/>
    <cellStyle name="Акцент4 2 3" xfId="15087"/>
    <cellStyle name="Акцент4 2 4" xfId="15088"/>
    <cellStyle name="Акцент4 2 5" xfId="15089"/>
    <cellStyle name="Акцент4 2 6" xfId="15090"/>
    <cellStyle name="Акцент4 2 7" xfId="15091"/>
    <cellStyle name="Акцент4 20" xfId="15092"/>
    <cellStyle name="Акцент4 20 2" xfId="15093"/>
    <cellStyle name="Акцент4 21" xfId="15094"/>
    <cellStyle name="Акцент4 22" xfId="15095"/>
    <cellStyle name="Акцент4 23" xfId="15096"/>
    <cellStyle name="Акцент4 24" xfId="15097"/>
    <cellStyle name="Акцент4 25" xfId="15098"/>
    <cellStyle name="Акцент4 26" xfId="15099"/>
    <cellStyle name="Акцент4 27" xfId="15100"/>
    <cellStyle name="Акцент4 28" xfId="15101"/>
    <cellStyle name="Акцент4 29" xfId="15102"/>
    <cellStyle name="Акцент4 3" xfId="15103"/>
    <cellStyle name="Акцент4 30" xfId="15104"/>
    <cellStyle name="Акцент4 31" xfId="15105"/>
    <cellStyle name="Акцент4 32" xfId="15106"/>
    <cellStyle name="Акцент4 33" xfId="15107"/>
    <cellStyle name="Акцент4 34" xfId="15108"/>
    <cellStyle name="Акцент4 35" xfId="15109"/>
    <cellStyle name="Акцент4 36" xfId="15110"/>
    <cellStyle name="Акцент4 37" xfId="15111"/>
    <cellStyle name="Акцент4 38" xfId="15112"/>
    <cellStyle name="Акцент4 39" xfId="15113"/>
    <cellStyle name="Акцент4 4" xfId="15114"/>
    <cellStyle name="Акцент4 40" xfId="15115"/>
    <cellStyle name="Акцент4 41" xfId="15116"/>
    <cellStyle name="Акцент4 42" xfId="15117"/>
    <cellStyle name="Акцент4 43" xfId="15118"/>
    <cellStyle name="Акцент4 44" xfId="15119"/>
    <cellStyle name="Акцент4 45" xfId="15120"/>
    <cellStyle name="Акцент4 46" xfId="15121"/>
    <cellStyle name="Акцент4 47" xfId="15122"/>
    <cellStyle name="Акцент4 48" xfId="15123"/>
    <cellStyle name="Акцент4 49" xfId="15124"/>
    <cellStyle name="Акцент4 5" xfId="15125"/>
    <cellStyle name="Акцент4 50" xfId="15126"/>
    <cellStyle name="Акцент4 51" xfId="15127"/>
    <cellStyle name="Акцент4 52" xfId="15128"/>
    <cellStyle name="Акцент4 53" xfId="15129"/>
    <cellStyle name="Акцент4 54" xfId="15130"/>
    <cellStyle name="Акцент4 55" xfId="15131"/>
    <cellStyle name="Акцент4 56" xfId="15132"/>
    <cellStyle name="Акцент4 57" xfId="15133"/>
    <cellStyle name="Акцент4 58" xfId="15134"/>
    <cellStyle name="Акцент4 59" xfId="15135"/>
    <cellStyle name="Акцент4 6" xfId="15136"/>
    <cellStyle name="Акцент4 60" xfId="15137"/>
    <cellStyle name="Акцент4 61" xfId="15138"/>
    <cellStyle name="Акцент4 62" xfId="15139"/>
    <cellStyle name="Акцент4 63" xfId="15140"/>
    <cellStyle name="Акцент4 64" xfId="15141"/>
    <cellStyle name="Акцент4 65" xfId="15142"/>
    <cellStyle name="Акцент4 66" xfId="15143"/>
    <cellStyle name="Акцент4 67" xfId="15144"/>
    <cellStyle name="Акцент4 68" xfId="15145"/>
    <cellStyle name="Акцент4 69" xfId="15146"/>
    <cellStyle name="Акцент4 7" xfId="15147"/>
    <cellStyle name="Акцент4 70" xfId="15148"/>
    <cellStyle name="Акцент4 71" xfId="15149"/>
    <cellStyle name="Акцент4 72" xfId="15150"/>
    <cellStyle name="Акцент4 73" xfId="15151"/>
    <cellStyle name="Акцент4 74" xfId="15152"/>
    <cellStyle name="Акцент4 75" xfId="15153"/>
    <cellStyle name="Акцент4 76" xfId="15154"/>
    <cellStyle name="Акцент4 77" xfId="15155"/>
    <cellStyle name="Акцент4 78" xfId="15156"/>
    <cellStyle name="Акцент4 79" xfId="15157"/>
    <cellStyle name="Акцент4 8" xfId="15158"/>
    <cellStyle name="Акцент4 80" xfId="15159"/>
    <cellStyle name="Акцент4 81" xfId="15160"/>
    <cellStyle name="Акцент4 82" xfId="15161"/>
    <cellStyle name="Акцент4 83" xfId="15162"/>
    <cellStyle name="Акцент4 84" xfId="15163"/>
    <cellStyle name="Акцент4 85" xfId="15164"/>
    <cellStyle name="Акцент4 86" xfId="15165"/>
    <cellStyle name="Акцент4 87" xfId="15166"/>
    <cellStyle name="Акцент4 88" xfId="15167"/>
    <cellStyle name="Акцент4 89" xfId="15168"/>
    <cellStyle name="Акцент4 9" xfId="15169"/>
    <cellStyle name="Акцент4 90" xfId="15170"/>
    <cellStyle name="Акцент4 91" xfId="15171"/>
    <cellStyle name="Акцент4 92" xfId="15172"/>
    <cellStyle name="Акцент4 93" xfId="15173"/>
    <cellStyle name="Акцент4 94" xfId="15174"/>
    <cellStyle name="Акцент4 95" xfId="15175"/>
    <cellStyle name="Акцент4 96" xfId="15176"/>
    <cellStyle name="Акцент4 97" xfId="15177"/>
    <cellStyle name="Акцент4 98" xfId="15178"/>
    <cellStyle name="Акцент4 99" xfId="15179"/>
    <cellStyle name="Акцент5 10" xfId="15180"/>
    <cellStyle name="Акцент5 100" xfId="15181"/>
    <cellStyle name="Акцент5 101" xfId="15182"/>
    <cellStyle name="Акцент5 102" xfId="15183"/>
    <cellStyle name="Акцент5 103" xfId="15184"/>
    <cellStyle name="Акцент5 104" xfId="15185"/>
    <cellStyle name="Акцент5 105" xfId="15186"/>
    <cellStyle name="Акцент5 106" xfId="15187"/>
    <cellStyle name="Акцент5 107" xfId="15188"/>
    <cellStyle name="Акцент5 108" xfId="15189"/>
    <cellStyle name="Акцент5 109" xfId="15190"/>
    <cellStyle name="Акцент5 11" xfId="15191"/>
    <cellStyle name="Акцент5 110" xfId="15192"/>
    <cellStyle name="Акцент5 111" xfId="15193"/>
    <cellStyle name="Акцент5 112" xfId="15194"/>
    <cellStyle name="Акцент5 113" xfId="15195"/>
    <cellStyle name="Акцент5 114" xfId="15196"/>
    <cellStyle name="Акцент5 115" xfId="15197"/>
    <cellStyle name="Акцент5 116" xfId="15198"/>
    <cellStyle name="Акцент5 117" xfId="15199"/>
    <cellStyle name="Акцент5 118" xfId="15200"/>
    <cellStyle name="Акцент5 119" xfId="15201"/>
    <cellStyle name="Акцент5 12" xfId="15202"/>
    <cellStyle name="Акцент5 120" xfId="15203"/>
    <cellStyle name="Акцент5 121" xfId="15204"/>
    <cellStyle name="Акцент5 122" xfId="15205"/>
    <cellStyle name="Акцент5 123" xfId="15206"/>
    <cellStyle name="Акцент5 124" xfId="15207"/>
    <cellStyle name="Акцент5 125" xfId="15208"/>
    <cellStyle name="Акцент5 126" xfId="15209"/>
    <cellStyle name="Акцент5 127" xfId="15210"/>
    <cellStyle name="Акцент5 128" xfId="15211"/>
    <cellStyle name="Акцент5 129" xfId="15212"/>
    <cellStyle name="Акцент5 13" xfId="15213"/>
    <cellStyle name="Акцент5 130" xfId="15214"/>
    <cellStyle name="Акцент5 131" xfId="15215"/>
    <cellStyle name="Акцент5 132" xfId="15216"/>
    <cellStyle name="Акцент5 133" xfId="15217"/>
    <cellStyle name="Акцент5 134" xfId="15218"/>
    <cellStyle name="Акцент5 135" xfId="15219"/>
    <cellStyle name="Акцент5 136" xfId="15220"/>
    <cellStyle name="Акцент5 137" xfId="15221"/>
    <cellStyle name="Акцент5 138" xfId="15222"/>
    <cellStyle name="Акцент5 139" xfId="15223"/>
    <cellStyle name="Акцент5 14" xfId="15224"/>
    <cellStyle name="Акцент5 140" xfId="15225"/>
    <cellStyle name="Акцент5 141" xfId="15226"/>
    <cellStyle name="Акцент5 142" xfId="15227"/>
    <cellStyle name="Акцент5 143" xfId="15228"/>
    <cellStyle name="Акцент5 144" xfId="15229"/>
    <cellStyle name="Акцент5 145" xfId="15230"/>
    <cellStyle name="Акцент5 146" xfId="15231"/>
    <cellStyle name="Акцент5 147" xfId="15232"/>
    <cellStyle name="Акцент5 148" xfId="15233"/>
    <cellStyle name="Акцент5 149" xfId="15234"/>
    <cellStyle name="Акцент5 15" xfId="15235"/>
    <cellStyle name="Акцент5 150" xfId="15236"/>
    <cellStyle name="Акцент5 151" xfId="15237"/>
    <cellStyle name="Акцент5 152" xfId="15238"/>
    <cellStyle name="Акцент5 16" xfId="15239"/>
    <cellStyle name="Акцент5 17" xfId="15240"/>
    <cellStyle name="Акцент5 18" xfId="15241"/>
    <cellStyle name="Акцент5 19" xfId="15242"/>
    <cellStyle name="Акцент5 2" xfId="306"/>
    <cellStyle name="Акцент5 2 2" xfId="15243"/>
    <cellStyle name="Акцент5 2 3" xfId="15244"/>
    <cellStyle name="Акцент5 2 4" xfId="15245"/>
    <cellStyle name="Акцент5 2 5" xfId="15246"/>
    <cellStyle name="Акцент5 2 6" xfId="15247"/>
    <cellStyle name="Акцент5 2 7" xfId="15248"/>
    <cellStyle name="Акцент5 20" xfId="15249"/>
    <cellStyle name="Акцент5 20 2" xfId="15250"/>
    <cellStyle name="Акцент5 21" xfId="15251"/>
    <cellStyle name="Акцент5 22" xfId="15252"/>
    <cellStyle name="Акцент5 23" xfId="15253"/>
    <cellStyle name="Акцент5 24" xfId="15254"/>
    <cellStyle name="Акцент5 25" xfId="15255"/>
    <cellStyle name="Акцент5 26" xfId="15256"/>
    <cellStyle name="Акцент5 27" xfId="15257"/>
    <cellStyle name="Акцент5 28" xfId="15258"/>
    <cellStyle name="Акцент5 29" xfId="15259"/>
    <cellStyle name="Акцент5 3" xfId="15260"/>
    <cellStyle name="Акцент5 30" xfId="15261"/>
    <cellStyle name="Акцент5 31" xfId="15262"/>
    <cellStyle name="Акцент5 32" xfId="15263"/>
    <cellStyle name="Акцент5 33" xfId="15264"/>
    <cellStyle name="Акцент5 34" xfId="15265"/>
    <cellStyle name="Акцент5 35" xfId="15266"/>
    <cellStyle name="Акцент5 36" xfId="15267"/>
    <cellStyle name="Акцент5 37" xfId="15268"/>
    <cellStyle name="Акцент5 38" xfId="15269"/>
    <cellStyle name="Акцент5 39" xfId="15270"/>
    <cellStyle name="Акцент5 4" xfId="15271"/>
    <cellStyle name="Акцент5 40" xfId="15272"/>
    <cellStyle name="Акцент5 41" xfId="15273"/>
    <cellStyle name="Акцент5 42" xfId="15274"/>
    <cellStyle name="Акцент5 43" xfId="15275"/>
    <cellStyle name="Акцент5 44" xfId="15276"/>
    <cellStyle name="Акцент5 45" xfId="15277"/>
    <cellStyle name="Акцент5 46" xfId="15278"/>
    <cellStyle name="Акцент5 47" xfId="15279"/>
    <cellStyle name="Акцент5 48" xfId="15280"/>
    <cellStyle name="Акцент5 49" xfId="15281"/>
    <cellStyle name="Акцент5 5" xfId="15282"/>
    <cellStyle name="Акцент5 50" xfId="15283"/>
    <cellStyle name="Акцент5 51" xfId="15284"/>
    <cellStyle name="Акцент5 52" xfId="15285"/>
    <cellStyle name="Акцент5 53" xfId="15286"/>
    <cellStyle name="Акцент5 54" xfId="15287"/>
    <cellStyle name="Акцент5 55" xfId="15288"/>
    <cellStyle name="Акцент5 56" xfId="15289"/>
    <cellStyle name="Акцент5 57" xfId="15290"/>
    <cellStyle name="Акцент5 58" xfId="15291"/>
    <cellStyle name="Акцент5 59" xfId="15292"/>
    <cellStyle name="Акцент5 6" xfId="15293"/>
    <cellStyle name="Акцент5 60" xfId="15294"/>
    <cellStyle name="Акцент5 61" xfId="15295"/>
    <cellStyle name="Акцент5 62" xfId="15296"/>
    <cellStyle name="Акцент5 63" xfId="15297"/>
    <cellStyle name="Акцент5 64" xfId="15298"/>
    <cellStyle name="Акцент5 65" xfId="15299"/>
    <cellStyle name="Акцент5 66" xfId="15300"/>
    <cellStyle name="Акцент5 67" xfId="15301"/>
    <cellStyle name="Акцент5 68" xfId="15302"/>
    <cellStyle name="Акцент5 69" xfId="15303"/>
    <cellStyle name="Акцент5 7" xfId="15304"/>
    <cellStyle name="Акцент5 70" xfId="15305"/>
    <cellStyle name="Акцент5 71" xfId="15306"/>
    <cellStyle name="Акцент5 72" xfId="15307"/>
    <cellStyle name="Акцент5 73" xfId="15308"/>
    <cellStyle name="Акцент5 74" xfId="15309"/>
    <cellStyle name="Акцент5 75" xfId="15310"/>
    <cellStyle name="Акцент5 76" xfId="15311"/>
    <cellStyle name="Акцент5 77" xfId="15312"/>
    <cellStyle name="Акцент5 78" xfId="15313"/>
    <cellStyle name="Акцент5 79" xfId="15314"/>
    <cellStyle name="Акцент5 8" xfId="15315"/>
    <cellStyle name="Акцент5 80" xfId="15316"/>
    <cellStyle name="Акцент5 81" xfId="15317"/>
    <cellStyle name="Акцент5 82" xfId="15318"/>
    <cellStyle name="Акцент5 83" xfId="15319"/>
    <cellStyle name="Акцент5 84" xfId="15320"/>
    <cellStyle name="Акцент5 85" xfId="15321"/>
    <cellStyle name="Акцент5 86" xfId="15322"/>
    <cellStyle name="Акцент5 87" xfId="15323"/>
    <cellStyle name="Акцент5 88" xfId="15324"/>
    <cellStyle name="Акцент5 89" xfId="15325"/>
    <cellStyle name="Акцент5 9" xfId="15326"/>
    <cellStyle name="Акцент5 90" xfId="15327"/>
    <cellStyle name="Акцент5 91" xfId="15328"/>
    <cellStyle name="Акцент5 92" xfId="15329"/>
    <cellStyle name="Акцент5 93" xfId="15330"/>
    <cellStyle name="Акцент5 94" xfId="15331"/>
    <cellStyle name="Акцент5 95" xfId="15332"/>
    <cellStyle name="Акцент5 96" xfId="15333"/>
    <cellStyle name="Акцент5 97" xfId="15334"/>
    <cellStyle name="Акцент5 98" xfId="15335"/>
    <cellStyle name="Акцент5 99" xfId="15336"/>
    <cellStyle name="Акцент6 10" xfId="15337"/>
    <cellStyle name="Акцент6 100" xfId="15338"/>
    <cellStyle name="Акцент6 101" xfId="15339"/>
    <cellStyle name="Акцент6 102" xfId="15340"/>
    <cellStyle name="Акцент6 103" xfId="15341"/>
    <cellStyle name="Акцент6 104" xfId="15342"/>
    <cellStyle name="Акцент6 105" xfId="15343"/>
    <cellStyle name="Акцент6 106" xfId="15344"/>
    <cellStyle name="Акцент6 107" xfId="15345"/>
    <cellStyle name="Акцент6 108" xfId="15346"/>
    <cellStyle name="Акцент6 109" xfId="15347"/>
    <cellStyle name="Акцент6 11" xfId="15348"/>
    <cellStyle name="Акцент6 110" xfId="15349"/>
    <cellStyle name="Акцент6 111" xfId="15350"/>
    <cellStyle name="Акцент6 112" xfId="15351"/>
    <cellStyle name="Акцент6 113" xfId="15352"/>
    <cellStyle name="Акцент6 114" xfId="15353"/>
    <cellStyle name="Акцент6 115" xfId="15354"/>
    <cellStyle name="Акцент6 116" xfId="15355"/>
    <cellStyle name="Акцент6 117" xfId="15356"/>
    <cellStyle name="Акцент6 118" xfId="15357"/>
    <cellStyle name="Акцент6 119" xfId="15358"/>
    <cellStyle name="Акцент6 12" xfId="15359"/>
    <cellStyle name="Акцент6 120" xfId="15360"/>
    <cellStyle name="Акцент6 121" xfId="15361"/>
    <cellStyle name="Акцент6 122" xfId="15362"/>
    <cellStyle name="Акцент6 123" xfId="15363"/>
    <cellStyle name="Акцент6 124" xfId="15364"/>
    <cellStyle name="Акцент6 125" xfId="15365"/>
    <cellStyle name="Акцент6 126" xfId="15366"/>
    <cellStyle name="Акцент6 127" xfId="15367"/>
    <cellStyle name="Акцент6 128" xfId="15368"/>
    <cellStyle name="Акцент6 129" xfId="15369"/>
    <cellStyle name="Акцент6 13" xfId="15370"/>
    <cellStyle name="Акцент6 130" xfId="15371"/>
    <cellStyle name="Акцент6 131" xfId="15372"/>
    <cellStyle name="Акцент6 132" xfId="15373"/>
    <cellStyle name="Акцент6 133" xfId="15374"/>
    <cellStyle name="Акцент6 134" xfId="15375"/>
    <cellStyle name="Акцент6 135" xfId="15376"/>
    <cellStyle name="Акцент6 136" xfId="15377"/>
    <cellStyle name="Акцент6 137" xfId="15378"/>
    <cellStyle name="Акцент6 138" xfId="15379"/>
    <cellStyle name="Акцент6 139" xfId="15380"/>
    <cellStyle name="Акцент6 14" xfId="15381"/>
    <cellStyle name="Акцент6 140" xfId="15382"/>
    <cellStyle name="Акцент6 141" xfId="15383"/>
    <cellStyle name="Акцент6 142" xfId="15384"/>
    <cellStyle name="Акцент6 143" xfId="15385"/>
    <cellStyle name="Акцент6 144" xfId="15386"/>
    <cellStyle name="Акцент6 145" xfId="15387"/>
    <cellStyle name="Акцент6 146" xfId="15388"/>
    <cellStyle name="Акцент6 147" xfId="15389"/>
    <cellStyle name="Акцент6 148" xfId="15390"/>
    <cellStyle name="Акцент6 149" xfId="15391"/>
    <cellStyle name="Акцент6 15" xfId="15392"/>
    <cellStyle name="Акцент6 150" xfId="15393"/>
    <cellStyle name="Акцент6 151" xfId="15394"/>
    <cellStyle name="Акцент6 152" xfId="15395"/>
    <cellStyle name="Акцент6 16" xfId="15396"/>
    <cellStyle name="Акцент6 17" xfId="15397"/>
    <cellStyle name="Акцент6 18" xfId="15398"/>
    <cellStyle name="Акцент6 19" xfId="15399"/>
    <cellStyle name="Акцент6 2" xfId="307"/>
    <cellStyle name="Акцент6 2 2" xfId="15400"/>
    <cellStyle name="Акцент6 2 3" xfId="15401"/>
    <cellStyle name="Акцент6 2 4" xfId="15402"/>
    <cellStyle name="Акцент6 2 5" xfId="15403"/>
    <cellStyle name="Акцент6 2 6" xfId="15404"/>
    <cellStyle name="Акцент6 2 7" xfId="15405"/>
    <cellStyle name="Акцент6 20" xfId="15406"/>
    <cellStyle name="Акцент6 20 2" xfId="15407"/>
    <cellStyle name="Акцент6 21" xfId="15408"/>
    <cellStyle name="Акцент6 22" xfId="15409"/>
    <cellStyle name="Акцент6 23" xfId="15410"/>
    <cellStyle name="Акцент6 24" xfId="15411"/>
    <cellStyle name="Акцент6 25" xfId="15412"/>
    <cellStyle name="Акцент6 26" xfId="15413"/>
    <cellStyle name="Акцент6 27" xfId="15414"/>
    <cellStyle name="Акцент6 28" xfId="15415"/>
    <cellStyle name="Акцент6 29" xfId="15416"/>
    <cellStyle name="Акцент6 3" xfId="15417"/>
    <cellStyle name="Акцент6 30" xfId="15418"/>
    <cellStyle name="Акцент6 31" xfId="15419"/>
    <cellStyle name="Акцент6 32" xfId="15420"/>
    <cellStyle name="Акцент6 33" xfId="15421"/>
    <cellStyle name="Акцент6 34" xfId="15422"/>
    <cellStyle name="Акцент6 35" xfId="15423"/>
    <cellStyle name="Акцент6 36" xfId="15424"/>
    <cellStyle name="Акцент6 37" xfId="15425"/>
    <cellStyle name="Акцент6 38" xfId="15426"/>
    <cellStyle name="Акцент6 39" xfId="15427"/>
    <cellStyle name="Акцент6 4" xfId="15428"/>
    <cellStyle name="Акцент6 40" xfId="15429"/>
    <cellStyle name="Акцент6 41" xfId="15430"/>
    <cellStyle name="Акцент6 42" xfId="15431"/>
    <cellStyle name="Акцент6 43" xfId="15432"/>
    <cellStyle name="Акцент6 44" xfId="15433"/>
    <cellStyle name="Акцент6 45" xfId="15434"/>
    <cellStyle name="Акцент6 46" xfId="15435"/>
    <cellStyle name="Акцент6 47" xfId="15436"/>
    <cellStyle name="Акцент6 48" xfId="15437"/>
    <cellStyle name="Акцент6 49" xfId="15438"/>
    <cellStyle name="Акцент6 5" xfId="15439"/>
    <cellStyle name="Акцент6 50" xfId="15440"/>
    <cellStyle name="Акцент6 51" xfId="15441"/>
    <cellStyle name="Акцент6 52" xfId="15442"/>
    <cellStyle name="Акцент6 53" xfId="15443"/>
    <cellStyle name="Акцент6 54" xfId="15444"/>
    <cellStyle name="Акцент6 55" xfId="15445"/>
    <cellStyle name="Акцент6 56" xfId="15446"/>
    <cellStyle name="Акцент6 57" xfId="15447"/>
    <cellStyle name="Акцент6 58" xfId="15448"/>
    <cellStyle name="Акцент6 59" xfId="15449"/>
    <cellStyle name="Акцент6 6" xfId="15450"/>
    <cellStyle name="Акцент6 60" xfId="15451"/>
    <cellStyle name="Акцент6 61" xfId="15452"/>
    <cellStyle name="Акцент6 62" xfId="15453"/>
    <cellStyle name="Акцент6 63" xfId="15454"/>
    <cellStyle name="Акцент6 64" xfId="15455"/>
    <cellStyle name="Акцент6 65" xfId="15456"/>
    <cellStyle name="Акцент6 66" xfId="15457"/>
    <cellStyle name="Акцент6 67" xfId="15458"/>
    <cellStyle name="Акцент6 68" xfId="15459"/>
    <cellStyle name="Акцент6 69" xfId="15460"/>
    <cellStyle name="Акцент6 7" xfId="15461"/>
    <cellStyle name="Акцент6 70" xfId="15462"/>
    <cellStyle name="Акцент6 71" xfId="15463"/>
    <cellStyle name="Акцент6 72" xfId="15464"/>
    <cellStyle name="Акцент6 73" xfId="15465"/>
    <cellStyle name="Акцент6 74" xfId="15466"/>
    <cellStyle name="Акцент6 75" xfId="15467"/>
    <cellStyle name="Акцент6 76" xfId="15468"/>
    <cellStyle name="Акцент6 77" xfId="15469"/>
    <cellStyle name="Акцент6 78" xfId="15470"/>
    <cellStyle name="Акцент6 79" xfId="15471"/>
    <cellStyle name="Акцент6 8" xfId="15472"/>
    <cellStyle name="Акцент6 80" xfId="15473"/>
    <cellStyle name="Акцент6 81" xfId="15474"/>
    <cellStyle name="Акцент6 82" xfId="15475"/>
    <cellStyle name="Акцент6 83" xfId="15476"/>
    <cellStyle name="Акцент6 84" xfId="15477"/>
    <cellStyle name="Акцент6 85" xfId="15478"/>
    <cellStyle name="Акцент6 86" xfId="15479"/>
    <cellStyle name="Акцент6 87" xfId="15480"/>
    <cellStyle name="Акцент6 88" xfId="15481"/>
    <cellStyle name="Акцент6 89" xfId="15482"/>
    <cellStyle name="Акцент6 9" xfId="15483"/>
    <cellStyle name="Акцент6 90" xfId="15484"/>
    <cellStyle name="Акцент6 91" xfId="15485"/>
    <cellStyle name="Акцент6 92" xfId="15486"/>
    <cellStyle name="Акцент6 93" xfId="15487"/>
    <cellStyle name="Акцент6 94" xfId="15488"/>
    <cellStyle name="Акцент6 95" xfId="15489"/>
    <cellStyle name="Акцент6 96" xfId="15490"/>
    <cellStyle name="Акцент6 97" xfId="15491"/>
    <cellStyle name="Акцент6 98" xfId="15492"/>
    <cellStyle name="Акцент6 99" xfId="15493"/>
    <cellStyle name="Ввод" xfId="15494"/>
    <cellStyle name="Ввод  10" xfId="15495"/>
    <cellStyle name="Ввод  100" xfId="15496"/>
    <cellStyle name="Ввод  101" xfId="15497"/>
    <cellStyle name="Ввод  102" xfId="15498"/>
    <cellStyle name="Ввод  103" xfId="15499"/>
    <cellStyle name="Ввод  104" xfId="15500"/>
    <cellStyle name="Ввод  105" xfId="15501"/>
    <cellStyle name="Ввод  106" xfId="15502"/>
    <cellStyle name="Ввод  107" xfId="15503"/>
    <cellStyle name="Ввод  108" xfId="15504"/>
    <cellStyle name="Ввод  109" xfId="15505"/>
    <cellStyle name="Ввод  11" xfId="15506"/>
    <cellStyle name="Ввод  110" xfId="15507"/>
    <cellStyle name="Ввод  111" xfId="15508"/>
    <cellStyle name="Ввод  112" xfId="15509"/>
    <cellStyle name="Ввод  113" xfId="15510"/>
    <cellStyle name="Ввод  114" xfId="15511"/>
    <cellStyle name="Ввод  115" xfId="15512"/>
    <cellStyle name="Ввод  116" xfId="15513"/>
    <cellStyle name="Ввод  117" xfId="15514"/>
    <cellStyle name="Ввод  118" xfId="15515"/>
    <cellStyle name="Ввод  119" xfId="15516"/>
    <cellStyle name="Ввод  12" xfId="15517"/>
    <cellStyle name="Ввод  120" xfId="15518"/>
    <cellStyle name="Ввод  121" xfId="15519"/>
    <cellStyle name="Ввод  122" xfId="15520"/>
    <cellStyle name="Ввод  123" xfId="15521"/>
    <cellStyle name="Ввод  124" xfId="15522"/>
    <cellStyle name="Ввод  125" xfId="15523"/>
    <cellStyle name="Ввод  126" xfId="15524"/>
    <cellStyle name="Ввод  127" xfId="15525"/>
    <cellStyle name="Ввод  128" xfId="15526"/>
    <cellStyle name="Ввод  129" xfId="15527"/>
    <cellStyle name="Ввод  13" xfId="15528"/>
    <cellStyle name="Ввод  130" xfId="15529"/>
    <cellStyle name="Ввод  131" xfId="15530"/>
    <cellStyle name="Ввод  132" xfId="15531"/>
    <cellStyle name="Ввод  133" xfId="15532"/>
    <cellStyle name="Ввод  134" xfId="15533"/>
    <cellStyle name="Ввод  135" xfId="15534"/>
    <cellStyle name="Ввод  136" xfId="15535"/>
    <cellStyle name="Ввод  137" xfId="15536"/>
    <cellStyle name="Ввод  138" xfId="15537"/>
    <cellStyle name="Ввод  139" xfId="15538"/>
    <cellStyle name="Ввод  14" xfId="15539"/>
    <cellStyle name="Ввод  140" xfId="15540"/>
    <cellStyle name="Ввод  141" xfId="15541"/>
    <cellStyle name="Ввод  142" xfId="15542"/>
    <cellStyle name="Ввод  143" xfId="15543"/>
    <cellStyle name="Ввод  144" xfId="15544"/>
    <cellStyle name="Ввод  145" xfId="15545"/>
    <cellStyle name="Ввод  146" xfId="15546"/>
    <cellStyle name="Ввод  147" xfId="15547"/>
    <cellStyle name="Ввод  148" xfId="15548"/>
    <cellStyle name="Ввод  149" xfId="15549"/>
    <cellStyle name="Ввод  15" xfId="15550"/>
    <cellStyle name="Ввод  150" xfId="15551"/>
    <cellStyle name="Ввод  151" xfId="15552"/>
    <cellStyle name="Ввод  152" xfId="15553"/>
    <cellStyle name="Ввод  16" xfId="15554"/>
    <cellStyle name="Ввод  17" xfId="15555"/>
    <cellStyle name="Ввод  18" xfId="15556"/>
    <cellStyle name="Ввод  19" xfId="15557"/>
    <cellStyle name="Ввод  2" xfId="308"/>
    <cellStyle name="Ввод  2 2" xfId="15558"/>
    <cellStyle name="Ввод  2 2 2" xfId="15559"/>
    <cellStyle name="Ввод  2 2 2 2" xfId="15560"/>
    <cellStyle name="Ввод  2 2 3" xfId="15561"/>
    <cellStyle name="Ввод  2 2 3 2" xfId="15562"/>
    <cellStyle name="Ввод  2 2 4" xfId="15563"/>
    <cellStyle name="Ввод  2 3" xfId="15564"/>
    <cellStyle name="Ввод  2 3 2" xfId="15565"/>
    <cellStyle name="Ввод  2 3 2 2" xfId="15566"/>
    <cellStyle name="Ввод  2 3 3" xfId="15567"/>
    <cellStyle name="Ввод  2 3 3 2" xfId="15568"/>
    <cellStyle name="Ввод  2 3 4" xfId="15569"/>
    <cellStyle name="Ввод  2 4" xfId="15570"/>
    <cellStyle name="Ввод  2 4 2" xfId="15571"/>
    <cellStyle name="Ввод  2 5" xfId="15572"/>
    <cellStyle name="Ввод  2 5 2" xfId="15573"/>
    <cellStyle name="Ввод  2 6" xfId="15574"/>
    <cellStyle name="Ввод  2 7" xfId="15575"/>
    <cellStyle name="Ввод  20" xfId="15576"/>
    <cellStyle name="Ввод  20 2" xfId="15577"/>
    <cellStyle name="Ввод  21" xfId="15578"/>
    <cellStyle name="Ввод  22" xfId="15579"/>
    <cellStyle name="Ввод  23" xfId="15580"/>
    <cellStyle name="Ввод  24" xfId="15581"/>
    <cellStyle name="Ввод  25" xfId="15582"/>
    <cellStyle name="Ввод  26" xfId="15583"/>
    <cellStyle name="Ввод  27" xfId="15584"/>
    <cellStyle name="Ввод  28" xfId="15585"/>
    <cellStyle name="Ввод  29" xfId="15586"/>
    <cellStyle name="Ввод  3" xfId="309"/>
    <cellStyle name="Ввод  30" xfId="15587"/>
    <cellStyle name="Ввод  31" xfId="15588"/>
    <cellStyle name="Ввод  32" xfId="15589"/>
    <cellStyle name="Ввод  33" xfId="15590"/>
    <cellStyle name="Ввод  34" xfId="15591"/>
    <cellStyle name="Ввод  35" xfId="15592"/>
    <cellStyle name="Ввод  36" xfId="15593"/>
    <cellStyle name="Ввод  37" xfId="15594"/>
    <cellStyle name="Ввод  38" xfId="15595"/>
    <cellStyle name="Ввод  39" xfId="15596"/>
    <cellStyle name="Ввод  4" xfId="310"/>
    <cellStyle name="Ввод  40" xfId="15597"/>
    <cellStyle name="Ввод  41" xfId="15598"/>
    <cellStyle name="Ввод  42" xfId="15599"/>
    <cellStyle name="Ввод  43" xfId="15600"/>
    <cellStyle name="Ввод  44" xfId="15601"/>
    <cellStyle name="Ввод  45" xfId="15602"/>
    <cellStyle name="Ввод  46" xfId="15603"/>
    <cellStyle name="Ввод  47" xfId="15604"/>
    <cellStyle name="Ввод  48" xfId="15605"/>
    <cellStyle name="Ввод  49" xfId="15606"/>
    <cellStyle name="Ввод  5" xfId="311"/>
    <cellStyle name="Ввод  50" xfId="15607"/>
    <cellStyle name="Ввод  51" xfId="15608"/>
    <cellStyle name="Ввод  52" xfId="15609"/>
    <cellStyle name="Ввод  53" xfId="15610"/>
    <cellStyle name="Ввод  54" xfId="15611"/>
    <cellStyle name="Ввод  55" xfId="15612"/>
    <cellStyle name="Ввод  56" xfId="15613"/>
    <cellStyle name="Ввод  57" xfId="15614"/>
    <cellStyle name="Ввод  58" xfId="15615"/>
    <cellStyle name="Ввод  59" xfId="15616"/>
    <cellStyle name="Ввод  6" xfId="15617"/>
    <cellStyle name="Ввод  60" xfId="15618"/>
    <cellStyle name="Ввод  61" xfId="15619"/>
    <cellStyle name="Ввод  62" xfId="15620"/>
    <cellStyle name="Ввод  63" xfId="15621"/>
    <cellStyle name="Ввод  64" xfId="15622"/>
    <cellStyle name="Ввод  65" xfId="15623"/>
    <cellStyle name="Ввод  66" xfId="15624"/>
    <cellStyle name="Ввод  67" xfId="15625"/>
    <cellStyle name="Ввод  68" xfId="15626"/>
    <cellStyle name="Ввод  69" xfId="15627"/>
    <cellStyle name="Ввод  7" xfId="15628"/>
    <cellStyle name="Ввод  70" xfId="15629"/>
    <cellStyle name="Ввод  71" xfId="15630"/>
    <cellStyle name="Ввод  72" xfId="15631"/>
    <cellStyle name="Ввод  73" xfId="15632"/>
    <cellStyle name="Ввод  74" xfId="15633"/>
    <cellStyle name="Ввод  75" xfId="15634"/>
    <cellStyle name="Ввод  76" xfId="15635"/>
    <cellStyle name="Ввод  77" xfId="15636"/>
    <cellStyle name="Ввод  78" xfId="15637"/>
    <cellStyle name="Ввод  79" xfId="15638"/>
    <cellStyle name="Ввод  8" xfId="15639"/>
    <cellStyle name="Ввод  80" xfId="15640"/>
    <cellStyle name="Ввод  81" xfId="15641"/>
    <cellStyle name="Ввод  82" xfId="15642"/>
    <cellStyle name="Ввод  83" xfId="15643"/>
    <cellStyle name="Ввод  84" xfId="15644"/>
    <cellStyle name="Ввод  85" xfId="15645"/>
    <cellStyle name="Ввод  86" xfId="15646"/>
    <cellStyle name="Ввод  87" xfId="15647"/>
    <cellStyle name="Ввод  88" xfId="15648"/>
    <cellStyle name="Ввод  89" xfId="15649"/>
    <cellStyle name="Ввод  9" xfId="15650"/>
    <cellStyle name="Ввод  90" xfId="15651"/>
    <cellStyle name="Ввод  91" xfId="15652"/>
    <cellStyle name="Ввод  92" xfId="15653"/>
    <cellStyle name="Ввод  93" xfId="15654"/>
    <cellStyle name="Ввод  94" xfId="15655"/>
    <cellStyle name="Ввод  95" xfId="15656"/>
    <cellStyle name="Ввод  96" xfId="15657"/>
    <cellStyle name="Ввод  97" xfId="15658"/>
    <cellStyle name="Ввод  98" xfId="15659"/>
    <cellStyle name="Ввод  99" xfId="15660"/>
    <cellStyle name="Верт. заголовок" xfId="15661"/>
    <cellStyle name="Выбор варианта" xfId="15662"/>
    <cellStyle name="Вывод 10" xfId="15663"/>
    <cellStyle name="Вывод 100" xfId="15664"/>
    <cellStyle name="Вывод 101" xfId="15665"/>
    <cellStyle name="Вывод 102" xfId="15666"/>
    <cellStyle name="Вывод 103" xfId="15667"/>
    <cellStyle name="Вывод 104" xfId="15668"/>
    <cellStyle name="Вывод 105" xfId="15669"/>
    <cellStyle name="Вывод 106" xfId="15670"/>
    <cellStyle name="Вывод 107" xfId="15671"/>
    <cellStyle name="Вывод 108" xfId="15672"/>
    <cellStyle name="Вывод 109" xfId="15673"/>
    <cellStyle name="Вывод 11" xfId="15674"/>
    <cellStyle name="Вывод 110" xfId="15675"/>
    <cellStyle name="Вывод 111" xfId="15676"/>
    <cellStyle name="Вывод 112" xfId="15677"/>
    <cellStyle name="Вывод 113" xfId="15678"/>
    <cellStyle name="Вывод 114" xfId="15679"/>
    <cellStyle name="Вывод 115" xfId="15680"/>
    <cellStyle name="Вывод 116" xfId="15681"/>
    <cellStyle name="Вывод 117" xfId="15682"/>
    <cellStyle name="Вывод 118" xfId="15683"/>
    <cellStyle name="Вывод 119" xfId="15684"/>
    <cellStyle name="Вывод 12" xfId="15685"/>
    <cellStyle name="Вывод 120" xfId="15686"/>
    <cellStyle name="Вывод 121" xfId="15687"/>
    <cellStyle name="Вывод 122" xfId="15688"/>
    <cellStyle name="Вывод 123" xfId="15689"/>
    <cellStyle name="Вывод 124" xfId="15690"/>
    <cellStyle name="Вывод 125" xfId="15691"/>
    <cellStyle name="Вывод 126" xfId="15692"/>
    <cellStyle name="Вывод 127" xfId="15693"/>
    <cellStyle name="Вывод 128" xfId="15694"/>
    <cellStyle name="Вывод 129" xfId="15695"/>
    <cellStyle name="Вывод 13" xfId="15696"/>
    <cellStyle name="Вывод 130" xfId="15697"/>
    <cellStyle name="Вывод 131" xfId="15698"/>
    <cellStyle name="Вывод 132" xfId="15699"/>
    <cellStyle name="Вывод 133" xfId="15700"/>
    <cellStyle name="Вывод 134" xfId="15701"/>
    <cellStyle name="Вывод 135" xfId="15702"/>
    <cellStyle name="Вывод 136" xfId="15703"/>
    <cellStyle name="Вывод 137" xfId="15704"/>
    <cellStyle name="Вывод 138" xfId="15705"/>
    <cellStyle name="Вывод 139" xfId="15706"/>
    <cellStyle name="Вывод 14" xfId="15707"/>
    <cellStyle name="Вывод 140" xfId="15708"/>
    <cellStyle name="Вывод 141" xfId="15709"/>
    <cellStyle name="Вывод 142" xfId="15710"/>
    <cellStyle name="Вывод 143" xfId="15711"/>
    <cellStyle name="Вывод 144" xfId="15712"/>
    <cellStyle name="Вывод 145" xfId="15713"/>
    <cellStyle name="Вывод 146" xfId="15714"/>
    <cellStyle name="Вывод 147" xfId="15715"/>
    <cellStyle name="Вывод 148" xfId="15716"/>
    <cellStyle name="Вывод 149" xfId="15717"/>
    <cellStyle name="Вывод 15" xfId="15718"/>
    <cellStyle name="Вывод 150" xfId="15719"/>
    <cellStyle name="Вывод 151" xfId="15720"/>
    <cellStyle name="Вывод 152" xfId="15721"/>
    <cellStyle name="Вывод 16" xfId="15722"/>
    <cellStyle name="Вывод 17" xfId="15723"/>
    <cellStyle name="Вывод 18" xfId="15724"/>
    <cellStyle name="Вывод 19" xfId="15725"/>
    <cellStyle name="Вывод 2" xfId="312"/>
    <cellStyle name="Вывод 2 2" xfId="15726"/>
    <cellStyle name="Вывод 2 2 2" xfId="15727"/>
    <cellStyle name="Вывод 2 2 2 2" xfId="15728"/>
    <cellStyle name="Вывод 2 2 3" xfId="15729"/>
    <cellStyle name="Вывод 2 2 3 2" xfId="15730"/>
    <cellStyle name="Вывод 2 2 4" xfId="15731"/>
    <cellStyle name="Вывод 2 3" xfId="15732"/>
    <cellStyle name="Вывод 2 3 2" xfId="15733"/>
    <cellStyle name="Вывод 2 3 2 2" xfId="15734"/>
    <cellStyle name="Вывод 2 3 3" xfId="15735"/>
    <cellStyle name="Вывод 2 3 3 2" xfId="15736"/>
    <cellStyle name="Вывод 2 3 4" xfId="15737"/>
    <cellStyle name="Вывод 2 4" xfId="15738"/>
    <cellStyle name="Вывод 2 4 2" xfId="15739"/>
    <cellStyle name="Вывод 2 5" xfId="15740"/>
    <cellStyle name="Вывод 2 5 2" xfId="15741"/>
    <cellStyle name="Вывод 2 6" xfId="15742"/>
    <cellStyle name="Вывод 2 7" xfId="15743"/>
    <cellStyle name="Вывод 20" xfId="15744"/>
    <cellStyle name="Вывод 20 2" xfId="15745"/>
    <cellStyle name="Вывод 21" xfId="15746"/>
    <cellStyle name="Вывод 22" xfId="15747"/>
    <cellStyle name="Вывод 23" xfId="15748"/>
    <cellStyle name="Вывод 24" xfId="15749"/>
    <cellStyle name="Вывод 25" xfId="15750"/>
    <cellStyle name="Вывод 26" xfId="15751"/>
    <cellStyle name="Вывод 27" xfId="15752"/>
    <cellStyle name="Вывод 28" xfId="15753"/>
    <cellStyle name="Вывод 29" xfId="15754"/>
    <cellStyle name="Вывод 3" xfId="313"/>
    <cellStyle name="Вывод 30" xfId="15755"/>
    <cellStyle name="Вывод 31" xfId="15756"/>
    <cellStyle name="Вывод 32" xfId="15757"/>
    <cellStyle name="Вывод 33" xfId="15758"/>
    <cellStyle name="Вывод 34" xfId="15759"/>
    <cellStyle name="Вывод 35" xfId="15760"/>
    <cellStyle name="Вывод 36" xfId="15761"/>
    <cellStyle name="Вывод 37" xfId="15762"/>
    <cellStyle name="Вывод 38" xfId="15763"/>
    <cellStyle name="Вывод 39" xfId="15764"/>
    <cellStyle name="Вывод 4" xfId="314"/>
    <cellStyle name="Вывод 40" xfId="15765"/>
    <cellStyle name="Вывод 41" xfId="15766"/>
    <cellStyle name="Вывод 42" xfId="15767"/>
    <cellStyle name="Вывод 43" xfId="15768"/>
    <cellStyle name="Вывод 44" xfId="15769"/>
    <cellStyle name="Вывод 45" xfId="15770"/>
    <cellStyle name="Вывод 46" xfId="15771"/>
    <cellStyle name="Вывод 47" xfId="15772"/>
    <cellStyle name="Вывод 48" xfId="15773"/>
    <cellStyle name="Вывод 49" xfId="15774"/>
    <cellStyle name="Вывод 5" xfId="315"/>
    <cellStyle name="Вывод 50" xfId="15775"/>
    <cellStyle name="Вывод 51" xfId="15776"/>
    <cellStyle name="Вывод 52" xfId="15777"/>
    <cellStyle name="Вывод 53" xfId="15778"/>
    <cellStyle name="Вывод 54" xfId="15779"/>
    <cellStyle name="Вывод 55" xfId="15780"/>
    <cellStyle name="Вывод 56" xfId="15781"/>
    <cellStyle name="Вывод 57" xfId="15782"/>
    <cellStyle name="Вывод 58" xfId="15783"/>
    <cellStyle name="Вывод 59" xfId="15784"/>
    <cellStyle name="Вывод 6" xfId="15785"/>
    <cellStyle name="Вывод 60" xfId="15786"/>
    <cellStyle name="Вывод 61" xfId="15787"/>
    <cellStyle name="Вывод 62" xfId="15788"/>
    <cellStyle name="Вывод 63" xfId="15789"/>
    <cellStyle name="Вывод 64" xfId="15790"/>
    <cellStyle name="Вывод 65" xfId="15791"/>
    <cellStyle name="Вывод 66" xfId="15792"/>
    <cellStyle name="Вывод 67" xfId="15793"/>
    <cellStyle name="Вывод 68" xfId="15794"/>
    <cellStyle name="Вывод 69" xfId="15795"/>
    <cellStyle name="Вывод 7" xfId="15796"/>
    <cellStyle name="Вывод 70" xfId="15797"/>
    <cellStyle name="Вывод 71" xfId="15798"/>
    <cellStyle name="Вывод 72" xfId="15799"/>
    <cellStyle name="Вывод 73" xfId="15800"/>
    <cellStyle name="Вывод 74" xfId="15801"/>
    <cellStyle name="Вывод 75" xfId="15802"/>
    <cellStyle name="Вывод 76" xfId="15803"/>
    <cellStyle name="Вывод 77" xfId="15804"/>
    <cellStyle name="Вывод 78" xfId="15805"/>
    <cellStyle name="Вывод 79" xfId="15806"/>
    <cellStyle name="Вывод 8" xfId="15807"/>
    <cellStyle name="Вывод 80" xfId="15808"/>
    <cellStyle name="Вывод 81" xfId="15809"/>
    <cellStyle name="Вывод 82" xfId="15810"/>
    <cellStyle name="Вывод 83" xfId="15811"/>
    <cellStyle name="Вывод 84" xfId="15812"/>
    <cellStyle name="Вывод 85" xfId="15813"/>
    <cellStyle name="Вывод 86" xfId="15814"/>
    <cellStyle name="Вывод 87" xfId="15815"/>
    <cellStyle name="Вывод 88" xfId="15816"/>
    <cellStyle name="Вывод 89" xfId="15817"/>
    <cellStyle name="Вывод 9" xfId="15818"/>
    <cellStyle name="Вывод 90" xfId="15819"/>
    <cellStyle name="Вывод 91" xfId="15820"/>
    <cellStyle name="Вывод 92" xfId="15821"/>
    <cellStyle name="Вывод 93" xfId="15822"/>
    <cellStyle name="Вывод 94" xfId="15823"/>
    <cellStyle name="Вывод 95" xfId="15824"/>
    <cellStyle name="Вывод 96" xfId="15825"/>
    <cellStyle name="Вывод 97" xfId="15826"/>
    <cellStyle name="Вывод 98" xfId="15827"/>
    <cellStyle name="Вывод 99" xfId="15828"/>
    <cellStyle name="Вычисление 10" xfId="15829"/>
    <cellStyle name="Вычисление 100" xfId="15830"/>
    <cellStyle name="Вычисление 101" xfId="15831"/>
    <cellStyle name="Вычисление 102" xfId="15832"/>
    <cellStyle name="Вычисление 103" xfId="15833"/>
    <cellStyle name="Вычисление 104" xfId="15834"/>
    <cellStyle name="Вычисление 105" xfId="15835"/>
    <cellStyle name="Вычисление 106" xfId="15836"/>
    <cellStyle name="Вычисление 107" xfId="15837"/>
    <cellStyle name="Вычисление 108" xfId="15838"/>
    <cellStyle name="Вычисление 109" xfId="15839"/>
    <cellStyle name="Вычисление 11" xfId="15840"/>
    <cellStyle name="Вычисление 110" xfId="15841"/>
    <cellStyle name="Вычисление 111" xfId="15842"/>
    <cellStyle name="Вычисление 112" xfId="15843"/>
    <cellStyle name="Вычисление 113" xfId="15844"/>
    <cellStyle name="Вычисление 114" xfId="15845"/>
    <cellStyle name="Вычисление 115" xfId="15846"/>
    <cellStyle name="Вычисление 116" xfId="15847"/>
    <cellStyle name="Вычисление 117" xfId="15848"/>
    <cellStyle name="Вычисление 118" xfId="15849"/>
    <cellStyle name="Вычисление 119" xfId="15850"/>
    <cellStyle name="Вычисление 12" xfId="15851"/>
    <cellStyle name="Вычисление 120" xfId="15852"/>
    <cellStyle name="Вычисление 121" xfId="15853"/>
    <cellStyle name="Вычисление 122" xfId="15854"/>
    <cellStyle name="Вычисление 123" xfId="15855"/>
    <cellStyle name="Вычисление 124" xfId="15856"/>
    <cellStyle name="Вычисление 125" xfId="15857"/>
    <cellStyle name="Вычисление 126" xfId="15858"/>
    <cellStyle name="Вычисление 127" xfId="15859"/>
    <cellStyle name="Вычисление 128" xfId="15860"/>
    <cellStyle name="Вычисление 129" xfId="15861"/>
    <cellStyle name="Вычисление 13" xfId="15862"/>
    <cellStyle name="Вычисление 130" xfId="15863"/>
    <cellStyle name="Вычисление 131" xfId="15864"/>
    <cellStyle name="Вычисление 132" xfId="15865"/>
    <cellStyle name="Вычисление 133" xfId="15866"/>
    <cellStyle name="Вычисление 134" xfId="15867"/>
    <cellStyle name="Вычисление 135" xfId="15868"/>
    <cellStyle name="Вычисление 136" xfId="15869"/>
    <cellStyle name="Вычисление 137" xfId="15870"/>
    <cellStyle name="Вычисление 138" xfId="15871"/>
    <cellStyle name="Вычисление 139" xfId="15872"/>
    <cellStyle name="Вычисление 14" xfId="15873"/>
    <cellStyle name="Вычисление 140" xfId="15874"/>
    <cellStyle name="Вычисление 141" xfId="15875"/>
    <cellStyle name="Вычисление 142" xfId="15876"/>
    <cellStyle name="Вычисление 143" xfId="15877"/>
    <cellStyle name="Вычисление 144" xfId="15878"/>
    <cellStyle name="Вычисление 145" xfId="15879"/>
    <cellStyle name="Вычисление 146" xfId="15880"/>
    <cellStyle name="Вычисление 147" xfId="15881"/>
    <cellStyle name="Вычисление 148" xfId="15882"/>
    <cellStyle name="Вычисление 149" xfId="15883"/>
    <cellStyle name="Вычисление 15" xfId="15884"/>
    <cellStyle name="Вычисление 150" xfId="15885"/>
    <cellStyle name="Вычисление 151" xfId="15886"/>
    <cellStyle name="Вычисление 152" xfId="15887"/>
    <cellStyle name="Вычисление 16" xfId="15888"/>
    <cellStyle name="Вычисление 17" xfId="15889"/>
    <cellStyle name="Вычисление 18" xfId="15890"/>
    <cellStyle name="Вычисление 19" xfId="15891"/>
    <cellStyle name="Вычисление 2" xfId="316"/>
    <cellStyle name="Вычисление 2 2" xfId="15892"/>
    <cellStyle name="Вычисление 2 2 2" xfId="15893"/>
    <cellStyle name="Вычисление 2 2 2 2" xfId="15894"/>
    <cellStyle name="Вычисление 2 2 3" xfId="15895"/>
    <cellStyle name="Вычисление 2 2 3 2" xfId="15896"/>
    <cellStyle name="Вычисление 2 2 4" xfId="15897"/>
    <cellStyle name="Вычисление 2 3" xfId="15898"/>
    <cellStyle name="Вычисление 2 3 2" xfId="15899"/>
    <cellStyle name="Вычисление 2 3 2 2" xfId="15900"/>
    <cellStyle name="Вычисление 2 3 3" xfId="15901"/>
    <cellStyle name="Вычисление 2 3 3 2" xfId="15902"/>
    <cellStyle name="Вычисление 2 3 4" xfId="15903"/>
    <cellStyle name="Вычисление 2 4" xfId="15904"/>
    <cellStyle name="Вычисление 2 4 2" xfId="15905"/>
    <cellStyle name="Вычисление 2 5" xfId="15906"/>
    <cellStyle name="Вычисление 2 5 2" xfId="15907"/>
    <cellStyle name="Вычисление 2 6" xfId="15908"/>
    <cellStyle name="Вычисление 2 7" xfId="15909"/>
    <cellStyle name="Вычисление 20" xfId="15910"/>
    <cellStyle name="Вычисление 20 2" xfId="15911"/>
    <cellStyle name="Вычисление 21" xfId="15912"/>
    <cellStyle name="Вычисление 22" xfId="15913"/>
    <cellStyle name="Вычисление 23" xfId="15914"/>
    <cellStyle name="Вычисление 24" xfId="15915"/>
    <cellStyle name="Вычисление 25" xfId="15916"/>
    <cellStyle name="Вычисление 26" xfId="15917"/>
    <cellStyle name="Вычисление 27" xfId="15918"/>
    <cellStyle name="Вычисление 28" xfId="15919"/>
    <cellStyle name="Вычисление 29" xfId="15920"/>
    <cellStyle name="Вычисление 3" xfId="317"/>
    <cellStyle name="Вычисление 30" xfId="15921"/>
    <cellStyle name="Вычисление 31" xfId="15922"/>
    <cellStyle name="Вычисление 32" xfId="15923"/>
    <cellStyle name="Вычисление 33" xfId="15924"/>
    <cellStyle name="Вычисление 34" xfId="15925"/>
    <cellStyle name="Вычисление 35" xfId="15926"/>
    <cellStyle name="Вычисление 36" xfId="15927"/>
    <cellStyle name="Вычисление 37" xfId="15928"/>
    <cellStyle name="Вычисление 38" xfId="15929"/>
    <cellStyle name="Вычисление 39" xfId="15930"/>
    <cellStyle name="Вычисление 4" xfId="318"/>
    <cellStyle name="Вычисление 40" xfId="15931"/>
    <cellStyle name="Вычисление 41" xfId="15932"/>
    <cellStyle name="Вычисление 42" xfId="15933"/>
    <cellStyle name="Вычисление 43" xfId="15934"/>
    <cellStyle name="Вычисление 44" xfId="15935"/>
    <cellStyle name="Вычисление 45" xfId="15936"/>
    <cellStyle name="Вычисление 46" xfId="15937"/>
    <cellStyle name="Вычисление 47" xfId="15938"/>
    <cellStyle name="Вычисление 48" xfId="15939"/>
    <cellStyle name="Вычисление 49" xfId="15940"/>
    <cellStyle name="Вычисление 5" xfId="319"/>
    <cellStyle name="Вычисление 50" xfId="15941"/>
    <cellStyle name="Вычисление 51" xfId="15942"/>
    <cellStyle name="Вычисление 52" xfId="15943"/>
    <cellStyle name="Вычисление 53" xfId="15944"/>
    <cellStyle name="Вычисление 54" xfId="15945"/>
    <cellStyle name="Вычисление 55" xfId="15946"/>
    <cellStyle name="Вычисление 56" xfId="15947"/>
    <cellStyle name="Вычисление 57" xfId="15948"/>
    <cellStyle name="Вычисление 58" xfId="15949"/>
    <cellStyle name="Вычисление 59" xfId="15950"/>
    <cellStyle name="Вычисление 6" xfId="15951"/>
    <cellStyle name="Вычисление 60" xfId="15952"/>
    <cellStyle name="Вычисление 61" xfId="15953"/>
    <cellStyle name="Вычисление 62" xfId="15954"/>
    <cellStyle name="Вычисление 63" xfId="15955"/>
    <cellStyle name="Вычисление 64" xfId="15956"/>
    <cellStyle name="Вычисление 65" xfId="15957"/>
    <cellStyle name="Вычисление 66" xfId="15958"/>
    <cellStyle name="Вычисление 67" xfId="15959"/>
    <cellStyle name="Вычисление 68" xfId="15960"/>
    <cellStyle name="Вычисление 69" xfId="15961"/>
    <cellStyle name="Вычисление 7" xfId="15962"/>
    <cellStyle name="Вычисление 70" xfId="15963"/>
    <cellStyle name="Вычисление 71" xfId="15964"/>
    <cellStyle name="Вычисление 72" xfId="15965"/>
    <cellStyle name="Вычисление 73" xfId="15966"/>
    <cellStyle name="Вычисление 74" xfId="15967"/>
    <cellStyle name="Вычисление 75" xfId="15968"/>
    <cellStyle name="Вычисление 76" xfId="15969"/>
    <cellStyle name="Вычисление 77" xfId="15970"/>
    <cellStyle name="Вычисление 78" xfId="15971"/>
    <cellStyle name="Вычисление 79" xfId="15972"/>
    <cellStyle name="Вычисление 8" xfId="15973"/>
    <cellStyle name="Вычисление 80" xfId="15974"/>
    <cellStyle name="Вычисление 81" xfId="15975"/>
    <cellStyle name="Вычисление 82" xfId="15976"/>
    <cellStyle name="Вычисление 83" xfId="15977"/>
    <cellStyle name="Вычисление 84" xfId="15978"/>
    <cellStyle name="Вычисление 85" xfId="15979"/>
    <cellStyle name="Вычисление 86" xfId="15980"/>
    <cellStyle name="Вычисление 87" xfId="15981"/>
    <cellStyle name="Вычисление 88" xfId="15982"/>
    <cellStyle name="Вычисление 89" xfId="15983"/>
    <cellStyle name="Вычисление 9" xfId="15984"/>
    <cellStyle name="Вычисление 90" xfId="15985"/>
    <cellStyle name="Вычисление 91" xfId="15986"/>
    <cellStyle name="Вычисление 92" xfId="15987"/>
    <cellStyle name="Вычисление 93" xfId="15988"/>
    <cellStyle name="Вычисление 94" xfId="15989"/>
    <cellStyle name="Вычисление 95" xfId="15990"/>
    <cellStyle name="Вычисление 96" xfId="15991"/>
    <cellStyle name="Вычисление 97" xfId="15992"/>
    <cellStyle name="Вычисление 98" xfId="15993"/>
    <cellStyle name="Вычисление 99" xfId="15994"/>
    <cellStyle name="Гиперссылка" xfId="487" builtinId="8"/>
    <cellStyle name="Гиперссылка 2" xfId="320"/>
    <cellStyle name="Гиперссылка 2 2" xfId="479"/>
    <cellStyle name="Гиперссылка 2 3" xfId="15995"/>
    <cellStyle name="Гиперссылка 2 4" xfId="15996"/>
    <cellStyle name="Гиперссылка 3" xfId="15997"/>
    <cellStyle name="Данные" xfId="15998"/>
    <cellStyle name="Данные 2" xfId="15999"/>
    <cellStyle name="Данные 3" xfId="16000"/>
    <cellStyle name="Данные 4" xfId="16001"/>
    <cellStyle name="Дата" xfId="16002"/>
    <cellStyle name="Денежный 2" xfId="16003"/>
    <cellStyle name="Денежный 2 2" xfId="16004"/>
    <cellStyle name="Денежный 2 2 10" xfId="16005"/>
    <cellStyle name="Денежный 2 2 2" xfId="16006"/>
    <cellStyle name="Денежный 2 2 3" xfId="16007"/>
    <cellStyle name="Денежный 2 2 4" xfId="16008"/>
    <cellStyle name="Денежный 2 2 5" xfId="16009"/>
    <cellStyle name="Денежный 2 2 6" xfId="16010"/>
    <cellStyle name="Денежный 2 2 7" xfId="16011"/>
    <cellStyle name="Денежный 2 2 8" xfId="16012"/>
    <cellStyle name="Денежный 2 2 9" xfId="16013"/>
    <cellStyle name="Денежный 2 3" xfId="16014"/>
    <cellStyle name="Денежный 2 3 10" xfId="16015"/>
    <cellStyle name="Денежный 2 3 2" xfId="16016"/>
    <cellStyle name="Денежный 2 3 3" xfId="16017"/>
    <cellStyle name="Денежный 2 3 4" xfId="16018"/>
    <cellStyle name="Денежный 2 3 5" xfId="16019"/>
    <cellStyle name="Денежный 2 3 6" xfId="16020"/>
    <cellStyle name="Денежный 2 3 7" xfId="16021"/>
    <cellStyle name="Денежный 2 3 8" xfId="16022"/>
    <cellStyle name="Денежный 2 3 9" xfId="16023"/>
    <cellStyle name="Денежный 2 4" xfId="16024"/>
    <cellStyle name="Денежный 2 4 10" xfId="16025"/>
    <cellStyle name="Денежный 2 4 2" xfId="16026"/>
    <cellStyle name="Денежный 2 4 3" xfId="16027"/>
    <cellStyle name="Денежный 2 4 4" xfId="16028"/>
    <cellStyle name="Денежный 2 4 5" xfId="16029"/>
    <cellStyle name="Денежный 2 4 6" xfId="16030"/>
    <cellStyle name="Денежный 2 4 7" xfId="16031"/>
    <cellStyle name="Денежный 2 4 8" xfId="16032"/>
    <cellStyle name="Денежный 2 4 9" xfId="16033"/>
    <cellStyle name="Денежный 2 5" xfId="16034"/>
    <cellStyle name="Денежный 2 5 10" xfId="16035"/>
    <cellStyle name="Денежный 2 5 2" xfId="16036"/>
    <cellStyle name="Денежный 2 5 3" xfId="16037"/>
    <cellStyle name="Денежный 2 5 4" xfId="16038"/>
    <cellStyle name="Денежный 2 5 5" xfId="16039"/>
    <cellStyle name="Денежный 2 5 6" xfId="16040"/>
    <cellStyle name="Денежный 2 5 7" xfId="16041"/>
    <cellStyle name="Денежный 2 5 8" xfId="16042"/>
    <cellStyle name="Денежный 2 5 9" xfId="16043"/>
    <cellStyle name="Денежный 2 6" xfId="16044"/>
    <cellStyle name="Денежный 2 6 10" xfId="16045"/>
    <cellStyle name="Денежный 2 6 2" xfId="16046"/>
    <cellStyle name="Денежный 2 6 3" xfId="16047"/>
    <cellStyle name="Денежный 2 6 4" xfId="16048"/>
    <cellStyle name="Денежный 2 6 5" xfId="16049"/>
    <cellStyle name="Денежный 2 6 6" xfId="16050"/>
    <cellStyle name="Денежный 2 6 7" xfId="16051"/>
    <cellStyle name="Денежный 2 6 8" xfId="16052"/>
    <cellStyle name="Денежный 2 6 9" xfId="16053"/>
    <cellStyle name="Денежный 2 7" xfId="16054"/>
    <cellStyle name="Денежный 2 7 10" xfId="16055"/>
    <cellStyle name="Денежный 2 7 2" xfId="16056"/>
    <cellStyle name="Денежный 2 7 3" xfId="16057"/>
    <cellStyle name="Денежный 2 7 4" xfId="16058"/>
    <cellStyle name="Денежный 2 7 5" xfId="16059"/>
    <cellStyle name="Денежный 2 7 6" xfId="16060"/>
    <cellStyle name="Денежный 2 7 7" xfId="16061"/>
    <cellStyle name="Денежный 2 7 8" xfId="16062"/>
    <cellStyle name="Денежный 2 7 9" xfId="16063"/>
    <cellStyle name="Денежный 2 8" xfId="16064"/>
    <cellStyle name="Денежный 2 8 10" xfId="16065"/>
    <cellStyle name="Денежный 2 8 2" xfId="16066"/>
    <cellStyle name="Денежный 2 8 3" xfId="16067"/>
    <cellStyle name="Денежный 2 8 4" xfId="16068"/>
    <cellStyle name="Денежный 2 8 5" xfId="16069"/>
    <cellStyle name="Денежный 2 8 6" xfId="16070"/>
    <cellStyle name="Денежный 2 8 7" xfId="16071"/>
    <cellStyle name="Денежный 2 8 8" xfId="16072"/>
    <cellStyle name="Денежный 2 8 9" xfId="16073"/>
    <cellStyle name="Денежный 2 9" xfId="16074"/>
    <cellStyle name="Денежный 2 9 10" xfId="16075"/>
    <cellStyle name="Денежный 2 9 2" xfId="16076"/>
    <cellStyle name="Денежный 2 9 3" xfId="16077"/>
    <cellStyle name="Денежный 2 9 4" xfId="16078"/>
    <cellStyle name="Денежный 2 9 5" xfId="16079"/>
    <cellStyle name="Денежный 2 9 6" xfId="16080"/>
    <cellStyle name="Денежный 2 9 7" xfId="16081"/>
    <cellStyle name="Денежный 2 9 8" xfId="16082"/>
    <cellStyle name="Денежный 2 9 9" xfId="16083"/>
    <cellStyle name="Денежпый_Доход1" xfId="16084"/>
    <cellStyle name="Дэшборд" xfId="16085"/>
    <cellStyle name="Заголовки столбцов" xfId="16086"/>
    <cellStyle name="Заголовок 1 10" xfId="16087"/>
    <cellStyle name="Заголовок 1 100" xfId="16088"/>
    <cellStyle name="Заголовок 1 101" xfId="16089"/>
    <cellStyle name="Заголовок 1 102" xfId="16090"/>
    <cellStyle name="Заголовок 1 103" xfId="16091"/>
    <cellStyle name="Заголовок 1 104" xfId="16092"/>
    <cellStyle name="Заголовок 1 105" xfId="16093"/>
    <cellStyle name="Заголовок 1 106" xfId="16094"/>
    <cellStyle name="Заголовок 1 107" xfId="16095"/>
    <cellStyle name="Заголовок 1 108" xfId="16096"/>
    <cellStyle name="Заголовок 1 109" xfId="16097"/>
    <cellStyle name="Заголовок 1 11" xfId="16098"/>
    <cellStyle name="Заголовок 1 110" xfId="16099"/>
    <cellStyle name="Заголовок 1 111" xfId="16100"/>
    <cellStyle name="Заголовок 1 112" xfId="16101"/>
    <cellStyle name="Заголовок 1 113" xfId="16102"/>
    <cellStyle name="Заголовок 1 114" xfId="16103"/>
    <cellStyle name="Заголовок 1 115" xfId="16104"/>
    <cellStyle name="Заголовок 1 116" xfId="16105"/>
    <cellStyle name="Заголовок 1 117" xfId="16106"/>
    <cellStyle name="Заголовок 1 118" xfId="16107"/>
    <cellStyle name="Заголовок 1 119" xfId="16108"/>
    <cellStyle name="Заголовок 1 12" xfId="16109"/>
    <cellStyle name="Заголовок 1 120" xfId="16110"/>
    <cellStyle name="Заголовок 1 121" xfId="16111"/>
    <cellStyle name="Заголовок 1 122" xfId="16112"/>
    <cellStyle name="Заголовок 1 123" xfId="16113"/>
    <cellStyle name="Заголовок 1 124" xfId="16114"/>
    <cellStyle name="Заголовок 1 125" xfId="16115"/>
    <cellStyle name="Заголовок 1 126" xfId="16116"/>
    <cellStyle name="Заголовок 1 127" xfId="16117"/>
    <cellStyle name="Заголовок 1 128" xfId="16118"/>
    <cellStyle name="Заголовок 1 129" xfId="16119"/>
    <cellStyle name="Заголовок 1 13" xfId="16120"/>
    <cellStyle name="Заголовок 1 130" xfId="16121"/>
    <cellStyle name="Заголовок 1 131" xfId="16122"/>
    <cellStyle name="Заголовок 1 132" xfId="16123"/>
    <cellStyle name="Заголовок 1 133" xfId="16124"/>
    <cellStyle name="Заголовок 1 134" xfId="16125"/>
    <cellStyle name="Заголовок 1 135" xfId="16126"/>
    <cellStyle name="Заголовок 1 136" xfId="16127"/>
    <cellStyle name="Заголовок 1 137" xfId="16128"/>
    <cellStyle name="Заголовок 1 138" xfId="16129"/>
    <cellStyle name="Заголовок 1 139" xfId="16130"/>
    <cellStyle name="Заголовок 1 14" xfId="16131"/>
    <cellStyle name="Заголовок 1 140" xfId="16132"/>
    <cellStyle name="Заголовок 1 141" xfId="16133"/>
    <cellStyle name="Заголовок 1 142" xfId="16134"/>
    <cellStyle name="Заголовок 1 143" xfId="16135"/>
    <cellStyle name="Заголовок 1 144" xfId="16136"/>
    <cellStyle name="Заголовок 1 145" xfId="16137"/>
    <cellStyle name="Заголовок 1 146" xfId="16138"/>
    <cellStyle name="Заголовок 1 147" xfId="16139"/>
    <cellStyle name="Заголовок 1 148" xfId="16140"/>
    <cellStyle name="Заголовок 1 149" xfId="16141"/>
    <cellStyle name="Заголовок 1 15" xfId="16142"/>
    <cellStyle name="Заголовок 1 150" xfId="16143"/>
    <cellStyle name="Заголовок 1 151" xfId="16144"/>
    <cellStyle name="Заголовок 1 152" xfId="16145"/>
    <cellStyle name="Заголовок 1 16" xfId="16146"/>
    <cellStyle name="Заголовок 1 17" xfId="16147"/>
    <cellStyle name="Заголовок 1 18" xfId="16148"/>
    <cellStyle name="Заголовок 1 19" xfId="16149"/>
    <cellStyle name="Заголовок 1 2" xfId="321"/>
    <cellStyle name="Заголовок 1 2 2" xfId="16150"/>
    <cellStyle name="Заголовок 1 2 3" xfId="16151"/>
    <cellStyle name="Заголовок 1 2 4" xfId="16152"/>
    <cellStyle name="Заголовок 1 2 5" xfId="16153"/>
    <cellStyle name="Заголовок 1 2 6" xfId="16154"/>
    <cellStyle name="Заголовок 1 2 7" xfId="16155"/>
    <cellStyle name="Заголовок 1 20" xfId="16156"/>
    <cellStyle name="Заголовок 1 20 2" xfId="16157"/>
    <cellStyle name="Заголовок 1 21" xfId="16158"/>
    <cellStyle name="Заголовок 1 22" xfId="16159"/>
    <cellStyle name="Заголовок 1 23" xfId="16160"/>
    <cellStyle name="Заголовок 1 24" xfId="16161"/>
    <cellStyle name="Заголовок 1 25" xfId="16162"/>
    <cellStyle name="Заголовок 1 26" xfId="16163"/>
    <cellStyle name="Заголовок 1 27" xfId="16164"/>
    <cellStyle name="Заголовок 1 28" xfId="16165"/>
    <cellStyle name="Заголовок 1 29" xfId="16166"/>
    <cellStyle name="Заголовок 1 3" xfId="16167"/>
    <cellStyle name="Заголовок 1 30" xfId="16168"/>
    <cellStyle name="Заголовок 1 31" xfId="16169"/>
    <cellStyle name="Заголовок 1 32" xfId="16170"/>
    <cellStyle name="Заголовок 1 33" xfId="16171"/>
    <cellStyle name="Заголовок 1 34" xfId="16172"/>
    <cellStyle name="Заголовок 1 35" xfId="16173"/>
    <cellStyle name="Заголовок 1 36" xfId="16174"/>
    <cellStyle name="Заголовок 1 37" xfId="16175"/>
    <cellStyle name="Заголовок 1 38" xfId="16176"/>
    <cellStyle name="Заголовок 1 39" xfId="16177"/>
    <cellStyle name="Заголовок 1 4" xfId="16178"/>
    <cellStyle name="Заголовок 1 40" xfId="16179"/>
    <cellStyle name="Заголовок 1 41" xfId="16180"/>
    <cellStyle name="Заголовок 1 42" xfId="16181"/>
    <cellStyle name="Заголовок 1 43" xfId="16182"/>
    <cellStyle name="Заголовок 1 44" xfId="16183"/>
    <cellStyle name="Заголовок 1 45" xfId="16184"/>
    <cellStyle name="Заголовок 1 46" xfId="16185"/>
    <cellStyle name="Заголовок 1 47" xfId="16186"/>
    <cellStyle name="Заголовок 1 48" xfId="16187"/>
    <cellStyle name="Заголовок 1 49" xfId="16188"/>
    <cellStyle name="Заголовок 1 5" xfId="16189"/>
    <cellStyle name="Заголовок 1 50" xfId="16190"/>
    <cellStyle name="Заголовок 1 51" xfId="16191"/>
    <cellStyle name="Заголовок 1 52" xfId="16192"/>
    <cellStyle name="Заголовок 1 53" xfId="16193"/>
    <cellStyle name="Заголовок 1 54" xfId="16194"/>
    <cellStyle name="Заголовок 1 55" xfId="16195"/>
    <cellStyle name="Заголовок 1 56" xfId="16196"/>
    <cellStyle name="Заголовок 1 57" xfId="16197"/>
    <cellStyle name="Заголовок 1 58" xfId="16198"/>
    <cellStyle name="Заголовок 1 59" xfId="16199"/>
    <cellStyle name="Заголовок 1 6" xfId="16200"/>
    <cellStyle name="Заголовок 1 60" xfId="16201"/>
    <cellStyle name="Заголовок 1 61" xfId="16202"/>
    <cellStyle name="Заголовок 1 62" xfId="16203"/>
    <cellStyle name="Заголовок 1 63" xfId="16204"/>
    <cellStyle name="Заголовок 1 64" xfId="16205"/>
    <cellStyle name="Заголовок 1 65" xfId="16206"/>
    <cellStyle name="Заголовок 1 66" xfId="16207"/>
    <cellStyle name="Заголовок 1 67" xfId="16208"/>
    <cellStyle name="Заголовок 1 68" xfId="16209"/>
    <cellStyle name="Заголовок 1 69" xfId="16210"/>
    <cellStyle name="Заголовок 1 7" xfId="16211"/>
    <cellStyle name="Заголовок 1 70" xfId="16212"/>
    <cellStyle name="Заголовок 1 71" xfId="16213"/>
    <cellStyle name="Заголовок 1 72" xfId="16214"/>
    <cellStyle name="Заголовок 1 73" xfId="16215"/>
    <cellStyle name="Заголовок 1 74" xfId="16216"/>
    <cellStyle name="Заголовок 1 75" xfId="16217"/>
    <cellStyle name="Заголовок 1 76" xfId="16218"/>
    <cellStyle name="Заголовок 1 77" xfId="16219"/>
    <cellStyle name="Заголовок 1 78" xfId="16220"/>
    <cellStyle name="Заголовок 1 79" xfId="16221"/>
    <cellStyle name="Заголовок 1 8" xfId="16222"/>
    <cellStyle name="Заголовок 1 80" xfId="16223"/>
    <cellStyle name="Заголовок 1 81" xfId="16224"/>
    <cellStyle name="Заголовок 1 82" xfId="16225"/>
    <cellStyle name="Заголовок 1 83" xfId="16226"/>
    <cellStyle name="Заголовок 1 84" xfId="16227"/>
    <cellStyle name="Заголовок 1 85" xfId="16228"/>
    <cellStyle name="Заголовок 1 86" xfId="16229"/>
    <cellStyle name="Заголовок 1 87" xfId="16230"/>
    <cellStyle name="Заголовок 1 88" xfId="16231"/>
    <cellStyle name="Заголовок 1 89" xfId="16232"/>
    <cellStyle name="Заголовок 1 9" xfId="16233"/>
    <cellStyle name="Заголовок 1 90" xfId="16234"/>
    <cellStyle name="Заголовок 1 91" xfId="16235"/>
    <cellStyle name="Заголовок 1 92" xfId="16236"/>
    <cellStyle name="Заголовок 1 93" xfId="16237"/>
    <cellStyle name="Заголовок 1 94" xfId="16238"/>
    <cellStyle name="Заголовок 1 95" xfId="16239"/>
    <cellStyle name="Заголовок 1 96" xfId="16240"/>
    <cellStyle name="Заголовок 1 97" xfId="16241"/>
    <cellStyle name="Заголовок 1 98" xfId="16242"/>
    <cellStyle name="Заголовок 1 99" xfId="16243"/>
    <cellStyle name="Заголовок 2 10" xfId="16244"/>
    <cellStyle name="Заголовок 2 100" xfId="16245"/>
    <cellStyle name="Заголовок 2 101" xfId="16246"/>
    <cellStyle name="Заголовок 2 102" xfId="16247"/>
    <cellStyle name="Заголовок 2 103" xfId="16248"/>
    <cellStyle name="Заголовок 2 104" xfId="16249"/>
    <cellStyle name="Заголовок 2 105" xfId="16250"/>
    <cellStyle name="Заголовок 2 106" xfId="16251"/>
    <cellStyle name="Заголовок 2 107" xfId="16252"/>
    <cellStyle name="Заголовок 2 108" xfId="16253"/>
    <cellStyle name="Заголовок 2 109" xfId="16254"/>
    <cellStyle name="Заголовок 2 11" xfId="16255"/>
    <cellStyle name="Заголовок 2 110" xfId="16256"/>
    <cellStyle name="Заголовок 2 111" xfId="16257"/>
    <cellStyle name="Заголовок 2 112" xfId="16258"/>
    <cellStyle name="Заголовок 2 113" xfId="16259"/>
    <cellStyle name="Заголовок 2 114" xfId="16260"/>
    <cellStyle name="Заголовок 2 115" xfId="16261"/>
    <cellStyle name="Заголовок 2 116" xfId="16262"/>
    <cellStyle name="Заголовок 2 117" xfId="16263"/>
    <cellStyle name="Заголовок 2 118" xfId="16264"/>
    <cellStyle name="Заголовок 2 119" xfId="16265"/>
    <cellStyle name="Заголовок 2 12" xfId="16266"/>
    <cellStyle name="Заголовок 2 120" xfId="16267"/>
    <cellStyle name="Заголовок 2 121" xfId="16268"/>
    <cellStyle name="Заголовок 2 122" xfId="16269"/>
    <cellStyle name="Заголовок 2 123" xfId="16270"/>
    <cellStyle name="Заголовок 2 124" xfId="16271"/>
    <cellStyle name="Заголовок 2 125" xfId="16272"/>
    <cellStyle name="Заголовок 2 126" xfId="16273"/>
    <cellStyle name="Заголовок 2 127" xfId="16274"/>
    <cellStyle name="Заголовок 2 128" xfId="16275"/>
    <cellStyle name="Заголовок 2 129" xfId="16276"/>
    <cellStyle name="Заголовок 2 13" xfId="16277"/>
    <cellStyle name="Заголовок 2 130" xfId="16278"/>
    <cellStyle name="Заголовок 2 131" xfId="16279"/>
    <cellStyle name="Заголовок 2 132" xfId="16280"/>
    <cellStyle name="Заголовок 2 133" xfId="16281"/>
    <cellStyle name="Заголовок 2 134" xfId="16282"/>
    <cellStyle name="Заголовок 2 135" xfId="16283"/>
    <cellStyle name="Заголовок 2 136" xfId="16284"/>
    <cellStyle name="Заголовок 2 137" xfId="16285"/>
    <cellStyle name="Заголовок 2 138" xfId="16286"/>
    <cellStyle name="Заголовок 2 139" xfId="16287"/>
    <cellStyle name="Заголовок 2 14" xfId="16288"/>
    <cellStyle name="Заголовок 2 140" xfId="16289"/>
    <cellStyle name="Заголовок 2 141" xfId="16290"/>
    <cellStyle name="Заголовок 2 142" xfId="16291"/>
    <cellStyle name="Заголовок 2 143" xfId="16292"/>
    <cellStyle name="Заголовок 2 144" xfId="16293"/>
    <cellStyle name="Заголовок 2 145" xfId="16294"/>
    <cellStyle name="Заголовок 2 146" xfId="16295"/>
    <cellStyle name="Заголовок 2 147" xfId="16296"/>
    <cellStyle name="Заголовок 2 148" xfId="16297"/>
    <cellStyle name="Заголовок 2 149" xfId="16298"/>
    <cellStyle name="Заголовок 2 15" xfId="16299"/>
    <cellStyle name="Заголовок 2 150" xfId="16300"/>
    <cellStyle name="Заголовок 2 151" xfId="16301"/>
    <cellStyle name="Заголовок 2 152" xfId="16302"/>
    <cellStyle name="Заголовок 2 16" xfId="16303"/>
    <cellStyle name="Заголовок 2 17" xfId="16304"/>
    <cellStyle name="Заголовок 2 18" xfId="16305"/>
    <cellStyle name="Заголовок 2 19" xfId="16306"/>
    <cellStyle name="Заголовок 2 2" xfId="322"/>
    <cellStyle name="Заголовок 2 2 2" xfId="16307"/>
    <cellStyle name="Заголовок 2 2 3" xfId="16308"/>
    <cellStyle name="Заголовок 2 2 4" xfId="16309"/>
    <cellStyle name="Заголовок 2 2 5" xfId="16310"/>
    <cellStyle name="Заголовок 2 2 6" xfId="16311"/>
    <cellStyle name="Заголовок 2 2 7" xfId="16312"/>
    <cellStyle name="Заголовок 2 20" xfId="16313"/>
    <cellStyle name="Заголовок 2 20 2" xfId="16314"/>
    <cellStyle name="Заголовок 2 21" xfId="16315"/>
    <cellStyle name="Заголовок 2 22" xfId="16316"/>
    <cellStyle name="Заголовок 2 23" xfId="16317"/>
    <cellStyle name="Заголовок 2 24" xfId="16318"/>
    <cellStyle name="Заголовок 2 25" xfId="16319"/>
    <cellStyle name="Заголовок 2 26" xfId="16320"/>
    <cellStyle name="Заголовок 2 27" xfId="16321"/>
    <cellStyle name="Заголовок 2 28" xfId="16322"/>
    <cellStyle name="Заголовок 2 29" xfId="16323"/>
    <cellStyle name="Заголовок 2 3" xfId="16324"/>
    <cellStyle name="Заголовок 2 30" xfId="16325"/>
    <cellStyle name="Заголовок 2 31" xfId="16326"/>
    <cellStyle name="Заголовок 2 32" xfId="16327"/>
    <cellStyle name="Заголовок 2 33" xfId="16328"/>
    <cellStyle name="Заголовок 2 34" xfId="16329"/>
    <cellStyle name="Заголовок 2 35" xfId="16330"/>
    <cellStyle name="Заголовок 2 36" xfId="16331"/>
    <cellStyle name="Заголовок 2 37" xfId="16332"/>
    <cellStyle name="Заголовок 2 38" xfId="16333"/>
    <cellStyle name="Заголовок 2 39" xfId="16334"/>
    <cellStyle name="Заголовок 2 4" xfId="16335"/>
    <cellStyle name="Заголовок 2 40" xfId="16336"/>
    <cellStyle name="Заголовок 2 41" xfId="16337"/>
    <cellStyle name="Заголовок 2 42" xfId="16338"/>
    <cellStyle name="Заголовок 2 43" xfId="16339"/>
    <cellStyle name="Заголовок 2 44" xfId="16340"/>
    <cellStyle name="Заголовок 2 45" xfId="16341"/>
    <cellStyle name="Заголовок 2 46" xfId="16342"/>
    <cellStyle name="Заголовок 2 47" xfId="16343"/>
    <cellStyle name="Заголовок 2 48" xfId="16344"/>
    <cellStyle name="Заголовок 2 49" xfId="16345"/>
    <cellStyle name="Заголовок 2 5" xfId="16346"/>
    <cellStyle name="Заголовок 2 50" xfId="16347"/>
    <cellStyle name="Заголовок 2 51" xfId="16348"/>
    <cellStyle name="Заголовок 2 52" xfId="16349"/>
    <cellStyle name="Заголовок 2 53" xfId="16350"/>
    <cellStyle name="Заголовок 2 54" xfId="16351"/>
    <cellStyle name="Заголовок 2 55" xfId="16352"/>
    <cellStyle name="Заголовок 2 56" xfId="16353"/>
    <cellStyle name="Заголовок 2 57" xfId="16354"/>
    <cellStyle name="Заголовок 2 58" xfId="16355"/>
    <cellStyle name="Заголовок 2 59" xfId="16356"/>
    <cellStyle name="Заголовок 2 6" xfId="16357"/>
    <cellStyle name="Заголовок 2 60" xfId="16358"/>
    <cellStyle name="Заголовок 2 61" xfId="16359"/>
    <cellStyle name="Заголовок 2 62" xfId="16360"/>
    <cellStyle name="Заголовок 2 63" xfId="16361"/>
    <cellStyle name="Заголовок 2 64" xfId="16362"/>
    <cellStyle name="Заголовок 2 65" xfId="16363"/>
    <cellStyle name="Заголовок 2 66" xfId="16364"/>
    <cellStyle name="Заголовок 2 67" xfId="16365"/>
    <cellStyle name="Заголовок 2 68" xfId="16366"/>
    <cellStyle name="Заголовок 2 69" xfId="16367"/>
    <cellStyle name="Заголовок 2 7" xfId="16368"/>
    <cellStyle name="Заголовок 2 70" xfId="16369"/>
    <cellStyle name="Заголовок 2 71" xfId="16370"/>
    <cellStyle name="Заголовок 2 72" xfId="16371"/>
    <cellStyle name="Заголовок 2 73" xfId="16372"/>
    <cellStyle name="Заголовок 2 74" xfId="16373"/>
    <cellStyle name="Заголовок 2 75" xfId="16374"/>
    <cellStyle name="Заголовок 2 76" xfId="16375"/>
    <cellStyle name="Заголовок 2 77" xfId="16376"/>
    <cellStyle name="Заголовок 2 78" xfId="16377"/>
    <cellStyle name="Заголовок 2 79" xfId="16378"/>
    <cellStyle name="Заголовок 2 8" xfId="16379"/>
    <cellStyle name="Заголовок 2 80" xfId="16380"/>
    <cellStyle name="Заголовок 2 81" xfId="16381"/>
    <cellStyle name="Заголовок 2 82" xfId="16382"/>
    <cellStyle name="Заголовок 2 83" xfId="16383"/>
    <cellStyle name="Заголовок 2 84" xfId="16384"/>
    <cellStyle name="Заголовок 2 85" xfId="16385"/>
    <cellStyle name="Заголовок 2 86" xfId="16386"/>
    <cellStyle name="Заголовок 2 87" xfId="16387"/>
    <cellStyle name="Заголовок 2 88" xfId="16388"/>
    <cellStyle name="Заголовок 2 89" xfId="16389"/>
    <cellStyle name="Заголовок 2 9" xfId="16390"/>
    <cellStyle name="Заголовок 2 90" xfId="16391"/>
    <cellStyle name="Заголовок 2 91" xfId="16392"/>
    <cellStyle name="Заголовок 2 92" xfId="16393"/>
    <cellStyle name="Заголовок 2 93" xfId="16394"/>
    <cellStyle name="Заголовок 2 94" xfId="16395"/>
    <cellStyle name="Заголовок 2 95" xfId="16396"/>
    <cellStyle name="Заголовок 2 96" xfId="16397"/>
    <cellStyle name="Заголовок 2 97" xfId="16398"/>
    <cellStyle name="Заголовок 2 98" xfId="16399"/>
    <cellStyle name="Заголовок 2 99" xfId="16400"/>
    <cellStyle name="Заголовок 3 10" xfId="16401"/>
    <cellStyle name="Заголовок 3 100" xfId="16402"/>
    <cellStyle name="Заголовок 3 101" xfId="16403"/>
    <cellStyle name="Заголовок 3 102" xfId="16404"/>
    <cellStyle name="Заголовок 3 103" xfId="16405"/>
    <cellStyle name="Заголовок 3 104" xfId="16406"/>
    <cellStyle name="Заголовок 3 105" xfId="16407"/>
    <cellStyle name="Заголовок 3 106" xfId="16408"/>
    <cellStyle name="Заголовок 3 107" xfId="16409"/>
    <cellStyle name="Заголовок 3 108" xfId="16410"/>
    <cellStyle name="Заголовок 3 109" xfId="16411"/>
    <cellStyle name="Заголовок 3 11" xfId="16412"/>
    <cellStyle name="Заголовок 3 110" xfId="16413"/>
    <cellStyle name="Заголовок 3 111" xfId="16414"/>
    <cellStyle name="Заголовок 3 112" xfId="16415"/>
    <cellStyle name="Заголовок 3 113" xfId="16416"/>
    <cellStyle name="Заголовок 3 114" xfId="16417"/>
    <cellStyle name="Заголовок 3 115" xfId="16418"/>
    <cellStyle name="Заголовок 3 116" xfId="16419"/>
    <cellStyle name="Заголовок 3 117" xfId="16420"/>
    <cellStyle name="Заголовок 3 118" xfId="16421"/>
    <cellStyle name="Заголовок 3 119" xfId="16422"/>
    <cellStyle name="Заголовок 3 12" xfId="16423"/>
    <cellStyle name="Заголовок 3 120" xfId="16424"/>
    <cellStyle name="Заголовок 3 121" xfId="16425"/>
    <cellStyle name="Заголовок 3 122" xfId="16426"/>
    <cellStyle name="Заголовок 3 123" xfId="16427"/>
    <cellStyle name="Заголовок 3 124" xfId="16428"/>
    <cellStyle name="Заголовок 3 125" xfId="16429"/>
    <cellStyle name="Заголовок 3 126" xfId="16430"/>
    <cellStyle name="Заголовок 3 127" xfId="16431"/>
    <cellStyle name="Заголовок 3 128" xfId="16432"/>
    <cellStyle name="Заголовок 3 129" xfId="16433"/>
    <cellStyle name="Заголовок 3 13" xfId="16434"/>
    <cellStyle name="Заголовок 3 130" xfId="16435"/>
    <cellStyle name="Заголовок 3 131" xfId="16436"/>
    <cellStyle name="Заголовок 3 132" xfId="16437"/>
    <cellStyle name="Заголовок 3 133" xfId="16438"/>
    <cellStyle name="Заголовок 3 134" xfId="16439"/>
    <cellStyle name="Заголовок 3 135" xfId="16440"/>
    <cellStyle name="Заголовок 3 136" xfId="16441"/>
    <cellStyle name="Заголовок 3 137" xfId="16442"/>
    <cellStyle name="Заголовок 3 138" xfId="16443"/>
    <cellStyle name="Заголовок 3 139" xfId="16444"/>
    <cellStyle name="Заголовок 3 14" xfId="16445"/>
    <cellStyle name="Заголовок 3 140" xfId="16446"/>
    <cellStyle name="Заголовок 3 141" xfId="16447"/>
    <cellStyle name="Заголовок 3 142" xfId="16448"/>
    <cellStyle name="Заголовок 3 143" xfId="16449"/>
    <cellStyle name="Заголовок 3 144" xfId="16450"/>
    <cellStyle name="Заголовок 3 145" xfId="16451"/>
    <cellStyle name="Заголовок 3 146" xfId="16452"/>
    <cellStyle name="Заголовок 3 147" xfId="16453"/>
    <cellStyle name="Заголовок 3 148" xfId="16454"/>
    <cellStyle name="Заголовок 3 149" xfId="16455"/>
    <cellStyle name="Заголовок 3 15" xfId="16456"/>
    <cellStyle name="Заголовок 3 150" xfId="16457"/>
    <cellStyle name="Заголовок 3 151" xfId="16458"/>
    <cellStyle name="Заголовок 3 152" xfId="16459"/>
    <cellStyle name="Заголовок 3 16" xfId="16460"/>
    <cellStyle name="Заголовок 3 17" xfId="16461"/>
    <cellStyle name="Заголовок 3 18" xfId="16462"/>
    <cellStyle name="Заголовок 3 19" xfId="16463"/>
    <cellStyle name="Заголовок 3 2" xfId="323"/>
    <cellStyle name="Заголовок 3 2 2" xfId="16464"/>
    <cellStyle name="Заголовок 3 2 3" xfId="16465"/>
    <cellStyle name="Заголовок 3 2 4" xfId="16466"/>
    <cellStyle name="Заголовок 3 2 5" xfId="16467"/>
    <cellStyle name="Заголовок 3 2 6" xfId="16468"/>
    <cellStyle name="Заголовок 3 2 7" xfId="16469"/>
    <cellStyle name="Заголовок 3 20" xfId="16470"/>
    <cellStyle name="Заголовок 3 20 2" xfId="16471"/>
    <cellStyle name="Заголовок 3 21" xfId="16472"/>
    <cellStyle name="Заголовок 3 22" xfId="16473"/>
    <cellStyle name="Заголовок 3 23" xfId="16474"/>
    <cellStyle name="Заголовок 3 24" xfId="16475"/>
    <cellStyle name="Заголовок 3 25" xfId="16476"/>
    <cellStyle name="Заголовок 3 26" xfId="16477"/>
    <cellStyle name="Заголовок 3 27" xfId="16478"/>
    <cellStyle name="Заголовок 3 28" xfId="16479"/>
    <cellStyle name="Заголовок 3 29" xfId="16480"/>
    <cellStyle name="Заголовок 3 3" xfId="16481"/>
    <cellStyle name="Заголовок 3 30" xfId="16482"/>
    <cellStyle name="Заголовок 3 31" xfId="16483"/>
    <cellStyle name="Заголовок 3 32" xfId="16484"/>
    <cellStyle name="Заголовок 3 33" xfId="16485"/>
    <cellStyle name="Заголовок 3 34" xfId="16486"/>
    <cellStyle name="Заголовок 3 35" xfId="16487"/>
    <cellStyle name="Заголовок 3 36" xfId="16488"/>
    <cellStyle name="Заголовок 3 37" xfId="16489"/>
    <cellStyle name="Заголовок 3 38" xfId="16490"/>
    <cellStyle name="Заголовок 3 39" xfId="16491"/>
    <cellStyle name="Заголовок 3 4" xfId="16492"/>
    <cellStyle name="Заголовок 3 40" xfId="16493"/>
    <cellStyle name="Заголовок 3 41" xfId="16494"/>
    <cellStyle name="Заголовок 3 42" xfId="16495"/>
    <cellStyle name="Заголовок 3 43" xfId="16496"/>
    <cellStyle name="Заголовок 3 44" xfId="16497"/>
    <cellStyle name="Заголовок 3 45" xfId="16498"/>
    <cellStyle name="Заголовок 3 46" xfId="16499"/>
    <cellStyle name="Заголовок 3 47" xfId="16500"/>
    <cellStyle name="Заголовок 3 48" xfId="16501"/>
    <cellStyle name="Заголовок 3 49" xfId="16502"/>
    <cellStyle name="Заголовок 3 5" xfId="16503"/>
    <cellStyle name="Заголовок 3 50" xfId="16504"/>
    <cellStyle name="Заголовок 3 51" xfId="16505"/>
    <cellStyle name="Заголовок 3 52" xfId="16506"/>
    <cellStyle name="Заголовок 3 53" xfId="16507"/>
    <cellStyle name="Заголовок 3 54" xfId="16508"/>
    <cellStyle name="Заголовок 3 55" xfId="16509"/>
    <cellStyle name="Заголовок 3 56" xfId="16510"/>
    <cellStyle name="Заголовок 3 57" xfId="16511"/>
    <cellStyle name="Заголовок 3 58" xfId="16512"/>
    <cellStyle name="Заголовок 3 59" xfId="16513"/>
    <cellStyle name="Заголовок 3 6" xfId="16514"/>
    <cellStyle name="Заголовок 3 60" xfId="16515"/>
    <cellStyle name="Заголовок 3 61" xfId="16516"/>
    <cellStyle name="Заголовок 3 62" xfId="16517"/>
    <cellStyle name="Заголовок 3 63" xfId="16518"/>
    <cellStyle name="Заголовок 3 64" xfId="16519"/>
    <cellStyle name="Заголовок 3 65" xfId="16520"/>
    <cellStyle name="Заголовок 3 66" xfId="16521"/>
    <cellStyle name="Заголовок 3 67" xfId="16522"/>
    <cellStyle name="Заголовок 3 68" xfId="16523"/>
    <cellStyle name="Заголовок 3 69" xfId="16524"/>
    <cellStyle name="Заголовок 3 7" xfId="16525"/>
    <cellStyle name="Заголовок 3 70" xfId="16526"/>
    <cellStyle name="Заголовок 3 71" xfId="16527"/>
    <cellStyle name="Заголовок 3 72" xfId="16528"/>
    <cellStyle name="Заголовок 3 73" xfId="16529"/>
    <cellStyle name="Заголовок 3 74" xfId="16530"/>
    <cellStyle name="Заголовок 3 75" xfId="16531"/>
    <cellStyle name="Заголовок 3 76" xfId="16532"/>
    <cellStyle name="Заголовок 3 77" xfId="16533"/>
    <cellStyle name="Заголовок 3 78" xfId="16534"/>
    <cellStyle name="Заголовок 3 79" xfId="16535"/>
    <cellStyle name="Заголовок 3 8" xfId="16536"/>
    <cellStyle name="Заголовок 3 80" xfId="16537"/>
    <cellStyle name="Заголовок 3 81" xfId="16538"/>
    <cellStyle name="Заголовок 3 82" xfId="16539"/>
    <cellStyle name="Заголовок 3 83" xfId="16540"/>
    <cellStyle name="Заголовок 3 84" xfId="16541"/>
    <cellStyle name="Заголовок 3 85" xfId="16542"/>
    <cellStyle name="Заголовок 3 86" xfId="16543"/>
    <cellStyle name="Заголовок 3 87" xfId="16544"/>
    <cellStyle name="Заголовок 3 88" xfId="16545"/>
    <cellStyle name="Заголовок 3 89" xfId="16546"/>
    <cellStyle name="Заголовок 3 9" xfId="16547"/>
    <cellStyle name="Заголовок 3 90" xfId="16548"/>
    <cellStyle name="Заголовок 3 91" xfId="16549"/>
    <cellStyle name="Заголовок 3 92" xfId="16550"/>
    <cellStyle name="Заголовок 3 93" xfId="16551"/>
    <cellStyle name="Заголовок 3 94" xfId="16552"/>
    <cellStyle name="Заголовок 3 95" xfId="16553"/>
    <cellStyle name="Заголовок 3 96" xfId="16554"/>
    <cellStyle name="Заголовок 3 97" xfId="16555"/>
    <cellStyle name="Заголовок 3 98" xfId="16556"/>
    <cellStyle name="Заголовок 3 99" xfId="16557"/>
    <cellStyle name="Заголовок 4 10" xfId="16558"/>
    <cellStyle name="Заголовок 4 100" xfId="16559"/>
    <cellStyle name="Заголовок 4 101" xfId="16560"/>
    <cellStyle name="Заголовок 4 102" xfId="16561"/>
    <cellStyle name="Заголовок 4 103" xfId="16562"/>
    <cellStyle name="Заголовок 4 104" xfId="16563"/>
    <cellStyle name="Заголовок 4 105" xfId="16564"/>
    <cellStyle name="Заголовок 4 106" xfId="16565"/>
    <cellStyle name="Заголовок 4 107" xfId="16566"/>
    <cellStyle name="Заголовок 4 108" xfId="16567"/>
    <cellStyle name="Заголовок 4 109" xfId="16568"/>
    <cellStyle name="Заголовок 4 11" xfId="16569"/>
    <cellStyle name="Заголовок 4 110" xfId="16570"/>
    <cellStyle name="Заголовок 4 111" xfId="16571"/>
    <cellStyle name="Заголовок 4 112" xfId="16572"/>
    <cellStyle name="Заголовок 4 113" xfId="16573"/>
    <cellStyle name="Заголовок 4 114" xfId="16574"/>
    <cellStyle name="Заголовок 4 115" xfId="16575"/>
    <cellStyle name="Заголовок 4 116" xfId="16576"/>
    <cellStyle name="Заголовок 4 117" xfId="16577"/>
    <cellStyle name="Заголовок 4 118" xfId="16578"/>
    <cellStyle name="Заголовок 4 119" xfId="16579"/>
    <cellStyle name="Заголовок 4 12" xfId="16580"/>
    <cellStyle name="Заголовок 4 120" xfId="16581"/>
    <cellStyle name="Заголовок 4 121" xfId="16582"/>
    <cellStyle name="Заголовок 4 122" xfId="16583"/>
    <cellStyle name="Заголовок 4 123" xfId="16584"/>
    <cellStyle name="Заголовок 4 124" xfId="16585"/>
    <cellStyle name="Заголовок 4 125" xfId="16586"/>
    <cellStyle name="Заголовок 4 126" xfId="16587"/>
    <cellStyle name="Заголовок 4 127" xfId="16588"/>
    <cellStyle name="Заголовок 4 128" xfId="16589"/>
    <cellStyle name="Заголовок 4 129" xfId="16590"/>
    <cellStyle name="Заголовок 4 13" xfId="16591"/>
    <cellStyle name="Заголовок 4 130" xfId="16592"/>
    <cellStyle name="Заголовок 4 131" xfId="16593"/>
    <cellStyle name="Заголовок 4 132" xfId="16594"/>
    <cellStyle name="Заголовок 4 133" xfId="16595"/>
    <cellStyle name="Заголовок 4 134" xfId="16596"/>
    <cellStyle name="Заголовок 4 135" xfId="16597"/>
    <cellStyle name="Заголовок 4 136" xfId="16598"/>
    <cellStyle name="Заголовок 4 137" xfId="16599"/>
    <cellStyle name="Заголовок 4 138" xfId="16600"/>
    <cellStyle name="Заголовок 4 139" xfId="16601"/>
    <cellStyle name="Заголовок 4 14" xfId="16602"/>
    <cellStyle name="Заголовок 4 140" xfId="16603"/>
    <cellStyle name="Заголовок 4 141" xfId="16604"/>
    <cellStyle name="Заголовок 4 142" xfId="16605"/>
    <cellStyle name="Заголовок 4 143" xfId="16606"/>
    <cellStyle name="Заголовок 4 144" xfId="16607"/>
    <cellStyle name="Заголовок 4 145" xfId="16608"/>
    <cellStyle name="Заголовок 4 146" xfId="16609"/>
    <cellStyle name="Заголовок 4 147" xfId="16610"/>
    <cellStyle name="Заголовок 4 148" xfId="16611"/>
    <cellStyle name="Заголовок 4 149" xfId="16612"/>
    <cellStyle name="Заголовок 4 15" xfId="16613"/>
    <cellStyle name="Заголовок 4 150" xfId="16614"/>
    <cellStyle name="Заголовок 4 151" xfId="16615"/>
    <cellStyle name="Заголовок 4 152" xfId="16616"/>
    <cellStyle name="Заголовок 4 16" xfId="16617"/>
    <cellStyle name="Заголовок 4 17" xfId="16618"/>
    <cellStyle name="Заголовок 4 18" xfId="16619"/>
    <cellStyle name="Заголовок 4 19" xfId="16620"/>
    <cellStyle name="Заголовок 4 2" xfId="324"/>
    <cellStyle name="Заголовок 4 2 2" xfId="16621"/>
    <cellStyle name="Заголовок 4 2 3" xfId="16622"/>
    <cellStyle name="Заголовок 4 2 4" xfId="16623"/>
    <cellStyle name="Заголовок 4 2 5" xfId="16624"/>
    <cellStyle name="Заголовок 4 2 6" xfId="16625"/>
    <cellStyle name="Заголовок 4 2 7" xfId="16626"/>
    <cellStyle name="Заголовок 4 20" xfId="16627"/>
    <cellStyle name="Заголовок 4 20 2" xfId="16628"/>
    <cellStyle name="Заголовок 4 21" xfId="16629"/>
    <cellStyle name="Заголовок 4 22" xfId="16630"/>
    <cellStyle name="Заголовок 4 23" xfId="16631"/>
    <cellStyle name="Заголовок 4 24" xfId="16632"/>
    <cellStyle name="Заголовок 4 25" xfId="16633"/>
    <cellStyle name="Заголовок 4 26" xfId="16634"/>
    <cellStyle name="Заголовок 4 27" xfId="16635"/>
    <cellStyle name="Заголовок 4 28" xfId="16636"/>
    <cellStyle name="Заголовок 4 29" xfId="16637"/>
    <cellStyle name="Заголовок 4 3" xfId="16638"/>
    <cellStyle name="Заголовок 4 30" xfId="16639"/>
    <cellStyle name="Заголовок 4 31" xfId="16640"/>
    <cellStyle name="Заголовок 4 32" xfId="16641"/>
    <cellStyle name="Заголовок 4 33" xfId="16642"/>
    <cellStyle name="Заголовок 4 34" xfId="16643"/>
    <cellStyle name="Заголовок 4 35" xfId="16644"/>
    <cellStyle name="Заголовок 4 36" xfId="16645"/>
    <cellStyle name="Заголовок 4 37" xfId="16646"/>
    <cellStyle name="Заголовок 4 38" xfId="16647"/>
    <cellStyle name="Заголовок 4 39" xfId="16648"/>
    <cellStyle name="Заголовок 4 4" xfId="16649"/>
    <cellStyle name="Заголовок 4 40" xfId="16650"/>
    <cellStyle name="Заголовок 4 41" xfId="16651"/>
    <cellStyle name="Заголовок 4 42" xfId="16652"/>
    <cellStyle name="Заголовок 4 43" xfId="16653"/>
    <cellStyle name="Заголовок 4 44" xfId="16654"/>
    <cellStyle name="Заголовок 4 45" xfId="16655"/>
    <cellStyle name="Заголовок 4 46" xfId="16656"/>
    <cellStyle name="Заголовок 4 47" xfId="16657"/>
    <cellStyle name="Заголовок 4 48" xfId="16658"/>
    <cellStyle name="Заголовок 4 49" xfId="16659"/>
    <cellStyle name="Заголовок 4 5" xfId="16660"/>
    <cellStyle name="Заголовок 4 50" xfId="16661"/>
    <cellStyle name="Заголовок 4 51" xfId="16662"/>
    <cellStyle name="Заголовок 4 52" xfId="16663"/>
    <cellStyle name="Заголовок 4 53" xfId="16664"/>
    <cellStyle name="Заголовок 4 54" xfId="16665"/>
    <cellStyle name="Заголовок 4 55" xfId="16666"/>
    <cellStyle name="Заголовок 4 56" xfId="16667"/>
    <cellStyle name="Заголовок 4 57" xfId="16668"/>
    <cellStyle name="Заголовок 4 58" xfId="16669"/>
    <cellStyle name="Заголовок 4 59" xfId="16670"/>
    <cellStyle name="Заголовок 4 6" xfId="16671"/>
    <cellStyle name="Заголовок 4 60" xfId="16672"/>
    <cellStyle name="Заголовок 4 61" xfId="16673"/>
    <cellStyle name="Заголовок 4 62" xfId="16674"/>
    <cellStyle name="Заголовок 4 63" xfId="16675"/>
    <cellStyle name="Заголовок 4 64" xfId="16676"/>
    <cellStyle name="Заголовок 4 65" xfId="16677"/>
    <cellStyle name="Заголовок 4 66" xfId="16678"/>
    <cellStyle name="Заголовок 4 67" xfId="16679"/>
    <cellStyle name="Заголовок 4 68" xfId="16680"/>
    <cellStyle name="Заголовок 4 69" xfId="16681"/>
    <cellStyle name="Заголовок 4 7" xfId="16682"/>
    <cellStyle name="Заголовок 4 70" xfId="16683"/>
    <cellStyle name="Заголовок 4 71" xfId="16684"/>
    <cellStyle name="Заголовок 4 72" xfId="16685"/>
    <cellStyle name="Заголовок 4 73" xfId="16686"/>
    <cellStyle name="Заголовок 4 74" xfId="16687"/>
    <cellStyle name="Заголовок 4 75" xfId="16688"/>
    <cellStyle name="Заголовок 4 76" xfId="16689"/>
    <cellStyle name="Заголовок 4 77" xfId="16690"/>
    <cellStyle name="Заголовок 4 78" xfId="16691"/>
    <cellStyle name="Заголовок 4 79" xfId="16692"/>
    <cellStyle name="Заголовок 4 8" xfId="16693"/>
    <cellStyle name="Заголовок 4 80" xfId="16694"/>
    <cellStyle name="Заголовок 4 81" xfId="16695"/>
    <cellStyle name="Заголовок 4 82" xfId="16696"/>
    <cellStyle name="Заголовок 4 83" xfId="16697"/>
    <cellStyle name="Заголовок 4 84" xfId="16698"/>
    <cellStyle name="Заголовок 4 85" xfId="16699"/>
    <cellStyle name="Заголовок 4 86" xfId="16700"/>
    <cellStyle name="Заголовок 4 87" xfId="16701"/>
    <cellStyle name="Заголовок 4 88" xfId="16702"/>
    <cellStyle name="Заголовок 4 89" xfId="16703"/>
    <cellStyle name="Заголовок 4 9" xfId="16704"/>
    <cellStyle name="Заголовок 4 90" xfId="16705"/>
    <cellStyle name="Заголовок 4 91" xfId="16706"/>
    <cellStyle name="Заголовок 4 92" xfId="16707"/>
    <cellStyle name="Заголовок 4 93" xfId="16708"/>
    <cellStyle name="Заголовок 4 94" xfId="16709"/>
    <cellStyle name="Заголовок 4 95" xfId="16710"/>
    <cellStyle name="Заголовок 4 96" xfId="16711"/>
    <cellStyle name="Заголовок 4 97" xfId="16712"/>
    <cellStyle name="Заголовок 4 98" xfId="16713"/>
    <cellStyle name="Заголовок 4 99" xfId="16714"/>
    <cellStyle name="Итог 10" xfId="16715"/>
    <cellStyle name="Итог 100" xfId="16716"/>
    <cellStyle name="Итог 101" xfId="16717"/>
    <cellStyle name="Итог 102" xfId="16718"/>
    <cellStyle name="Итог 103" xfId="16719"/>
    <cellStyle name="Итог 104" xfId="16720"/>
    <cellStyle name="Итог 105" xfId="16721"/>
    <cellStyle name="Итог 106" xfId="16722"/>
    <cellStyle name="Итог 107" xfId="16723"/>
    <cellStyle name="Итог 108" xfId="16724"/>
    <cellStyle name="Итог 109" xfId="16725"/>
    <cellStyle name="Итог 11" xfId="16726"/>
    <cellStyle name="Итог 110" xfId="16727"/>
    <cellStyle name="Итог 111" xfId="16728"/>
    <cellStyle name="Итог 112" xfId="16729"/>
    <cellStyle name="Итог 113" xfId="16730"/>
    <cellStyle name="Итог 114" xfId="16731"/>
    <cellStyle name="Итог 115" xfId="16732"/>
    <cellStyle name="Итог 116" xfId="16733"/>
    <cellStyle name="Итог 117" xfId="16734"/>
    <cellStyle name="Итог 118" xfId="16735"/>
    <cellStyle name="Итог 119" xfId="16736"/>
    <cellStyle name="Итог 12" xfId="16737"/>
    <cellStyle name="Итог 120" xfId="16738"/>
    <cellStyle name="Итог 121" xfId="16739"/>
    <cellStyle name="Итог 122" xfId="16740"/>
    <cellStyle name="Итог 123" xfId="16741"/>
    <cellStyle name="Итог 124" xfId="16742"/>
    <cellStyle name="Итог 125" xfId="16743"/>
    <cellStyle name="Итог 126" xfId="16744"/>
    <cellStyle name="Итог 127" xfId="16745"/>
    <cellStyle name="Итог 128" xfId="16746"/>
    <cellStyle name="Итог 129" xfId="16747"/>
    <cellStyle name="Итог 13" xfId="16748"/>
    <cellStyle name="Итог 130" xfId="16749"/>
    <cellStyle name="Итог 131" xfId="16750"/>
    <cellStyle name="Итог 132" xfId="16751"/>
    <cellStyle name="Итог 133" xfId="16752"/>
    <cellStyle name="Итог 134" xfId="16753"/>
    <cellStyle name="Итог 135" xfId="16754"/>
    <cellStyle name="Итог 136" xfId="16755"/>
    <cellStyle name="Итог 137" xfId="16756"/>
    <cellStyle name="Итог 138" xfId="16757"/>
    <cellStyle name="Итог 139" xfId="16758"/>
    <cellStyle name="Итог 14" xfId="16759"/>
    <cellStyle name="Итог 140" xfId="16760"/>
    <cellStyle name="Итог 141" xfId="16761"/>
    <cellStyle name="Итог 142" xfId="16762"/>
    <cellStyle name="Итог 143" xfId="16763"/>
    <cellStyle name="Итог 144" xfId="16764"/>
    <cellStyle name="Итог 145" xfId="16765"/>
    <cellStyle name="Итог 146" xfId="16766"/>
    <cellStyle name="Итог 147" xfId="16767"/>
    <cellStyle name="Итог 148" xfId="16768"/>
    <cellStyle name="Итог 149" xfId="16769"/>
    <cellStyle name="Итог 15" xfId="16770"/>
    <cellStyle name="Итог 150" xfId="16771"/>
    <cellStyle name="Итог 151" xfId="16772"/>
    <cellStyle name="Итог 152" xfId="16773"/>
    <cellStyle name="Итог 16" xfId="16774"/>
    <cellStyle name="Итог 17" xfId="16775"/>
    <cellStyle name="Итог 18" xfId="16776"/>
    <cellStyle name="Итог 19" xfId="16777"/>
    <cellStyle name="Итог 2" xfId="325"/>
    <cellStyle name="Итог 2 2" xfId="16778"/>
    <cellStyle name="Итог 2 2 2" xfId="16779"/>
    <cellStyle name="Итог 2 2 2 2" xfId="16780"/>
    <cellStyle name="Итог 2 2 3" xfId="16781"/>
    <cellStyle name="Итог 2 2 3 2" xfId="16782"/>
    <cellStyle name="Итог 2 2 4" xfId="16783"/>
    <cellStyle name="Итог 2 3" xfId="16784"/>
    <cellStyle name="Итог 2 3 2" xfId="16785"/>
    <cellStyle name="Итог 2 3 2 2" xfId="16786"/>
    <cellStyle name="Итог 2 3 3" xfId="16787"/>
    <cellStyle name="Итог 2 3 3 2" xfId="16788"/>
    <cellStyle name="Итог 2 3 4" xfId="16789"/>
    <cellStyle name="Итог 2 4" xfId="16790"/>
    <cellStyle name="Итог 2 4 2" xfId="16791"/>
    <cellStyle name="Итог 2 5" xfId="16792"/>
    <cellStyle name="Итог 2 5 2" xfId="16793"/>
    <cellStyle name="Итог 2 6" xfId="16794"/>
    <cellStyle name="Итог 2 7" xfId="16795"/>
    <cellStyle name="Итог 20" xfId="16796"/>
    <cellStyle name="Итог 20 2" xfId="16797"/>
    <cellStyle name="Итог 21" xfId="16798"/>
    <cellStyle name="Итог 22" xfId="16799"/>
    <cellStyle name="Итог 23" xfId="16800"/>
    <cellStyle name="Итог 24" xfId="16801"/>
    <cellStyle name="Итог 25" xfId="16802"/>
    <cellStyle name="Итог 26" xfId="16803"/>
    <cellStyle name="Итог 27" xfId="16804"/>
    <cellStyle name="Итог 28" xfId="16805"/>
    <cellStyle name="Итог 29" xfId="16806"/>
    <cellStyle name="Итог 3" xfId="326"/>
    <cellStyle name="Итог 30" xfId="16807"/>
    <cellStyle name="Итог 31" xfId="16808"/>
    <cellStyle name="Итог 32" xfId="16809"/>
    <cellStyle name="Итог 33" xfId="16810"/>
    <cellStyle name="Итог 34" xfId="16811"/>
    <cellStyle name="Итог 35" xfId="16812"/>
    <cellStyle name="Итог 36" xfId="16813"/>
    <cellStyle name="Итог 37" xfId="16814"/>
    <cellStyle name="Итог 38" xfId="16815"/>
    <cellStyle name="Итог 39" xfId="16816"/>
    <cellStyle name="Итог 4" xfId="327"/>
    <cellStyle name="Итог 40" xfId="16817"/>
    <cellStyle name="Итог 41" xfId="16818"/>
    <cellStyle name="Итог 42" xfId="16819"/>
    <cellStyle name="Итог 43" xfId="16820"/>
    <cellStyle name="Итог 44" xfId="16821"/>
    <cellStyle name="Итог 45" xfId="16822"/>
    <cellStyle name="Итог 46" xfId="16823"/>
    <cellStyle name="Итог 47" xfId="16824"/>
    <cellStyle name="Итог 48" xfId="16825"/>
    <cellStyle name="Итог 49" xfId="16826"/>
    <cellStyle name="Итог 5" xfId="328"/>
    <cellStyle name="Итог 50" xfId="16827"/>
    <cellStyle name="Итог 51" xfId="16828"/>
    <cellStyle name="Итог 52" xfId="16829"/>
    <cellStyle name="Итог 53" xfId="16830"/>
    <cellStyle name="Итог 54" xfId="16831"/>
    <cellStyle name="Итог 55" xfId="16832"/>
    <cellStyle name="Итог 56" xfId="16833"/>
    <cellStyle name="Итог 57" xfId="16834"/>
    <cellStyle name="Итог 58" xfId="16835"/>
    <cellStyle name="Итог 59" xfId="16836"/>
    <cellStyle name="Итог 6" xfId="16837"/>
    <cellStyle name="Итог 60" xfId="16838"/>
    <cellStyle name="Итог 61" xfId="16839"/>
    <cellStyle name="Итог 62" xfId="16840"/>
    <cellStyle name="Итог 63" xfId="16841"/>
    <cellStyle name="Итог 64" xfId="16842"/>
    <cellStyle name="Итог 65" xfId="16843"/>
    <cellStyle name="Итог 66" xfId="16844"/>
    <cellStyle name="Итог 67" xfId="16845"/>
    <cellStyle name="Итог 68" xfId="16846"/>
    <cellStyle name="Итог 69" xfId="16847"/>
    <cellStyle name="Итог 7" xfId="16848"/>
    <cellStyle name="Итог 70" xfId="16849"/>
    <cellStyle name="Итог 71" xfId="16850"/>
    <cellStyle name="Итог 72" xfId="16851"/>
    <cellStyle name="Итог 73" xfId="16852"/>
    <cellStyle name="Итог 74" xfId="16853"/>
    <cellStyle name="Итог 75" xfId="16854"/>
    <cellStyle name="Итог 76" xfId="16855"/>
    <cellStyle name="Итог 77" xfId="16856"/>
    <cellStyle name="Итог 78" xfId="16857"/>
    <cellStyle name="Итог 79" xfId="16858"/>
    <cellStyle name="Итог 8" xfId="16859"/>
    <cellStyle name="Итог 80" xfId="16860"/>
    <cellStyle name="Итог 81" xfId="16861"/>
    <cellStyle name="Итог 82" xfId="16862"/>
    <cellStyle name="Итог 83" xfId="16863"/>
    <cellStyle name="Итог 84" xfId="16864"/>
    <cellStyle name="Итог 85" xfId="16865"/>
    <cellStyle name="Итог 86" xfId="16866"/>
    <cellStyle name="Итог 87" xfId="16867"/>
    <cellStyle name="Итог 88" xfId="16868"/>
    <cellStyle name="Итог 89" xfId="16869"/>
    <cellStyle name="Итог 9" xfId="16870"/>
    <cellStyle name="Итог 90" xfId="16871"/>
    <cellStyle name="Итог 91" xfId="16872"/>
    <cellStyle name="Итог 92" xfId="16873"/>
    <cellStyle name="Итог 93" xfId="16874"/>
    <cellStyle name="Итог 94" xfId="16875"/>
    <cellStyle name="Итог 95" xfId="16876"/>
    <cellStyle name="Итог 96" xfId="16877"/>
    <cellStyle name="Итог 97" xfId="16878"/>
    <cellStyle name="Итог 98" xfId="16879"/>
    <cellStyle name="Итог 99" xfId="16880"/>
    <cellStyle name="Контрольная ячейка 10" xfId="16881"/>
    <cellStyle name="Контрольная ячейка 100" xfId="16882"/>
    <cellStyle name="Контрольная ячейка 101" xfId="16883"/>
    <cellStyle name="Контрольная ячейка 102" xfId="16884"/>
    <cellStyle name="Контрольная ячейка 103" xfId="16885"/>
    <cellStyle name="Контрольная ячейка 104" xfId="16886"/>
    <cellStyle name="Контрольная ячейка 105" xfId="16887"/>
    <cellStyle name="Контрольная ячейка 106" xfId="16888"/>
    <cellStyle name="Контрольная ячейка 107" xfId="16889"/>
    <cellStyle name="Контрольная ячейка 108" xfId="16890"/>
    <cellStyle name="Контрольная ячейка 109" xfId="16891"/>
    <cellStyle name="Контрольная ячейка 11" xfId="16892"/>
    <cellStyle name="Контрольная ячейка 110" xfId="16893"/>
    <cellStyle name="Контрольная ячейка 111" xfId="16894"/>
    <cellStyle name="Контрольная ячейка 112" xfId="16895"/>
    <cellStyle name="Контрольная ячейка 113" xfId="16896"/>
    <cellStyle name="Контрольная ячейка 114" xfId="16897"/>
    <cellStyle name="Контрольная ячейка 115" xfId="16898"/>
    <cellStyle name="Контрольная ячейка 116" xfId="16899"/>
    <cellStyle name="Контрольная ячейка 117" xfId="16900"/>
    <cellStyle name="Контрольная ячейка 118" xfId="16901"/>
    <cellStyle name="Контрольная ячейка 119" xfId="16902"/>
    <cellStyle name="Контрольная ячейка 12" xfId="16903"/>
    <cellStyle name="Контрольная ячейка 120" xfId="16904"/>
    <cellStyle name="Контрольная ячейка 121" xfId="16905"/>
    <cellStyle name="Контрольная ячейка 122" xfId="16906"/>
    <cellStyle name="Контрольная ячейка 123" xfId="16907"/>
    <cellStyle name="Контрольная ячейка 124" xfId="16908"/>
    <cellStyle name="Контрольная ячейка 125" xfId="16909"/>
    <cellStyle name="Контрольная ячейка 126" xfId="16910"/>
    <cellStyle name="Контрольная ячейка 127" xfId="16911"/>
    <cellStyle name="Контрольная ячейка 128" xfId="16912"/>
    <cellStyle name="Контрольная ячейка 129" xfId="16913"/>
    <cellStyle name="Контрольная ячейка 13" xfId="16914"/>
    <cellStyle name="Контрольная ячейка 130" xfId="16915"/>
    <cellStyle name="Контрольная ячейка 131" xfId="16916"/>
    <cellStyle name="Контрольная ячейка 132" xfId="16917"/>
    <cellStyle name="Контрольная ячейка 133" xfId="16918"/>
    <cellStyle name="Контрольная ячейка 134" xfId="16919"/>
    <cellStyle name="Контрольная ячейка 135" xfId="16920"/>
    <cellStyle name="Контрольная ячейка 136" xfId="16921"/>
    <cellStyle name="Контрольная ячейка 137" xfId="16922"/>
    <cellStyle name="Контрольная ячейка 138" xfId="16923"/>
    <cellStyle name="Контрольная ячейка 139" xfId="16924"/>
    <cellStyle name="Контрольная ячейка 14" xfId="16925"/>
    <cellStyle name="Контрольная ячейка 140" xfId="16926"/>
    <cellStyle name="Контрольная ячейка 141" xfId="16927"/>
    <cellStyle name="Контрольная ячейка 142" xfId="16928"/>
    <cellStyle name="Контрольная ячейка 143" xfId="16929"/>
    <cellStyle name="Контрольная ячейка 144" xfId="16930"/>
    <cellStyle name="Контрольная ячейка 145" xfId="16931"/>
    <cellStyle name="Контрольная ячейка 146" xfId="16932"/>
    <cellStyle name="Контрольная ячейка 147" xfId="16933"/>
    <cellStyle name="Контрольная ячейка 148" xfId="16934"/>
    <cellStyle name="Контрольная ячейка 149" xfId="16935"/>
    <cellStyle name="Контрольная ячейка 15" xfId="16936"/>
    <cellStyle name="Контрольная ячейка 150" xfId="16937"/>
    <cellStyle name="Контрольная ячейка 151" xfId="16938"/>
    <cellStyle name="Контрольная ячейка 152" xfId="16939"/>
    <cellStyle name="Контрольная ячейка 16" xfId="16940"/>
    <cellStyle name="Контрольная ячейка 17" xfId="16941"/>
    <cellStyle name="Контрольная ячейка 18" xfId="16942"/>
    <cellStyle name="Контрольная ячейка 19" xfId="16943"/>
    <cellStyle name="Контрольная ячейка 2" xfId="329"/>
    <cellStyle name="Контрольная ячейка 2 2" xfId="16944"/>
    <cellStyle name="Контрольная ячейка 2 3" xfId="16945"/>
    <cellStyle name="Контрольная ячейка 2 4" xfId="16946"/>
    <cellStyle name="Контрольная ячейка 2 5" xfId="16947"/>
    <cellStyle name="Контрольная ячейка 2 6" xfId="16948"/>
    <cellStyle name="Контрольная ячейка 2 7" xfId="16949"/>
    <cellStyle name="Контрольная ячейка 20" xfId="16950"/>
    <cellStyle name="Контрольная ячейка 20 2" xfId="16951"/>
    <cellStyle name="Контрольная ячейка 21" xfId="16952"/>
    <cellStyle name="Контрольная ячейка 22" xfId="16953"/>
    <cellStyle name="Контрольная ячейка 23" xfId="16954"/>
    <cellStyle name="Контрольная ячейка 24" xfId="16955"/>
    <cellStyle name="Контрольная ячейка 25" xfId="16956"/>
    <cellStyle name="Контрольная ячейка 26" xfId="16957"/>
    <cellStyle name="Контрольная ячейка 27" xfId="16958"/>
    <cellStyle name="Контрольная ячейка 28" xfId="16959"/>
    <cellStyle name="Контрольная ячейка 29" xfId="16960"/>
    <cellStyle name="Контрольная ячейка 3" xfId="16961"/>
    <cellStyle name="Контрольная ячейка 30" xfId="16962"/>
    <cellStyle name="Контрольная ячейка 31" xfId="16963"/>
    <cellStyle name="Контрольная ячейка 32" xfId="16964"/>
    <cellStyle name="Контрольная ячейка 33" xfId="16965"/>
    <cellStyle name="Контрольная ячейка 34" xfId="16966"/>
    <cellStyle name="Контрольная ячейка 35" xfId="16967"/>
    <cellStyle name="Контрольная ячейка 36" xfId="16968"/>
    <cellStyle name="Контрольная ячейка 37" xfId="16969"/>
    <cellStyle name="Контрольная ячейка 38" xfId="16970"/>
    <cellStyle name="Контрольная ячейка 39" xfId="16971"/>
    <cellStyle name="Контрольная ячейка 4" xfId="16972"/>
    <cellStyle name="Контрольная ячейка 40" xfId="16973"/>
    <cellStyle name="Контрольная ячейка 41" xfId="16974"/>
    <cellStyle name="Контрольная ячейка 42" xfId="16975"/>
    <cellStyle name="Контрольная ячейка 43" xfId="16976"/>
    <cellStyle name="Контрольная ячейка 44" xfId="16977"/>
    <cellStyle name="Контрольная ячейка 45" xfId="16978"/>
    <cellStyle name="Контрольная ячейка 46" xfId="16979"/>
    <cellStyle name="Контрольная ячейка 47" xfId="16980"/>
    <cellStyle name="Контрольная ячейка 48" xfId="16981"/>
    <cellStyle name="Контрольная ячейка 49" xfId="16982"/>
    <cellStyle name="Контрольная ячейка 5" xfId="16983"/>
    <cellStyle name="Контрольная ячейка 50" xfId="16984"/>
    <cellStyle name="Контрольная ячейка 51" xfId="16985"/>
    <cellStyle name="Контрольная ячейка 52" xfId="16986"/>
    <cellStyle name="Контрольная ячейка 53" xfId="16987"/>
    <cellStyle name="Контрольная ячейка 54" xfId="16988"/>
    <cellStyle name="Контрольная ячейка 55" xfId="16989"/>
    <cellStyle name="Контрольная ячейка 56" xfId="16990"/>
    <cellStyle name="Контрольная ячейка 57" xfId="16991"/>
    <cellStyle name="Контрольная ячейка 58" xfId="16992"/>
    <cellStyle name="Контрольная ячейка 59" xfId="16993"/>
    <cellStyle name="Контрольная ячейка 6" xfId="16994"/>
    <cellStyle name="Контрольная ячейка 60" xfId="16995"/>
    <cellStyle name="Контрольная ячейка 61" xfId="16996"/>
    <cellStyle name="Контрольная ячейка 62" xfId="16997"/>
    <cellStyle name="Контрольная ячейка 63" xfId="16998"/>
    <cellStyle name="Контрольная ячейка 64" xfId="16999"/>
    <cellStyle name="Контрольная ячейка 65" xfId="17000"/>
    <cellStyle name="Контрольная ячейка 66" xfId="17001"/>
    <cellStyle name="Контрольная ячейка 67" xfId="17002"/>
    <cellStyle name="Контрольная ячейка 68" xfId="17003"/>
    <cellStyle name="Контрольная ячейка 69" xfId="17004"/>
    <cellStyle name="Контрольная ячейка 7" xfId="17005"/>
    <cellStyle name="Контрольная ячейка 70" xfId="17006"/>
    <cellStyle name="Контрольная ячейка 71" xfId="17007"/>
    <cellStyle name="Контрольная ячейка 72" xfId="17008"/>
    <cellStyle name="Контрольная ячейка 73" xfId="17009"/>
    <cellStyle name="Контрольная ячейка 74" xfId="17010"/>
    <cellStyle name="Контрольная ячейка 75" xfId="17011"/>
    <cellStyle name="Контрольная ячейка 76" xfId="17012"/>
    <cellStyle name="Контрольная ячейка 77" xfId="17013"/>
    <cellStyle name="Контрольная ячейка 78" xfId="17014"/>
    <cellStyle name="Контрольная ячейка 79" xfId="17015"/>
    <cellStyle name="Контрольная ячейка 8" xfId="17016"/>
    <cellStyle name="Контрольная ячейка 80" xfId="17017"/>
    <cellStyle name="Контрольная ячейка 81" xfId="17018"/>
    <cellStyle name="Контрольная ячейка 82" xfId="17019"/>
    <cellStyle name="Контрольная ячейка 83" xfId="17020"/>
    <cellStyle name="Контрольная ячейка 84" xfId="17021"/>
    <cellStyle name="Контрольная ячейка 85" xfId="17022"/>
    <cellStyle name="Контрольная ячейка 86" xfId="17023"/>
    <cellStyle name="Контрольная ячейка 87" xfId="17024"/>
    <cellStyle name="Контрольная ячейка 88" xfId="17025"/>
    <cellStyle name="Контрольная ячейка 89" xfId="17026"/>
    <cellStyle name="Контрольная ячейка 9" xfId="17027"/>
    <cellStyle name="Контрольная ячейка 90" xfId="17028"/>
    <cellStyle name="Контрольная ячейка 91" xfId="17029"/>
    <cellStyle name="Контрольная ячейка 92" xfId="17030"/>
    <cellStyle name="Контрольная ячейка 93" xfId="17031"/>
    <cellStyle name="Контрольная ячейка 94" xfId="17032"/>
    <cellStyle name="Контрольная ячейка 95" xfId="17033"/>
    <cellStyle name="Контрольная ячейка 96" xfId="17034"/>
    <cellStyle name="Контрольная ячейка 97" xfId="17035"/>
    <cellStyle name="Контрольная ячейка 98" xfId="17036"/>
    <cellStyle name="Контрольная ячейка 99" xfId="17037"/>
    <cellStyle name="Коэффициент" xfId="17038"/>
    <cellStyle name="Название 10" xfId="17039"/>
    <cellStyle name="Название 100" xfId="17040"/>
    <cellStyle name="Название 101" xfId="17041"/>
    <cellStyle name="Название 102" xfId="17042"/>
    <cellStyle name="Название 103" xfId="17043"/>
    <cellStyle name="Название 104" xfId="17044"/>
    <cellStyle name="Название 105" xfId="17045"/>
    <cellStyle name="Название 106" xfId="17046"/>
    <cellStyle name="Название 107" xfId="17047"/>
    <cellStyle name="Название 108" xfId="17048"/>
    <cellStyle name="Название 109" xfId="17049"/>
    <cellStyle name="Название 11" xfId="17050"/>
    <cellStyle name="Название 110" xfId="17051"/>
    <cellStyle name="Название 111" xfId="17052"/>
    <cellStyle name="Название 112" xfId="17053"/>
    <cellStyle name="Название 113" xfId="17054"/>
    <cellStyle name="Название 114" xfId="17055"/>
    <cellStyle name="Название 115" xfId="17056"/>
    <cellStyle name="Название 116" xfId="17057"/>
    <cellStyle name="Название 117" xfId="17058"/>
    <cellStyle name="Название 118" xfId="17059"/>
    <cellStyle name="Название 119" xfId="17060"/>
    <cellStyle name="Название 12" xfId="17061"/>
    <cellStyle name="Название 120" xfId="17062"/>
    <cellStyle name="Название 121" xfId="17063"/>
    <cellStyle name="Название 122" xfId="17064"/>
    <cellStyle name="Название 123" xfId="17065"/>
    <cellStyle name="Название 124" xfId="17066"/>
    <cellStyle name="Название 125" xfId="17067"/>
    <cellStyle name="Название 126" xfId="17068"/>
    <cellStyle name="Название 127" xfId="17069"/>
    <cellStyle name="Название 128" xfId="17070"/>
    <cellStyle name="Название 129" xfId="17071"/>
    <cellStyle name="Название 13" xfId="17072"/>
    <cellStyle name="Название 130" xfId="17073"/>
    <cellStyle name="Название 131" xfId="17074"/>
    <cellStyle name="Название 132" xfId="17075"/>
    <cellStyle name="Название 133" xfId="17076"/>
    <cellStyle name="Название 134" xfId="17077"/>
    <cellStyle name="Название 135" xfId="17078"/>
    <cellStyle name="Название 136" xfId="17079"/>
    <cellStyle name="Название 137" xfId="17080"/>
    <cellStyle name="Название 138" xfId="17081"/>
    <cellStyle name="Название 139" xfId="17082"/>
    <cellStyle name="Название 14" xfId="17083"/>
    <cellStyle name="Название 140" xfId="17084"/>
    <cellStyle name="Название 141" xfId="17085"/>
    <cellStyle name="Название 142" xfId="17086"/>
    <cellStyle name="Название 143" xfId="17087"/>
    <cellStyle name="Название 144" xfId="17088"/>
    <cellStyle name="Название 145" xfId="17089"/>
    <cellStyle name="Название 146" xfId="17090"/>
    <cellStyle name="Название 147" xfId="17091"/>
    <cellStyle name="Название 148" xfId="17092"/>
    <cellStyle name="Название 149" xfId="17093"/>
    <cellStyle name="Название 15" xfId="17094"/>
    <cellStyle name="Название 150" xfId="17095"/>
    <cellStyle name="Название 151" xfId="17096"/>
    <cellStyle name="Название 152" xfId="17097"/>
    <cellStyle name="Название 16" xfId="17098"/>
    <cellStyle name="Название 17" xfId="17099"/>
    <cellStyle name="Название 18" xfId="17100"/>
    <cellStyle name="Название 19" xfId="17101"/>
    <cellStyle name="Название 2" xfId="17102"/>
    <cellStyle name="Название 2 2" xfId="17103"/>
    <cellStyle name="Название 2 3" xfId="17104"/>
    <cellStyle name="Название 2 4" xfId="17105"/>
    <cellStyle name="Название 2 5" xfId="17106"/>
    <cellStyle name="Название 2 6" xfId="17107"/>
    <cellStyle name="Название 2 7" xfId="17108"/>
    <cellStyle name="Название 20" xfId="17109"/>
    <cellStyle name="Название 20 2" xfId="17110"/>
    <cellStyle name="Название 21" xfId="17111"/>
    <cellStyle name="Название 22" xfId="17112"/>
    <cellStyle name="Название 23" xfId="17113"/>
    <cellStyle name="Название 24" xfId="17114"/>
    <cellStyle name="Название 25" xfId="17115"/>
    <cellStyle name="Название 26" xfId="17116"/>
    <cellStyle name="Название 27" xfId="17117"/>
    <cellStyle name="Название 28" xfId="17118"/>
    <cellStyle name="Название 29" xfId="17119"/>
    <cellStyle name="Название 3" xfId="17120"/>
    <cellStyle name="Название 30" xfId="17121"/>
    <cellStyle name="Название 31" xfId="17122"/>
    <cellStyle name="Название 32" xfId="17123"/>
    <cellStyle name="Название 33" xfId="17124"/>
    <cellStyle name="Название 34" xfId="17125"/>
    <cellStyle name="Название 35" xfId="17126"/>
    <cellStyle name="Название 36" xfId="17127"/>
    <cellStyle name="Название 37" xfId="17128"/>
    <cellStyle name="Название 38" xfId="17129"/>
    <cellStyle name="Название 39" xfId="17130"/>
    <cellStyle name="Название 4" xfId="17131"/>
    <cellStyle name="Название 40" xfId="17132"/>
    <cellStyle name="Название 41" xfId="17133"/>
    <cellStyle name="Название 42" xfId="17134"/>
    <cellStyle name="Название 43" xfId="17135"/>
    <cellStyle name="Название 44" xfId="17136"/>
    <cellStyle name="Название 45" xfId="17137"/>
    <cellStyle name="Название 46" xfId="17138"/>
    <cellStyle name="Название 47" xfId="17139"/>
    <cellStyle name="Название 48" xfId="17140"/>
    <cellStyle name="Название 49" xfId="17141"/>
    <cellStyle name="Название 5" xfId="17142"/>
    <cellStyle name="Название 50" xfId="17143"/>
    <cellStyle name="Название 51" xfId="17144"/>
    <cellStyle name="Название 52" xfId="17145"/>
    <cellStyle name="Название 53" xfId="17146"/>
    <cellStyle name="Название 54" xfId="17147"/>
    <cellStyle name="Название 55" xfId="17148"/>
    <cellStyle name="Название 56" xfId="17149"/>
    <cellStyle name="Название 57" xfId="17150"/>
    <cellStyle name="Название 58" xfId="17151"/>
    <cellStyle name="Название 59" xfId="17152"/>
    <cellStyle name="Название 6" xfId="17153"/>
    <cellStyle name="Название 60" xfId="17154"/>
    <cellStyle name="Название 61" xfId="17155"/>
    <cellStyle name="Название 62" xfId="17156"/>
    <cellStyle name="Название 63" xfId="17157"/>
    <cellStyle name="Название 64" xfId="17158"/>
    <cellStyle name="Название 65" xfId="17159"/>
    <cellStyle name="Название 66" xfId="17160"/>
    <cellStyle name="Название 67" xfId="17161"/>
    <cellStyle name="Название 68" xfId="17162"/>
    <cellStyle name="Название 69" xfId="17163"/>
    <cellStyle name="Название 7" xfId="17164"/>
    <cellStyle name="Название 70" xfId="17165"/>
    <cellStyle name="Название 71" xfId="17166"/>
    <cellStyle name="Название 72" xfId="17167"/>
    <cellStyle name="Название 73" xfId="17168"/>
    <cellStyle name="Название 74" xfId="17169"/>
    <cellStyle name="Название 75" xfId="17170"/>
    <cellStyle name="Название 76" xfId="17171"/>
    <cellStyle name="Название 77" xfId="17172"/>
    <cellStyle name="Название 78" xfId="17173"/>
    <cellStyle name="Название 79" xfId="17174"/>
    <cellStyle name="Название 8" xfId="17175"/>
    <cellStyle name="Название 80" xfId="17176"/>
    <cellStyle name="Название 81" xfId="17177"/>
    <cellStyle name="Название 82" xfId="17178"/>
    <cellStyle name="Название 83" xfId="17179"/>
    <cellStyle name="Название 84" xfId="17180"/>
    <cellStyle name="Название 85" xfId="17181"/>
    <cellStyle name="Название 86" xfId="17182"/>
    <cellStyle name="Название 87" xfId="17183"/>
    <cellStyle name="Название 88" xfId="17184"/>
    <cellStyle name="Название 89" xfId="17185"/>
    <cellStyle name="Название 9" xfId="17186"/>
    <cellStyle name="Название 90" xfId="17187"/>
    <cellStyle name="Название 91" xfId="17188"/>
    <cellStyle name="Название 92" xfId="17189"/>
    <cellStyle name="Название 93" xfId="17190"/>
    <cellStyle name="Название 94" xfId="17191"/>
    <cellStyle name="Название 95" xfId="17192"/>
    <cellStyle name="Название 96" xfId="17193"/>
    <cellStyle name="Название 97" xfId="17194"/>
    <cellStyle name="Название 98" xfId="17195"/>
    <cellStyle name="Название 99" xfId="17196"/>
    <cellStyle name="Не заполняется" xfId="17197"/>
    <cellStyle name="Невидимый" xfId="17198"/>
    <cellStyle name="недельный" xfId="17199"/>
    <cellStyle name="недельный 2" xfId="17200"/>
    <cellStyle name="недельный 3" xfId="17201"/>
    <cellStyle name="недельный 4" xfId="17202"/>
    <cellStyle name="Нейтральный 10" xfId="17203"/>
    <cellStyle name="Нейтральный 100" xfId="17204"/>
    <cellStyle name="Нейтральный 101" xfId="17205"/>
    <cellStyle name="Нейтральный 102" xfId="17206"/>
    <cellStyle name="Нейтральный 103" xfId="17207"/>
    <cellStyle name="Нейтральный 104" xfId="17208"/>
    <cellStyle name="Нейтральный 105" xfId="17209"/>
    <cellStyle name="Нейтральный 106" xfId="17210"/>
    <cellStyle name="Нейтральный 107" xfId="17211"/>
    <cellStyle name="Нейтральный 108" xfId="17212"/>
    <cellStyle name="Нейтральный 109" xfId="17213"/>
    <cellStyle name="Нейтральный 11" xfId="17214"/>
    <cellStyle name="Нейтральный 110" xfId="17215"/>
    <cellStyle name="Нейтральный 111" xfId="17216"/>
    <cellStyle name="Нейтральный 112" xfId="17217"/>
    <cellStyle name="Нейтральный 113" xfId="17218"/>
    <cellStyle name="Нейтральный 114" xfId="17219"/>
    <cellStyle name="Нейтральный 115" xfId="17220"/>
    <cellStyle name="Нейтральный 116" xfId="17221"/>
    <cellStyle name="Нейтральный 117" xfId="17222"/>
    <cellStyle name="Нейтральный 118" xfId="17223"/>
    <cellStyle name="Нейтральный 119" xfId="17224"/>
    <cellStyle name="Нейтральный 12" xfId="17225"/>
    <cellStyle name="Нейтральный 120" xfId="17226"/>
    <cellStyle name="Нейтральный 121" xfId="17227"/>
    <cellStyle name="Нейтральный 122" xfId="17228"/>
    <cellStyle name="Нейтральный 123" xfId="17229"/>
    <cellStyle name="Нейтральный 124" xfId="17230"/>
    <cellStyle name="Нейтральный 125" xfId="17231"/>
    <cellStyle name="Нейтральный 126" xfId="17232"/>
    <cellStyle name="Нейтральный 127" xfId="17233"/>
    <cellStyle name="Нейтральный 128" xfId="17234"/>
    <cellStyle name="Нейтральный 129" xfId="17235"/>
    <cellStyle name="Нейтральный 13" xfId="17236"/>
    <cellStyle name="Нейтральный 130" xfId="17237"/>
    <cellStyle name="Нейтральный 131" xfId="17238"/>
    <cellStyle name="Нейтральный 132" xfId="17239"/>
    <cellStyle name="Нейтральный 133" xfId="17240"/>
    <cellStyle name="Нейтральный 134" xfId="17241"/>
    <cellStyle name="Нейтральный 135" xfId="17242"/>
    <cellStyle name="Нейтральный 136" xfId="17243"/>
    <cellStyle name="Нейтральный 137" xfId="17244"/>
    <cellStyle name="Нейтральный 138" xfId="17245"/>
    <cellStyle name="Нейтральный 139" xfId="17246"/>
    <cellStyle name="Нейтральный 14" xfId="17247"/>
    <cellStyle name="Нейтральный 140" xfId="17248"/>
    <cellStyle name="Нейтральный 141" xfId="17249"/>
    <cellStyle name="Нейтральный 142" xfId="17250"/>
    <cellStyle name="Нейтральный 143" xfId="17251"/>
    <cellStyle name="Нейтральный 144" xfId="17252"/>
    <cellStyle name="Нейтральный 145" xfId="17253"/>
    <cellStyle name="Нейтральный 146" xfId="17254"/>
    <cellStyle name="Нейтральный 147" xfId="17255"/>
    <cellStyle name="Нейтральный 148" xfId="17256"/>
    <cellStyle name="Нейтральный 149" xfId="17257"/>
    <cellStyle name="Нейтральный 15" xfId="17258"/>
    <cellStyle name="Нейтральный 150" xfId="17259"/>
    <cellStyle name="Нейтральный 151" xfId="17260"/>
    <cellStyle name="Нейтральный 152" xfId="17261"/>
    <cellStyle name="Нейтральный 16" xfId="17262"/>
    <cellStyle name="Нейтральный 17" xfId="17263"/>
    <cellStyle name="Нейтральный 18" xfId="17264"/>
    <cellStyle name="Нейтральный 19" xfId="17265"/>
    <cellStyle name="Нейтральный 2" xfId="330"/>
    <cellStyle name="Нейтральный 2 2" xfId="17266"/>
    <cellStyle name="Нейтральный 2 3" xfId="17267"/>
    <cellStyle name="Нейтральный 2 4" xfId="17268"/>
    <cellStyle name="Нейтральный 2 5" xfId="17269"/>
    <cellStyle name="Нейтральный 2 6" xfId="17270"/>
    <cellStyle name="Нейтральный 2 7" xfId="17271"/>
    <cellStyle name="Нейтральный 20" xfId="17272"/>
    <cellStyle name="Нейтральный 20 2" xfId="17273"/>
    <cellStyle name="Нейтральный 21" xfId="17274"/>
    <cellStyle name="Нейтральный 22" xfId="17275"/>
    <cellStyle name="Нейтральный 23" xfId="17276"/>
    <cellStyle name="Нейтральный 24" xfId="17277"/>
    <cellStyle name="Нейтральный 25" xfId="17278"/>
    <cellStyle name="Нейтральный 26" xfId="17279"/>
    <cellStyle name="Нейтральный 27" xfId="17280"/>
    <cellStyle name="Нейтральный 28" xfId="17281"/>
    <cellStyle name="Нейтральный 29" xfId="17282"/>
    <cellStyle name="Нейтральный 3" xfId="331"/>
    <cellStyle name="Нейтральный 30" xfId="17283"/>
    <cellStyle name="Нейтральный 31" xfId="17284"/>
    <cellStyle name="Нейтральный 32" xfId="17285"/>
    <cellStyle name="Нейтральный 33" xfId="17286"/>
    <cellStyle name="Нейтральный 34" xfId="17287"/>
    <cellStyle name="Нейтральный 35" xfId="17288"/>
    <cellStyle name="Нейтральный 36" xfId="17289"/>
    <cellStyle name="Нейтральный 37" xfId="17290"/>
    <cellStyle name="Нейтральный 38" xfId="17291"/>
    <cellStyle name="Нейтральный 39" xfId="17292"/>
    <cellStyle name="Нейтральный 4" xfId="17293"/>
    <cellStyle name="Нейтральный 40" xfId="17294"/>
    <cellStyle name="Нейтральный 41" xfId="17295"/>
    <cellStyle name="Нейтральный 42" xfId="17296"/>
    <cellStyle name="Нейтральный 43" xfId="17297"/>
    <cellStyle name="Нейтральный 44" xfId="17298"/>
    <cellStyle name="Нейтральный 45" xfId="17299"/>
    <cellStyle name="Нейтральный 46" xfId="17300"/>
    <cellStyle name="Нейтральный 47" xfId="17301"/>
    <cellStyle name="Нейтральный 48" xfId="17302"/>
    <cellStyle name="Нейтральный 49" xfId="17303"/>
    <cellStyle name="Нейтральный 5" xfId="17304"/>
    <cellStyle name="Нейтральный 50" xfId="17305"/>
    <cellStyle name="Нейтральный 51" xfId="17306"/>
    <cellStyle name="Нейтральный 52" xfId="17307"/>
    <cellStyle name="Нейтральный 53" xfId="17308"/>
    <cellStyle name="Нейтральный 54" xfId="17309"/>
    <cellStyle name="Нейтральный 55" xfId="17310"/>
    <cellStyle name="Нейтральный 56" xfId="17311"/>
    <cellStyle name="Нейтральный 57" xfId="17312"/>
    <cellStyle name="Нейтральный 58" xfId="17313"/>
    <cellStyle name="Нейтральный 59" xfId="17314"/>
    <cellStyle name="Нейтральный 6" xfId="17315"/>
    <cellStyle name="Нейтральный 60" xfId="17316"/>
    <cellStyle name="Нейтральный 61" xfId="17317"/>
    <cellStyle name="Нейтральный 62" xfId="17318"/>
    <cellStyle name="Нейтральный 63" xfId="17319"/>
    <cellStyle name="Нейтральный 64" xfId="17320"/>
    <cellStyle name="Нейтральный 65" xfId="17321"/>
    <cellStyle name="Нейтральный 66" xfId="17322"/>
    <cellStyle name="Нейтральный 67" xfId="17323"/>
    <cellStyle name="Нейтральный 68" xfId="17324"/>
    <cellStyle name="Нейтральный 69" xfId="17325"/>
    <cellStyle name="Нейтральный 7" xfId="17326"/>
    <cellStyle name="Нейтральный 70" xfId="17327"/>
    <cellStyle name="Нейтральный 71" xfId="17328"/>
    <cellStyle name="Нейтральный 72" xfId="17329"/>
    <cellStyle name="Нейтральный 73" xfId="17330"/>
    <cellStyle name="Нейтральный 74" xfId="17331"/>
    <cellStyle name="Нейтральный 75" xfId="17332"/>
    <cellStyle name="Нейтральный 76" xfId="17333"/>
    <cellStyle name="Нейтральный 77" xfId="17334"/>
    <cellStyle name="Нейтральный 78" xfId="17335"/>
    <cellStyle name="Нейтральный 79" xfId="17336"/>
    <cellStyle name="Нейтральный 8" xfId="17337"/>
    <cellStyle name="Нейтральный 80" xfId="17338"/>
    <cellStyle name="Нейтральный 81" xfId="17339"/>
    <cellStyle name="Нейтральный 82" xfId="17340"/>
    <cellStyle name="Нейтральный 83" xfId="17341"/>
    <cellStyle name="Нейтральный 84" xfId="17342"/>
    <cellStyle name="Нейтральный 85" xfId="17343"/>
    <cellStyle name="Нейтральный 86" xfId="17344"/>
    <cellStyle name="Нейтральный 87" xfId="17345"/>
    <cellStyle name="Нейтральный 88" xfId="17346"/>
    <cellStyle name="Нейтральный 89" xfId="17347"/>
    <cellStyle name="Нейтральный 9" xfId="17348"/>
    <cellStyle name="Нейтральный 90" xfId="17349"/>
    <cellStyle name="Нейтральный 91" xfId="17350"/>
    <cellStyle name="Нейтральный 92" xfId="17351"/>
    <cellStyle name="Нейтральный 93" xfId="17352"/>
    <cellStyle name="Нейтральный 94" xfId="17353"/>
    <cellStyle name="Нейтральный 95" xfId="17354"/>
    <cellStyle name="Нейтральный 96" xfId="17355"/>
    <cellStyle name="Нейтральный 97" xfId="17356"/>
    <cellStyle name="Нейтральный 98" xfId="17357"/>
    <cellStyle name="Нейтральный 99" xfId="17358"/>
    <cellStyle name="Нестандартный расчет" xfId="17359"/>
    <cellStyle name="Обычный" xfId="0" builtinId="0"/>
    <cellStyle name="Обычный 10" xfId="332"/>
    <cellStyle name="Обычный 10 10" xfId="17360"/>
    <cellStyle name="Обычный 10 11" xfId="17361"/>
    <cellStyle name="Обычный 10 12" xfId="17362"/>
    <cellStyle name="Обычный 10 13" xfId="17363"/>
    <cellStyle name="Обычный 10 14" xfId="17364"/>
    <cellStyle name="Обычный 10 15" xfId="17365"/>
    <cellStyle name="Обычный 10 16" xfId="17366"/>
    <cellStyle name="Обычный 10 17" xfId="17367"/>
    <cellStyle name="Обычный 10 18" xfId="17368"/>
    <cellStyle name="Обычный 10 19" xfId="17369"/>
    <cellStyle name="Обычный 10 2" xfId="333"/>
    <cellStyle name="Обычный 10 2 2" xfId="17370"/>
    <cellStyle name="Обычный 10 2 2 2" xfId="17371"/>
    <cellStyle name="Обычный 10 2 2 3" xfId="17372"/>
    <cellStyle name="Обычный 10 2 3" xfId="17373"/>
    <cellStyle name="Обычный 10 2 4" xfId="17374"/>
    <cellStyle name="Обычный 10 20" xfId="17375"/>
    <cellStyle name="Обычный 10 21" xfId="17376"/>
    <cellStyle name="Обычный 10 22" xfId="17377"/>
    <cellStyle name="Обычный 10 23" xfId="17378"/>
    <cellStyle name="Обычный 10 24" xfId="17379"/>
    <cellStyle name="Обычный 10 25" xfId="17380"/>
    <cellStyle name="Обычный 10 3" xfId="334"/>
    <cellStyle name="Обычный 10 3 2" xfId="335"/>
    <cellStyle name="Обычный 10 3 2 2" xfId="336"/>
    <cellStyle name="Обычный 10 3 2 3" xfId="337"/>
    <cellStyle name="Обычный 10 3 3" xfId="17381"/>
    <cellStyle name="Обычный 10 4" xfId="17382"/>
    <cellStyle name="Обычный 10 5" xfId="17383"/>
    <cellStyle name="Обычный 10 6" xfId="17384"/>
    <cellStyle name="Обычный 10 7" xfId="17385"/>
    <cellStyle name="Обычный 10 8" xfId="17386"/>
    <cellStyle name="Обычный 10 9" xfId="17387"/>
    <cellStyle name="Обычный 100" xfId="17388"/>
    <cellStyle name="Обычный 100 2" xfId="17389"/>
    <cellStyle name="Обычный 100 3" xfId="17390"/>
    <cellStyle name="Обычный 101" xfId="17391"/>
    <cellStyle name="Обычный 101 2" xfId="17392"/>
    <cellStyle name="Обычный 101 3" xfId="17393"/>
    <cellStyle name="Обычный 102" xfId="17394"/>
    <cellStyle name="Обычный 102 2" xfId="17395"/>
    <cellStyle name="Обычный 102 3" xfId="17396"/>
    <cellStyle name="Обычный 103" xfId="17397"/>
    <cellStyle name="Обычный 103 2" xfId="17398"/>
    <cellStyle name="Обычный 103 3" xfId="17399"/>
    <cellStyle name="Обычный 104" xfId="17400"/>
    <cellStyle name="Обычный 104 2" xfId="17401"/>
    <cellStyle name="Обычный 104 3" xfId="17402"/>
    <cellStyle name="Обычный 105" xfId="17403"/>
    <cellStyle name="Обычный 105 2" xfId="17404"/>
    <cellStyle name="Обычный 105 3" xfId="17405"/>
    <cellStyle name="Обычный 106" xfId="17406"/>
    <cellStyle name="Обычный 106 2" xfId="17407"/>
    <cellStyle name="Обычный 106 3" xfId="17408"/>
    <cellStyle name="Обычный 107" xfId="17409"/>
    <cellStyle name="Обычный 107 2" xfId="17410"/>
    <cellStyle name="Обычный 107 3" xfId="17411"/>
    <cellStyle name="Обычный 108" xfId="17412"/>
    <cellStyle name="Обычный 108 2" xfId="17413"/>
    <cellStyle name="Обычный 108 3" xfId="17414"/>
    <cellStyle name="Обычный 109" xfId="17415"/>
    <cellStyle name="Обычный 109 2" xfId="17416"/>
    <cellStyle name="Обычный 109 3" xfId="17417"/>
    <cellStyle name="Обычный 11" xfId="338"/>
    <cellStyle name="Обычный 11 2" xfId="17418"/>
    <cellStyle name="Обычный 11 2 2" xfId="17419"/>
    <cellStyle name="Обычный 11 2 2 2" xfId="17420"/>
    <cellStyle name="Обычный 11 2 2 2 2" xfId="17421"/>
    <cellStyle name="Обычный 11 2 2 2 3" xfId="17422"/>
    <cellStyle name="Обычный 11 2 2 3" xfId="17423"/>
    <cellStyle name="Обычный 11 2 2 4" xfId="17424"/>
    <cellStyle name="Обычный 11 2 3" xfId="17425"/>
    <cellStyle name="Обычный 11 2 3 2" xfId="17426"/>
    <cellStyle name="Обычный 11 2 3 3" xfId="17427"/>
    <cellStyle name="Обычный 11 2 4" xfId="17428"/>
    <cellStyle name="Обычный 11 2 5" xfId="17429"/>
    <cellStyle name="Обычный 11 3" xfId="17430"/>
    <cellStyle name="Обычный 11 3 2" xfId="17431"/>
    <cellStyle name="Обычный 11 3 2 2" xfId="17432"/>
    <cellStyle name="Обычный 11 3 2 3" xfId="17433"/>
    <cellStyle name="Обычный 11 3 3" xfId="17434"/>
    <cellStyle name="Обычный 11 3 4" xfId="17435"/>
    <cellStyle name="Обычный 11 4" xfId="17436"/>
    <cellStyle name="Обычный 11 4 2" xfId="17437"/>
    <cellStyle name="Обычный 11 4 3" xfId="17438"/>
    <cellStyle name="Обычный 11 5" xfId="17439"/>
    <cellStyle name="Обычный 11 6" xfId="17440"/>
    <cellStyle name="Обычный 11 6 2" xfId="17441"/>
    <cellStyle name="Обычный 11 7" xfId="17442"/>
    <cellStyle name="Обычный 110" xfId="17443"/>
    <cellStyle name="Обычный 110 2" xfId="17444"/>
    <cellStyle name="Обычный 110 3" xfId="17445"/>
    <cellStyle name="Обычный 111" xfId="17446"/>
    <cellStyle name="Обычный 111 2" xfId="17447"/>
    <cellStyle name="Обычный 111 3" xfId="17448"/>
    <cellStyle name="Обычный 112" xfId="17449"/>
    <cellStyle name="Обычный 112 2" xfId="17450"/>
    <cellStyle name="Обычный 112 3" xfId="17451"/>
    <cellStyle name="Обычный 113" xfId="17452"/>
    <cellStyle name="Обычный 113 2" xfId="17453"/>
    <cellStyle name="Обычный 113 3" xfId="17454"/>
    <cellStyle name="Обычный 114" xfId="17455"/>
    <cellStyle name="Обычный 114 2" xfId="17456"/>
    <cellStyle name="Обычный 114 3" xfId="17457"/>
    <cellStyle name="Обычный 115" xfId="17458"/>
    <cellStyle name="Обычный 115 2" xfId="17459"/>
    <cellStyle name="Обычный 115 3" xfId="17460"/>
    <cellStyle name="Обычный 116" xfId="17461"/>
    <cellStyle name="Обычный 116 2" xfId="17462"/>
    <cellStyle name="Обычный 116 3" xfId="17463"/>
    <cellStyle name="Обычный 117" xfId="17464"/>
    <cellStyle name="Обычный 117 2" xfId="17465"/>
    <cellStyle name="Обычный 117 3" xfId="17466"/>
    <cellStyle name="Обычный 118" xfId="17467"/>
    <cellStyle name="Обычный 118 2" xfId="17468"/>
    <cellStyle name="Обычный 118 3" xfId="17469"/>
    <cellStyle name="Обычный 119" xfId="17470"/>
    <cellStyle name="Обычный 119 2" xfId="17471"/>
    <cellStyle name="Обычный 119 3" xfId="17472"/>
    <cellStyle name="Обычный 12" xfId="339"/>
    <cellStyle name="Обычный 12 2" xfId="17473"/>
    <cellStyle name="Обычный 12 2 2" xfId="17474"/>
    <cellStyle name="Обычный 12 2 2 2" xfId="17475"/>
    <cellStyle name="Обычный 12 2 2 2 2" xfId="17476"/>
    <cellStyle name="Обычный 12 2 2 2 2 2" xfId="17477"/>
    <cellStyle name="Обычный 12 2 2 2 3" xfId="17478"/>
    <cellStyle name="Обычный 12 2 2 3" xfId="17479"/>
    <cellStyle name="Обычный 12 2 3" xfId="17480"/>
    <cellStyle name="Обычный 12 2 3 2" xfId="17481"/>
    <cellStyle name="Обычный 12 2 4" xfId="17482"/>
    <cellStyle name="Обычный 12 2 4 2" xfId="17483"/>
    <cellStyle name="Обычный 12 2 5" xfId="17484"/>
    <cellStyle name="Обычный 12 3" xfId="17485"/>
    <cellStyle name="Обычный 12 3 2" xfId="17486"/>
    <cellStyle name="Обычный 12 3 3" xfId="17487"/>
    <cellStyle name="Обычный 12 4" xfId="17488"/>
    <cellStyle name="Обычный 12 4 2" xfId="17489"/>
    <cellStyle name="Обычный 12 5" xfId="17490"/>
    <cellStyle name="Обычный 12 6" xfId="17491"/>
    <cellStyle name="Обычный 120" xfId="17492"/>
    <cellStyle name="Обычный 120 2" xfId="17493"/>
    <cellStyle name="Обычный 120 3" xfId="17494"/>
    <cellStyle name="Обычный 121" xfId="17495"/>
    <cellStyle name="Обычный 121 2" xfId="17496"/>
    <cellStyle name="Обычный 121 3" xfId="17497"/>
    <cellStyle name="Обычный 122" xfId="17498"/>
    <cellStyle name="Обычный 122 2" xfId="17499"/>
    <cellStyle name="Обычный 122 3" xfId="17500"/>
    <cellStyle name="Обычный 123" xfId="17501"/>
    <cellStyle name="Обычный 123 2" xfId="17502"/>
    <cellStyle name="Обычный 123 3" xfId="17503"/>
    <cellStyle name="Обычный 124" xfId="17504"/>
    <cellStyle name="Обычный 124 2" xfId="17505"/>
    <cellStyle name="Обычный 124 3" xfId="17506"/>
    <cellStyle name="Обычный 125" xfId="17507"/>
    <cellStyle name="Обычный 125 2" xfId="17508"/>
    <cellStyle name="Обычный 125 3" xfId="17509"/>
    <cellStyle name="Обычный 126" xfId="17510"/>
    <cellStyle name="Обычный 126 2" xfId="17511"/>
    <cellStyle name="Обычный 126 3" xfId="17512"/>
    <cellStyle name="Обычный 127" xfId="17513"/>
    <cellStyle name="Обычный 127 2" xfId="17514"/>
    <cellStyle name="Обычный 127 3" xfId="17515"/>
    <cellStyle name="Обычный 128" xfId="17516"/>
    <cellStyle name="Обычный 128 2" xfId="17517"/>
    <cellStyle name="Обычный 128 3" xfId="17518"/>
    <cellStyle name="Обычный 129" xfId="17519"/>
    <cellStyle name="Обычный 129 2" xfId="17520"/>
    <cellStyle name="Обычный 129 3" xfId="17521"/>
    <cellStyle name="Обычный 13" xfId="340"/>
    <cellStyle name="Обычный 13 10" xfId="17522"/>
    <cellStyle name="Обычный 13 10 2" xfId="17523"/>
    <cellStyle name="Обычный 13 11" xfId="17524"/>
    <cellStyle name="Обычный 13 12" xfId="17525"/>
    <cellStyle name="Обычный 13 13 2" xfId="17526"/>
    <cellStyle name="Обычный 13 2" xfId="17527"/>
    <cellStyle name="Обычный 13 2 2" xfId="17528"/>
    <cellStyle name="Обычный 13 2 2 2" xfId="17529"/>
    <cellStyle name="Обычный 13 2 2 2 2" xfId="17530"/>
    <cellStyle name="Обычный 13 2 2 2 2 2" xfId="17531"/>
    <cellStyle name="Обычный 13 2 2 2 2 3" xfId="17532"/>
    <cellStyle name="Обычный 13 2 2 2 2 4" xfId="17533"/>
    <cellStyle name="Обычный 13 2 2 2 2 5" xfId="17534"/>
    <cellStyle name="Обычный 13 2 2 2 3" xfId="17535"/>
    <cellStyle name="Обычный 13 2 2 2 4" xfId="17536"/>
    <cellStyle name="Обычный 13 2 2 2 5" xfId="17537"/>
    <cellStyle name="Обычный 13 2 2 2 6" xfId="17538"/>
    <cellStyle name="Обычный 13 2 2 3" xfId="17539"/>
    <cellStyle name="Обычный 13 2 2 3 2" xfId="17540"/>
    <cellStyle name="Обычный 13 2 2 3 3" xfId="17541"/>
    <cellStyle name="Обычный 13 2 2 3 4" xfId="17542"/>
    <cellStyle name="Обычный 13 2 2 3 5" xfId="17543"/>
    <cellStyle name="Обычный 13 2 2 4" xfId="17544"/>
    <cellStyle name="Обычный 13 2 2 5" xfId="17545"/>
    <cellStyle name="Обычный 13 2 2 6" xfId="17546"/>
    <cellStyle name="Обычный 13 2 2 7" xfId="17547"/>
    <cellStyle name="Обычный 13 2 3" xfId="17548"/>
    <cellStyle name="Обычный 13 2 3 2" xfId="17549"/>
    <cellStyle name="Обычный 13 2 3 2 2" xfId="17550"/>
    <cellStyle name="Обычный 13 2 3 2 3" xfId="17551"/>
    <cellStyle name="Обычный 13 2 3 2 4" xfId="17552"/>
    <cellStyle name="Обычный 13 2 3 2 5" xfId="17553"/>
    <cellStyle name="Обычный 13 2 3 3" xfId="17554"/>
    <cellStyle name="Обычный 13 2 3 4" xfId="17555"/>
    <cellStyle name="Обычный 13 2 3 5" xfId="17556"/>
    <cellStyle name="Обычный 13 2 3 6" xfId="17557"/>
    <cellStyle name="Обычный 13 2 4" xfId="17558"/>
    <cellStyle name="Обычный 13 2 4 2" xfId="17559"/>
    <cellStyle name="Обычный 13 2 4 3" xfId="17560"/>
    <cellStyle name="Обычный 13 2 4 4" xfId="17561"/>
    <cellStyle name="Обычный 13 2 4 5" xfId="17562"/>
    <cellStyle name="Обычный 13 2 5" xfId="17563"/>
    <cellStyle name="Обычный 13 2 6" xfId="17564"/>
    <cellStyle name="Обычный 13 2 7" xfId="17565"/>
    <cellStyle name="Обычный 13 2 8" xfId="17566"/>
    <cellStyle name="Обычный 13 3" xfId="17567"/>
    <cellStyle name="Обычный 13 3 2" xfId="17568"/>
    <cellStyle name="Обычный 13 3 3" xfId="17569"/>
    <cellStyle name="Обычный 13 4" xfId="17570"/>
    <cellStyle name="Обычный 13 4 2" xfId="17571"/>
    <cellStyle name="Обычный 13 5" xfId="17572"/>
    <cellStyle name="Обычный 13 5 2" xfId="17573"/>
    <cellStyle name="Обычный 13 6" xfId="17574"/>
    <cellStyle name="Обычный 13 6 2" xfId="17575"/>
    <cellStyle name="Обычный 13 6 2 2" xfId="17576"/>
    <cellStyle name="Обычный 13 6 2 2 2" xfId="17577"/>
    <cellStyle name="Обычный 13 6 2 3" xfId="17578"/>
    <cellStyle name="Обычный 13 6 3" xfId="17579"/>
    <cellStyle name="Обычный 13 6 3 2" xfId="17580"/>
    <cellStyle name="Обычный 13 6 4" xfId="17581"/>
    <cellStyle name="Обычный 13 6 4 2" xfId="17582"/>
    <cellStyle name="Обычный 13 6 4 2 2" xfId="17583"/>
    <cellStyle name="Обычный 13 6 4 3" xfId="17584"/>
    <cellStyle name="Обычный 13 6 5" xfId="17585"/>
    <cellStyle name="Обычный 13 6 5 2" xfId="17586"/>
    <cellStyle name="Обычный 13 6 6" xfId="17587"/>
    <cellStyle name="Обычный 13 6 7" xfId="17588"/>
    <cellStyle name="Обычный 13 6 8" xfId="17589"/>
    <cellStyle name="Обычный 13 6 8 2" xfId="17590"/>
    <cellStyle name="Обычный 13 7" xfId="17591"/>
    <cellStyle name="Обычный 13 7 2" xfId="17592"/>
    <cellStyle name="Обычный 13 7 2 2" xfId="17593"/>
    <cellStyle name="Обычный 13 7 3" xfId="17594"/>
    <cellStyle name="Обычный 13 8" xfId="17595"/>
    <cellStyle name="Обычный 13 8 2" xfId="17596"/>
    <cellStyle name="Обычный 13 8 2 2" xfId="17597"/>
    <cellStyle name="Обычный 13 8 3" xfId="17598"/>
    <cellStyle name="Обычный 13 9" xfId="17599"/>
    <cellStyle name="Обычный 13 9 2" xfId="17600"/>
    <cellStyle name="Обычный 130" xfId="17601"/>
    <cellStyle name="Обычный 130 2" xfId="17602"/>
    <cellStyle name="Обычный 130 3" xfId="17603"/>
    <cellStyle name="Обычный 131" xfId="17604"/>
    <cellStyle name="Обычный 131 2" xfId="17605"/>
    <cellStyle name="Обычный 131 3" xfId="17606"/>
    <cellStyle name="Обычный 132" xfId="17607"/>
    <cellStyle name="Обычный 132 2" xfId="17608"/>
    <cellStyle name="Обычный 132 3" xfId="17609"/>
    <cellStyle name="Обычный 133" xfId="17610"/>
    <cellStyle name="Обычный 133 2" xfId="17611"/>
    <cellStyle name="Обычный 133 3" xfId="17612"/>
    <cellStyle name="Обычный 134" xfId="17613"/>
    <cellStyle name="Обычный 134 2" xfId="17614"/>
    <cellStyle name="Обычный 134 3" xfId="17615"/>
    <cellStyle name="Обычный 135" xfId="17616"/>
    <cellStyle name="Обычный 135 2" xfId="17617"/>
    <cellStyle name="Обычный 135 3" xfId="17618"/>
    <cellStyle name="Обычный 136" xfId="17619"/>
    <cellStyle name="Обычный 136 2" xfId="17620"/>
    <cellStyle name="Обычный 136 3" xfId="17621"/>
    <cellStyle name="Обычный 137" xfId="17622"/>
    <cellStyle name="Обычный 137 2" xfId="17623"/>
    <cellStyle name="Обычный 137 3" xfId="17624"/>
    <cellStyle name="Обычный 138" xfId="17625"/>
    <cellStyle name="Обычный 138 2" xfId="17626"/>
    <cellStyle name="Обычный 138 3" xfId="17627"/>
    <cellStyle name="Обычный 139" xfId="17628"/>
    <cellStyle name="Обычный 139 2" xfId="17629"/>
    <cellStyle name="Обычный 139 3" xfId="17630"/>
    <cellStyle name="Обычный 14" xfId="341"/>
    <cellStyle name="Обычный 14 2" xfId="17631"/>
    <cellStyle name="Обычный 14 2 2" xfId="17632"/>
    <cellStyle name="Обычный 14 2 2 2" xfId="17633"/>
    <cellStyle name="Обычный 14 2 2 3" xfId="17634"/>
    <cellStyle name="Обычный 14 2 3" xfId="17635"/>
    <cellStyle name="Обычный 14 2 4" xfId="17636"/>
    <cellStyle name="Обычный 14 3" xfId="17637"/>
    <cellStyle name="Обычный 14 3 2" xfId="17638"/>
    <cellStyle name="Обычный 14 3 3" xfId="17639"/>
    <cellStyle name="Обычный 14 4" xfId="17640"/>
    <cellStyle name="Обычный 14 5" xfId="17641"/>
    <cellStyle name="Обычный 140" xfId="17642"/>
    <cellStyle name="Обычный 140 2" xfId="17643"/>
    <cellStyle name="Обычный 140 3" xfId="17644"/>
    <cellStyle name="Обычный 141" xfId="17645"/>
    <cellStyle name="Обычный 141 2" xfId="17646"/>
    <cellStyle name="Обычный 141 3" xfId="17647"/>
    <cellStyle name="Обычный 142" xfId="17648"/>
    <cellStyle name="Обычный 142 2" xfId="17649"/>
    <cellStyle name="Обычный 143" xfId="17650"/>
    <cellStyle name="Обычный 144" xfId="17651"/>
    <cellStyle name="Обычный 145" xfId="17652"/>
    <cellStyle name="Обычный 146" xfId="17653"/>
    <cellStyle name="Обычный 146 2" xfId="17654"/>
    <cellStyle name="Обычный 147" xfId="17655"/>
    <cellStyle name="Обычный 148" xfId="17656"/>
    <cellStyle name="Обычный 149" xfId="17657"/>
    <cellStyle name="Обычный 15" xfId="342"/>
    <cellStyle name="Обычный 15 2" xfId="17658"/>
    <cellStyle name="Обычный 15 2 2" xfId="17659"/>
    <cellStyle name="Обычный 15 2 2 2" xfId="17660"/>
    <cellStyle name="Обычный 15 2 2 3" xfId="17661"/>
    <cellStyle name="Обычный 15 2 3" xfId="17662"/>
    <cellStyle name="Обычный 15 2 4" xfId="17663"/>
    <cellStyle name="Обычный 15 3" xfId="17664"/>
    <cellStyle name="Обычный 15 3 2" xfId="17665"/>
    <cellStyle name="Обычный 15 3 3" xfId="17666"/>
    <cellStyle name="Обычный 15 4" xfId="17667"/>
    <cellStyle name="Обычный 15 5" xfId="17668"/>
    <cellStyle name="Обычный 150" xfId="17669"/>
    <cellStyle name="Обычный 151" xfId="17670"/>
    <cellStyle name="Обычный 152" xfId="17671"/>
    <cellStyle name="Обычный 153" xfId="17672"/>
    <cellStyle name="Обычный 154" xfId="17673"/>
    <cellStyle name="Обычный 155" xfId="17674"/>
    <cellStyle name="Обычный 156" xfId="17675"/>
    <cellStyle name="Обычный 157" xfId="17676"/>
    <cellStyle name="Обычный 158" xfId="17677"/>
    <cellStyle name="Обычный 159" xfId="17678"/>
    <cellStyle name="Обычный 16" xfId="343"/>
    <cellStyle name="Обычный 16 2" xfId="17679"/>
    <cellStyle name="Обычный 16 2 2" xfId="17680"/>
    <cellStyle name="Обычный 16 2 2 2" xfId="17681"/>
    <cellStyle name="Обычный 16 2 2 3" xfId="17682"/>
    <cellStyle name="Обычный 16 2 3" xfId="17683"/>
    <cellStyle name="Обычный 16 2 4" xfId="17684"/>
    <cellStyle name="Обычный 16 3" xfId="17685"/>
    <cellStyle name="Обычный 16 3 2" xfId="17686"/>
    <cellStyle name="Обычный 16 3 3" xfId="17687"/>
    <cellStyle name="Обычный 16 4" xfId="17688"/>
    <cellStyle name="Обычный 16 5" xfId="17689"/>
    <cellStyle name="Обычный 160" xfId="17690"/>
    <cellStyle name="Обычный 161" xfId="17691"/>
    <cellStyle name="Обычный 162" xfId="17692"/>
    <cellStyle name="Обычный 163" xfId="17693"/>
    <cellStyle name="Обычный 164" xfId="17694"/>
    <cellStyle name="Обычный 165" xfId="17695"/>
    <cellStyle name="Обычный 166" xfId="17696"/>
    <cellStyle name="Обычный 167" xfId="17697"/>
    <cellStyle name="Обычный 168" xfId="17698"/>
    <cellStyle name="Обычный 169" xfId="17699"/>
    <cellStyle name="Обычный 169 2" xfId="17700"/>
    <cellStyle name="Обычный 17" xfId="344"/>
    <cellStyle name="Обычный 17 2" xfId="17701"/>
    <cellStyle name="Обычный 17 2 2" xfId="17702"/>
    <cellStyle name="Обычный 17 2 2 2" xfId="17703"/>
    <cellStyle name="Обычный 17 2 2 3" xfId="17704"/>
    <cellStyle name="Обычный 17 2 3" xfId="17705"/>
    <cellStyle name="Обычный 17 2 4" xfId="17706"/>
    <cellStyle name="Обычный 17 3" xfId="17707"/>
    <cellStyle name="Обычный 17 3 2" xfId="17708"/>
    <cellStyle name="Обычный 17 3 3" xfId="17709"/>
    <cellStyle name="Обычный 17 4" xfId="17710"/>
    <cellStyle name="Обычный 17 5" xfId="17711"/>
    <cellStyle name="Обычный 170" xfId="17712"/>
    <cellStyle name="Обычный 171" xfId="17713"/>
    <cellStyle name="Обычный 172" xfId="17714"/>
    <cellStyle name="Обычный 173" xfId="17715"/>
    <cellStyle name="Обычный 174" xfId="17716"/>
    <cellStyle name="Обычный 175" xfId="17717"/>
    <cellStyle name="Обычный 176" xfId="17718"/>
    <cellStyle name="Обычный 177" xfId="17719"/>
    <cellStyle name="Обычный 178" xfId="17720"/>
    <cellStyle name="Обычный 179" xfId="17721"/>
    <cellStyle name="Обычный 18" xfId="345"/>
    <cellStyle name="Обычный 18 2" xfId="17722"/>
    <cellStyle name="Обычный 18 2 2" xfId="17723"/>
    <cellStyle name="Обычный 18 2 2 2" xfId="17724"/>
    <cellStyle name="Обычный 18 2 2 3" xfId="17725"/>
    <cellStyle name="Обычный 18 2 3" xfId="17726"/>
    <cellStyle name="Обычный 18 2 4" xfId="17727"/>
    <cellStyle name="Обычный 18 3" xfId="17728"/>
    <cellStyle name="Обычный 18 3 2" xfId="17729"/>
    <cellStyle name="Обычный 18 3 3" xfId="17730"/>
    <cellStyle name="Обычный 18 4" xfId="17731"/>
    <cellStyle name="Обычный 18 4 2" xfId="17732"/>
    <cellStyle name="Обычный 18 4 2 2" xfId="17733"/>
    <cellStyle name="Обычный 18 4 3" xfId="17734"/>
    <cellStyle name="Обычный 18 5" xfId="17735"/>
    <cellStyle name="Обычный 18 6" xfId="17736"/>
    <cellStyle name="Обычный 180" xfId="17737"/>
    <cellStyle name="Обычный 181" xfId="17738"/>
    <cellStyle name="Обычный 182" xfId="17739"/>
    <cellStyle name="Обычный 183" xfId="17740"/>
    <cellStyle name="Обычный 184" xfId="17741"/>
    <cellStyle name="Обычный 185" xfId="17742"/>
    <cellStyle name="Обычный 186" xfId="17743"/>
    <cellStyle name="Обычный 187" xfId="17744"/>
    <cellStyle name="Обычный 188" xfId="17745"/>
    <cellStyle name="Обычный 189" xfId="17746"/>
    <cellStyle name="Обычный 19" xfId="346"/>
    <cellStyle name="Обычный 19 2" xfId="17747"/>
    <cellStyle name="Обычный 19 2 2" xfId="17748"/>
    <cellStyle name="Обычный 19 2 2 2" xfId="17749"/>
    <cellStyle name="Обычный 19 2 2 3" xfId="17750"/>
    <cellStyle name="Обычный 19 2 3" xfId="17751"/>
    <cellStyle name="Обычный 19 2 4" xfId="17752"/>
    <cellStyle name="Обычный 19 3" xfId="17753"/>
    <cellStyle name="Обычный 19 3 2" xfId="17754"/>
    <cellStyle name="Обычный 19 3 3" xfId="17755"/>
    <cellStyle name="Обычный 19 4" xfId="17756"/>
    <cellStyle name="Обычный 19 4 2" xfId="17757"/>
    <cellStyle name="Обычный 19 5" xfId="17758"/>
    <cellStyle name="Обычный 19 6" xfId="17759"/>
    <cellStyle name="Обычный 190" xfId="17760"/>
    <cellStyle name="Обычный 191" xfId="17761"/>
    <cellStyle name="Обычный 192" xfId="17762"/>
    <cellStyle name="Обычный 193" xfId="17763"/>
    <cellStyle name="Обычный 194" xfId="17764"/>
    <cellStyle name="Обычный 195" xfId="17765"/>
    <cellStyle name="Обычный 196" xfId="17766"/>
    <cellStyle name="Обычный 197" xfId="17767"/>
    <cellStyle name="Обычный 198" xfId="17768"/>
    <cellStyle name="Обычный 199" xfId="17769"/>
    <cellStyle name="Обычный 2" xfId="347"/>
    <cellStyle name="Обычный 2 10" xfId="17770"/>
    <cellStyle name="Обычный 2 11" xfId="17771"/>
    <cellStyle name="Обычный 2 11 2" xfId="17772"/>
    <cellStyle name="Обычный 2 11 2 2" xfId="17773"/>
    <cellStyle name="Обычный 2 11 2 2 2" xfId="17774"/>
    <cellStyle name="Обычный 2 11 2 3" xfId="17775"/>
    <cellStyle name="Обычный 2 11 2 3 2" xfId="17776"/>
    <cellStyle name="Обычный 2 11 2 4" xfId="17777"/>
    <cellStyle name="Обычный 2 11 3" xfId="17778"/>
    <cellStyle name="Обычный 2 11 3 2" xfId="17779"/>
    <cellStyle name="Обычный 2 11 4" xfId="17780"/>
    <cellStyle name="Обычный 2 11 4 2" xfId="17781"/>
    <cellStyle name="Обычный 2 11 5" xfId="17782"/>
    <cellStyle name="Обычный 2 12" xfId="17783"/>
    <cellStyle name="Обычный 2 12 2" xfId="17784"/>
    <cellStyle name="Обычный 2 12 2 2" xfId="17785"/>
    <cellStyle name="Обычный 2 12 2 2 2" xfId="17786"/>
    <cellStyle name="Обычный 2 12 2 3" xfId="17787"/>
    <cellStyle name="Обычный 2 12 2 3 2" xfId="17788"/>
    <cellStyle name="Обычный 2 12 2 4" xfId="17789"/>
    <cellStyle name="Обычный 2 12 2 4 2" xfId="17790"/>
    <cellStyle name="Обычный 2 12 2 5" xfId="17791"/>
    <cellStyle name="Обычный 2 12 3" xfId="17792"/>
    <cellStyle name="Обычный 2 12 3 2" xfId="17793"/>
    <cellStyle name="Обычный 2 12 4" xfId="17794"/>
    <cellStyle name="Обычный 2 12 4 2" xfId="17795"/>
    <cellStyle name="Обычный 2 12 5" xfId="17796"/>
    <cellStyle name="Обычный 2 13" xfId="17797"/>
    <cellStyle name="Обычный 2 13 2" xfId="17798"/>
    <cellStyle name="Обычный 2 13 2 2" xfId="17799"/>
    <cellStyle name="Обычный 2 13 3" xfId="17800"/>
    <cellStyle name="Обычный 2 13 3 2" xfId="17801"/>
    <cellStyle name="Обычный 2 13 4" xfId="17802"/>
    <cellStyle name="Обычный 2 13 4 2" xfId="17803"/>
    <cellStyle name="Обычный 2 13 4 2 2" xfId="17804"/>
    <cellStyle name="Обычный 2 13 4 3" xfId="17805"/>
    <cellStyle name="Обычный 2 13 5" xfId="17806"/>
    <cellStyle name="Обычный 2 14" xfId="17807"/>
    <cellStyle name="Обычный 2 15" xfId="17808"/>
    <cellStyle name="Обычный 2 16" xfId="17809"/>
    <cellStyle name="Обычный 2 17" xfId="17810"/>
    <cellStyle name="Обычный 2 18" xfId="17811"/>
    <cellStyle name="Обычный 2 19" xfId="17812"/>
    <cellStyle name="Обычный 2 2" xfId="348"/>
    <cellStyle name="Обычный 2 2 2" xfId="349"/>
    <cellStyle name="Обычный 2 2 2 10" xfId="17813"/>
    <cellStyle name="Обычный 2 2 2 11" xfId="17814"/>
    <cellStyle name="Обычный 2 2 2 12" xfId="17815"/>
    <cellStyle name="Обычный 2 2 2 13" xfId="17816"/>
    <cellStyle name="Обычный 2 2 2 14" xfId="17817"/>
    <cellStyle name="Обычный 2 2 2 15" xfId="17818"/>
    <cellStyle name="Обычный 2 2 2 16" xfId="17819"/>
    <cellStyle name="Обычный 2 2 2 17" xfId="17820"/>
    <cellStyle name="Обычный 2 2 2 18" xfId="17821"/>
    <cellStyle name="Обычный 2 2 2 19" xfId="17822"/>
    <cellStyle name="Обычный 2 2 2 2" xfId="350"/>
    <cellStyle name="Обычный 2 2 2 2 2" xfId="17823"/>
    <cellStyle name="Обычный 2 2 2 2 3" xfId="17824"/>
    <cellStyle name="Обычный 2 2 2 20" xfId="17825"/>
    <cellStyle name="Обычный 2 2 2 21" xfId="17826"/>
    <cellStyle name="Обычный 2 2 2 22" xfId="17827"/>
    <cellStyle name="Обычный 2 2 2 23" xfId="17828"/>
    <cellStyle name="Обычный 2 2 2 24" xfId="17829"/>
    <cellStyle name="Обычный 2 2 2 3" xfId="17830"/>
    <cellStyle name="Обычный 2 2 2 3 2" xfId="17831"/>
    <cellStyle name="Обычный 2 2 2 4" xfId="17832"/>
    <cellStyle name="Обычный 2 2 2 5" xfId="17833"/>
    <cellStyle name="Обычный 2 2 2 6" xfId="17834"/>
    <cellStyle name="Обычный 2 2 2 7" xfId="17835"/>
    <cellStyle name="Обычный 2 2 2 8" xfId="17836"/>
    <cellStyle name="Обычный 2 2 2 9" xfId="17837"/>
    <cellStyle name="Обычный 2 2 3" xfId="351"/>
    <cellStyle name="Обычный 2 2 3 10" xfId="17838"/>
    <cellStyle name="Обычный 2 2 3 11" xfId="17839"/>
    <cellStyle name="Обычный 2 2 3 12" xfId="17840"/>
    <cellStyle name="Обычный 2 2 3 13" xfId="17841"/>
    <cellStyle name="Обычный 2 2 3 14" xfId="17842"/>
    <cellStyle name="Обычный 2 2 3 15" xfId="17843"/>
    <cellStyle name="Обычный 2 2 3 16" xfId="17844"/>
    <cellStyle name="Обычный 2 2 3 17" xfId="17845"/>
    <cellStyle name="Обычный 2 2 3 18" xfId="17846"/>
    <cellStyle name="Обычный 2 2 3 19" xfId="17847"/>
    <cellStyle name="Обычный 2 2 3 2" xfId="17848"/>
    <cellStyle name="Обычный 2 2 3 20" xfId="17849"/>
    <cellStyle name="Обычный 2 2 3 21" xfId="17850"/>
    <cellStyle name="Обычный 2 2 3 22" xfId="17851"/>
    <cellStyle name="Обычный 2 2 3 23" xfId="17852"/>
    <cellStyle name="Обычный 2 2 3 24" xfId="17853"/>
    <cellStyle name="Обычный 2 2 3 3" xfId="17854"/>
    <cellStyle name="Обычный 2 2 3 4" xfId="17855"/>
    <cellStyle name="Обычный 2 2 3 5" xfId="17856"/>
    <cellStyle name="Обычный 2 2 3 6" xfId="17857"/>
    <cellStyle name="Обычный 2 2 3 7" xfId="17858"/>
    <cellStyle name="Обычный 2 2 3 8" xfId="17859"/>
    <cellStyle name="Обычный 2 2 3 9" xfId="17860"/>
    <cellStyle name="Обычный 2 2 4" xfId="352"/>
    <cellStyle name="Обычный 2 2 4 2" xfId="17861"/>
    <cellStyle name="Обычный 2 2 5" xfId="17862"/>
    <cellStyle name="Обычный 2 2 5 2" xfId="17863"/>
    <cellStyle name="Обычный 2 2 6" xfId="17864"/>
    <cellStyle name="Обычный 2 2 7" xfId="17865"/>
    <cellStyle name="Обычный 2 2 8" xfId="17866"/>
    <cellStyle name="Обычный 2 2 9" xfId="17867"/>
    <cellStyle name="Обычный 2 20" xfId="17868"/>
    <cellStyle name="Обычный 2 21" xfId="17869"/>
    <cellStyle name="Обычный 2 22" xfId="17870"/>
    <cellStyle name="Обычный 2 23" xfId="17871"/>
    <cellStyle name="Обычный 2 24" xfId="17872"/>
    <cellStyle name="Обычный 2 25" xfId="17873"/>
    <cellStyle name="Обычный 2 26" xfId="17874"/>
    <cellStyle name="Обычный 2 27" xfId="17875"/>
    <cellStyle name="Обычный 2 28" xfId="17876"/>
    <cellStyle name="Обычный 2 29" xfId="17877"/>
    <cellStyle name="Обычный 2 3" xfId="353"/>
    <cellStyle name="Обычный 2 3 2" xfId="354"/>
    <cellStyle name="Обычный 2 3 2 2" xfId="355"/>
    <cellStyle name="Обычный 2 3 2 3" xfId="17878"/>
    <cellStyle name="Обычный 2 3 3" xfId="356"/>
    <cellStyle name="Обычный 2 3 4" xfId="17879"/>
    <cellStyle name="Обычный 2 30" xfId="17880"/>
    <cellStyle name="Обычный 2 31" xfId="17881"/>
    <cellStyle name="Обычный 2 32" xfId="17882"/>
    <cellStyle name="Обычный 2 33" xfId="17883"/>
    <cellStyle name="Обычный 2 34" xfId="17884"/>
    <cellStyle name="Обычный 2 35" xfId="17885"/>
    <cellStyle name="Обычный 2 36" xfId="17886"/>
    <cellStyle name="Обычный 2 37" xfId="17887"/>
    <cellStyle name="Обычный 2 38" xfId="17888"/>
    <cellStyle name="Обычный 2 39" xfId="17889"/>
    <cellStyle name="Обычный 2 4" xfId="357"/>
    <cellStyle name="Обычный 2 4 2" xfId="358"/>
    <cellStyle name="Обычный 2 4 2 2" xfId="17890"/>
    <cellStyle name="Обычный 2 4 2 2 2" xfId="17891"/>
    <cellStyle name="Обычный 2 4 2 2 3" xfId="17892"/>
    <cellStyle name="Обычный 2 4 2 3" xfId="17893"/>
    <cellStyle name="Обычный 2 4 2 3 2" xfId="17894"/>
    <cellStyle name="Обычный 2 4 2 3 3" xfId="17895"/>
    <cellStyle name="Обычный 2 4 2 4" xfId="17896"/>
    <cellStyle name="Обычный 2 4 2 5" xfId="17897"/>
    <cellStyle name="Обычный 2 4 3" xfId="17898"/>
    <cellStyle name="Обычный 2 4 4" xfId="17899"/>
    <cellStyle name="Обычный 2 40" xfId="17900"/>
    <cellStyle name="Обычный 2 41" xfId="17901"/>
    <cellStyle name="Обычный 2 42" xfId="17902"/>
    <cellStyle name="Обычный 2 43" xfId="17903"/>
    <cellStyle name="Обычный 2 44" xfId="17904"/>
    <cellStyle name="Обычный 2 45" xfId="17905"/>
    <cellStyle name="Обычный 2 46" xfId="17906"/>
    <cellStyle name="Обычный 2 47" xfId="17907"/>
    <cellStyle name="Обычный 2 48" xfId="17908"/>
    <cellStyle name="Обычный 2 5" xfId="359"/>
    <cellStyle name="Обычный 2 5 2" xfId="360"/>
    <cellStyle name="Обычный 2 5 3" xfId="17909"/>
    <cellStyle name="Обычный 2 6" xfId="475"/>
    <cellStyle name="Обычный 2 6 2" xfId="17910"/>
    <cellStyle name="Обычный 2 7" xfId="17911"/>
    <cellStyle name="Обычный 2 8" xfId="17912"/>
    <cellStyle name="Обычный 2 9" xfId="17913"/>
    <cellStyle name="Обычный 2_2015г.  2014г. НОВЕЙШАЯ  Форма типовой отчетности ТЦФТО  .xlsx" xfId="17914"/>
    <cellStyle name="Обычный 20" xfId="361"/>
    <cellStyle name="Обычный 20 2" xfId="17915"/>
    <cellStyle name="Обычный 20 2 2" xfId="17916"/>
    <cellStyle name="Обычный 20 2 2 2" xfId="17917"/>
    <cellStyle name="Обычный 20 2 2 3" xfId="17918"/>
    <cellStyle name="Обычный 20 2 3" xfId="17919"/>
    <cellStyle name="Обычный 20 2 4" xfId="17920"/>
    <cellStyle name="Обычный 20 3" xfId="17921"/>
    <cellStyle name="Обычный 20 3 2" xfId="17922"/>
    <cellStyle name="Обычный 20 3 3" xfId="17923"/>
    <cellStyle name="Обычный 20 4" xfId="17924"/>
    <cellStyle name="Обычный 20 5" xfId="17925"/>
    <cellStyle name="Обычный 200" xfId="17926"/>
    <cellStyle name="Обычный 201" xfId="17927"/>
    <cellStyle name="Обычный 202" xfId="17928"/>
    <cellStyle name="Обычный 203" xfId="17929"/>
    <cellStyle name="Обычный 204" xfId="17930"/>
    <cellStyle name="Обычный 205" xfId="17931"/>
    <cellStyle name="Обычный 206" xfId="17932"/>
    <cellStyle name="Обычный 207" xfId="17933"/>
    <cellStyle name="Обычный 208" xfId="17934"/>
    <cellStyle name="Обычный 209" xfId="17935"/>
    <cellStyle name="Обычный 21" xfId="362"/>
    <cellStyle name="Обычный 21 2" xfId="17936"/>
    <cellStyle name="Обычный 21 2 2" xfId="17937"/>
    <cellStyle name="Обычный 21 2 2 2" xfId="17938"/>
    <cellStyle name="Обычный 21 2 2 3" xfId="17939"/>
    <cellStyle name="Обычный 21 2 3" xfId="17940"/>
    <cellStyle name="Обычный 21 2 4" xfId="17941"/>
    <cellStyle name="Обычный 21 3" xfId="17942"/>
    <cellStyle name="Обычный 21 3 2" xfId="17943"/>
    <cellStyle name="Обычный 21 3 3" xfId="17944"/>
    <cellStyle name="Обычный 21 4" xfId="17945"/>
    <cellStyle name="Обычный 21 5" xfId="17946"/>
    <cellStyle name="Обычный 210" xfId="17947"/>
    <cellStyle name="Обычный 211" xfId="17948"/>
    <cellStyle name="Обычный 212" xfId="17949"/>
    <cellStyle name="Обычный 213" xfId="17950"/>
    <cellStyle name="Обычный 214" xfId="17951"/>
    <cellStyle name="Обычный 215" xfId="17952"/>
    <cellStyle name="Обычный 216" xfId="17953"/>
    <cellStyle name="Обычный 217" xfId="17954"/>
    <cellStyle name="Обычный 218" xfId="17955"/>
    <cellStyle name="Обычный 219" xfId="17956"/>
    <cellStyle name="Обычный 22" xfId="363"/>
    <cellStyle name="Обычный 22 2" xfId="17957"/>
    <cellStyle name="Обычный 22 2 2" xfId="17958"/>
    <cellStyle name="Обычный 22 2 2 2" xfId="17959"/>
    <cellStyle name="Обычный 22 2 2 3" xfId="17960"/>
    <cellStyle name="Обычный 22 2 3" xfId="17961"/>
    <cellStyle name="Обычный 22 2 4" xfId="17962"/>
    <cellStyle name="Обычный 22 3" xfId="17963"/>
    <cellStyle name="Обычный 22 3 2" xfId="17964"/>
    <cellStyle name="Обычный 22 3 3" xfId="17965"/>
    <cellStyle name="Обычный 22 4" xfId="17966"/>
    <cellStyle name="Обычный 22 5" xfId="17967"/>
    <cellStyle name="Обычный 220" xfId="17968"/>
    <cellStyle name="Обычный 221" xfId="17969"/>
    <cellStyle name="Обычный 222" xfId="17970"/>
    <cellStyle name="Обычный 223" xfId="17971"/>
    <cellStyle name="Обычный 224" xfId="17972"/>
    <cellStyle name="Обычный 23" xfId="364"/>
    <cellStyle name="Обычный 23 2" xfId="17973"/>
    <cellStyle name="Обычный 23 2 2" xfId="17974"/>
    <cellStyle name="Обычный 23 2 2 2" xfId="17975"/>
    <cellStyle name="Обычный 23 2 2 3" xfId="17976"/>
    <cellStyle name="Обычный 23 2 3" xfId="17977"/>
    <cellStyle name="Обычный 23 2 4" xfId="17978"/>
    <cellStyle name="Обычный 23 3" xfId="17979"/>
    <cellStyle name="Обычный 23 3 2" xfId="17980"/>
    <cellStyle name="Обычный 23 3 3" xfId="17981"/>
    <cellStyle name="Обычный 23 4" xfId="17982"/>
    <cellStyle name="Обычный 23 5" xfId="17983"/>
    <cellStyle name="Обычный 23 5 2" xfId="17984"/>
    <cellStyle name="Обычный 23 5 2 2" xfId="17985"/>
    <cellStyle name="Обычный 23 6" xfId="17986"/>
    <cellStyle name="Обычный 24" xfId="365"/>
    <cellStyle name="Обычный 24 2" xfId="17987"/>
    <cellStyle name="Обычный 24 2 2" xfId="17988"/>
    <cellStyle name="Обычный 24 2 2 2" xfId="17989"/>
    <cellStyle name="Обычный 24 2 2 2 2" xfId="17990"/>
    <cellStyle name="Обычный 24 2 2 3" xfId="17991"/>
    <cellStyle name="Обычный 24 2 2 4" xfId="17992"/>
    <cellStyle name="Обычный 24 2 2 4 2" xfId="17993"/>
    <cellStyle name="Обычный 24 2 2 4 2 2" xfId="17994"/>
    <cellStyle name="Обычный 24 2 3" xfId="17995"/>
    <cellStyle name="Обычный 24 2 3 2" xfId="17996"/>
    <cellStyle name="Обычный 24 2 3 2 2" xfId="17997"/>
    <cellStyle name="Обычный 24 2 3 3" xfId="17998"/>
    <cellStyle name="Обычный 24 2 4" xfId="17999"/>
    <cellStyle name="Обычный 24 2 4 2" xfId="18000"/>
    <cellStyle name="Обычный 24 2 5" xfId="18001"/>
    <cellStyle name="Обычный 24 2 5 2" xfId="18002"/>
    <cellStyle name="Обычный 24 2 6" xfId="18003"/>
    <cellStyle name="Обычный 24 2 7" xfId="18004"/>
    <cellStyle name="Обычный 24 2 7 2" xfId="18005"/>
    <cellStyle name="Обычный 24 2 7 2 2" xfId="18006"/>
    <cellStyle name="Обычный 24 2 7 2 3" xfId="18007"/>
    <cellStyle name="Обычный 24 2 8" xfId="18008"/>
    <cellStyle name="Обычный 24 2 8 2" xfId="18009"/>
    <cellStyle name="Обычный 24 2 9" xfId="18010"/>
    <cellStyle name="Обычный 24 3" xfId="18011"/>
    <cellStyle name="Обычный 24 3 2" xfId="18012"/>
    <cellStyle name="Обычный 24 3 2 2" xfId="18013"/>
    <cellStyle name="Обычный 24 3 3" xfId="18014"/>
    <cellStyle name="Обычный 24 4" xfId="18015"/>
    <cellStyle name="Обычный 24 5" xfId="18016"/>
    <cellStyle name="Обычный 24 6" xfId="18017"/>
    <cellStyle name="Обычный 24 8" xfId="18018"/>
    <cellStyle name="Обычный 24 9" xfId="18019"/>
    <cellStyle name="Обычный 25" xfId="366"/>
    <cellStyle name="Обычный 25 2" xfId="367"/>
    <cellStyle name="Обычный 25 2 2" xfId="18020"/>
    <cellStyle name="Обычный 25 2 3" xfId="18021"/>
    <cellStyle name="Обычный 25 3" xfId="18022"/>
    <cellStyle name="Обычный 25 4" xfId="18023"/>
    <cellStyle name="Обычный 26" xfId="368"/>
    <cellStyle name="Обычный 26 2" xfId="369"/>
    <cellStyle name="Обычный 26 2 2" xfId="18024"/>
    <cellStyle name="Обычный 26 2 3" xfId="18025"/>
    <cellStyle name="Обычный 26 3" xfId="18026"/>
    <cellStyle name="Обычный 26 4" xfId="18027"/>
    <cellStyle name="Обычный 27" xfId="370"/>
    <cellStyle name="Обычный 27 2" xfId="18028"/>
    <cellStyle name="Обычный 27 2 2" xfId="18029"/>
    <cellStyle name="Обычный 27 2 3" xfId="18030"/>
    <cellStyle name="Обычный 27 3" xfId="18031"/>
    <cellStyle name="Обычный 27 4" xfId="18032"/>
    <cellStyle name="Обычный 28" xfId="371"/>
    <cellStyle name="Обычный 28 2" xfId="18033"/>
    <cellStyle name="Обычный 28 2 2" xfId="18034"/>
    <cellStyle name="Обычный 28 2 3" xfId="18035"/>
    <cellStyle name="Обычный 28 3" xfId="18036"/>
    <cellStyle name="Обычный 28 4" xfId="18037"/>
    <cellStyle name="Обычный 29" xfId="372"/>
    <cellStyle name="Обычный 29 2" xfId="18038"/>
    <cellStyle name="Обычный 29 2 2" xfId="18039"/>
    <cellStyle name="Обычный 29 2 3" xfId="18040"/>
    <cellStyle name="Обычный 29 3" xfId="18041"/>
    <cellStyle name="Обычный 29 4" xfId="18042"/>
    <cellStyle name="Обычный 29 4 2" xfId="18043"/>
    <cellStyle name="Обычный 29 5" xfId="18044"/>
    <cellStyle name="Обычный 3" xfId="373"/>
    <cellStyle name="Обычный 3 10" xfId="18045"/>
    <cellStyle name="Обычный 3 11" xfId="18046"/>
    <cellStyle name="Обычный 3 12" xfId="18047"/>
    <cellStyle name="Обычный 3 13" xfId="18048"/>
    <cellStyle name="Обычный 3 14" xfId="18049"/>
    <cellStyle name="Обычный 3 15" xfId="18050"/>
    <cellStyle name="Обычный 3 16" xfId="18051"/>
    <cellStyle name="Обычный 3 17" xfId="18052"/>
    <cellStyle name="Обычный 3 18" xfId="18053"/>
    <cellStyle name="Обычный 3 19" xfId="18054"/>
    <cellStyle name="Обычный 3 2" xfId="374"/>
    <cellStyle name="Обычный 3 2 10" xfId="18055"/>
    <cellStyle name="Обычный 3 2 11" xfId="18056"/>
    <cellStyle name="Обычный 3 2 12" xfId="18057"/>
    <cellStyle name="Обычный 3 2 13" xfId="18058"/>
    <cellStyle name="Обычный 3 2 14" xfId="18059"/>
    <cellStyle name="Обычный 3 2 15" xfId="18060"/>
    <cellStyle name="Обычный 3 2 16" xfId="18061"/>
    <cellStyle name="Обычный 3 2 17" xfId="18062"/>
    <cellStyle name="Обычный 3 2 18" xfId="18063"/>
    <cellStyle name="Обычный 3 2 19" xfId="18064"/>
    <cellStyle name="Обычный 3 2 2" xfId="375"/>
    <cellStyle name="Обычный 3 2 2 2" xfId="376"/>
    <cellStyle name="Обычный 3 2 2 2 2" xfId="377"/>
    <cellStyle name="Обычный 3 2 2 2 2 2" xfId="378"/>
    <cellStyle name="Обычный 3 2 2 2 2 2 2" xfId="379"/>
    <cellStyle name="Обычный 3 2 2 3" xfId="18065"/>
    <cellStyle name="Обычный 3 2 20" xfId="18066"/>
    <cellStyle name="Обычный 3 2 21" xfId="18067"/>
    <cellStyle name="Обычный 3 2 22" xfId="18068"/>
    <cellStyle name="Обычный 3 2 23" xfId="18069"/>
    <cellStyle name="Обычный 3 2 24" xfId="18070"/>
    <cellStyle name="Обычный 3 2 25" xfId="18071"/>
    <cellStyle name="Обычный 3 2 26" xfId="18072"/>
    <cellStyle name="Обычный 3 2 27" xfId="18073"/>
    <cellStyle name="Обычный 3 2 28" xfId="18074"/>
    <cellStyle name="Обычный 3 2 29" xfId="18075"/>
    <cellStyle name="Обычный 3 2 3" xfId="380"/>
    <cellStyle name="Обычный 3 2 30" xfId="18076"/>
    <cellStyle name="Обычный 3 2 31" xfId="18077"/>
    <cellStyle name="Обычный 3 2 32" xfId="18078"/>
    <cellStyle name="Обычный 3 2 33" xfId="18079"/>
    <cellStyle name="Обычный 3 2 34" xfId="18080"/>
    <cellStyle name="Обычный 3 2 35" xfId="18081"/>
    <cellStyle name="Обычный 3 2 36" xfId="18082"/>
    <cellStyle name="Обычный 3 2 37" xfId="18083"/>
    <cellStyle name="Обычный 3 2 38" xfId="18084"/>
    <cellStyle name="Обычный 3 2 39" xfId="18085"/>
    <cellStyle name="Обычный 3 2 4" xfId="18086"/>
    <cellStyle name="Обычный 3 2 40" xfId="18087"/>
    <cellStyle name="Обычный 3 2 41" xfId="18088"/>
    <cellStyle name="Обычный 3 2 5" xfId="18089"/>
    <cellStyle name="Обычный 3 2 6" xfId="18090"/>
    <cellStyle name="Обычный 3 2 7" xfId="18091"/>
    <cellStyle name="Обычный 3 2 8" xfId="18092"/>
    <cellStyle name="Обычный 3 2 9" xfId="18093"/>
    <cellStyle name="Обычный 3 20" xfId="18094"/>
    <cellStyle name="Обычный 3 21" xfId="18095"/>
    <cellStyle name="Обычный 3 22" xfId="18096"/>
    <cellStyle name="Обычный 3 23" xfId="18097"/>
    <cellStyle name="Обычный 3 24" xfId="18098"/>
    <cellStyle name="Обычный 3 25" xfId="18099"/>
    <cellStyle name="Обычный 3 26" xfId="18100"/>
    <cellStyle name="Обычный 3 27" xfId="18101"/>
    <cellStyle name="Обычный 3 28" xfId="18102"/>
    <cellStyle name="Обычный 3 29" xfId="18103"/>
    <cellStyle name="Обычный 3 3" xfId="381"/>
    <cellStyle name="Обычный 3 3 10" xfId="18104"/>
    <cellStyle name="Обычный 3 3 11" xfId="18105"/>
    <cellStyle name="Обычный 3 3 12" xfId="18106"/>
    <cellStyle name="Обычный 3 3 13" xfId="18107"/>
    <cellStyle name="Обычный 3 3 14" xfId="18108"/>
    <cellStyle name="Обычный 3 3 15" xfId="18109"/>
    <cellStyle name="Обычный 3 3 16" xfId="18110"/>
    <cellStyle name="Обычный 3 3 17" xfId="18111"/>
    <cellStyle name="Обычный 3 3 18" xfId="18112"/>
    <cellStyle name="Обычный 3 3 19" xfId="18113"/>
    <cellStyle name="Обычный 3 3 2" xfId="382"/>
    <cellStyle name="Обычный 3 3 2 2" xfId="18114"/>
    <cellStyle name="Обычный 3 3 20" xfId="18115"/>
    <cellStyle name="Обычный 3 3 21" xfId="18116"/>
    <cellStyle name="Обычный 3 3 22" xfId="18117"/>
    <cellStyle name="Обычный 3 3 23" xfId="18118"/>
    <cellStyle name="Обычный 3 3 24" xfId="18119"/>
    <cellStyle name="Обычный 3 3 25" xfId="18120"/>
    <cellStyle name="Обычный 3 3 26" xfId="18121"/>
    <cellStyle name="Обычный 3 3 27" xfId="18122"/>
    <cellStyle name="Обычный 3 3 28" xfId="18123"/>
    <cellStyle name="Обычный 3 3 29" xfId="18124"/>
    <cellStyle name="Обычный 3 3 3" xfId="18125"/>
    <cellStyle name="Обычный 3 3 3 2" xfId="18126"/>
    <cellStyle name="Обычный 3 3 30" xfId="18127"/>
    <cellStyle name="Обычный 3 3 31" xfId="18128"/>
    <cellStyle name="Обычный 3 3 32" xfId="18129"/>
    <cellStyle name="Обычный 3 3 33" xfId="18130"/>
    <cellStyle name="Обычный 3 3 34" xfId="18131"/>
    <cellStyle name="Обычный 3 3 35" xfId="18132"/>
    <cellStyle name="Обычный 3 3 36" xfId="18133"/>
    <cellStyle name="Обычный 3 3 37" xfId="18134"/>
    <cellStyle name="Обычный 3 3 38" xfId="18135"/>
    <cellStyle name="Обычный 3 3 39" xfId="18136"/>
    <cellStyle name="Обычный 3 3 4" xfId="18137"/>
    <cellStyle name="Обычный 3 3 5" xfId="18138"/>
    <cellStyle name="Обычный 3 3 6" xfId="18139"/>
    <cellStyle name="Обычный 3 3 7" xfId="18140"/>
    <cellStyle name="Обычный 3 3 8" xfId="18141"/>
    <cellStyle name="Обычный 3 3 9" xfId="18142"/>
    <cellStyle name="Обычный 3 30" xfId="18143"/>
    <cellStyle name="Обычный 3 31" xfId="18144"/>
    <cellStyle name="Обычный 3 32" xfId="18145"/>
    <cellStyle name="Обычный 3 33" xfId="18146"/>
    <cellStyle name="Обычный 3 34" xfId="18147"/>
    <cellStyle name="Обычный 3 35" xfId="18148"/>
    <cellStyle name="Обычный 3 36" xfId="18149"/>
    <cellStyle name="Обычный 3 37" xfId="18150"/>
    <cellStyle name="Обычный 3 38" xfId="18151"/>
    <cellStyle name="Обычный 3 39" xfId="18152"/>
    <cellStyle name="Обычный 3 4" xfId="383"/>
    <cellStyle name="Обычный 3 4 2" xfId="18153"/>
    <cellStyle name="Обычный 3 4 2 2" xfId="18154"/>
    <cellStyle name="Обычный 3 4 2 3" xfId="18155"/>
    <cellStyle name="Обычный 3 4 3" xfId="18156"/>
    <cellStyle name="Обычный 3 4 3 2" xfId="18157"/>
    <cellStyle name="Обычный 3 4 4" xfId="18158"/>
    <cellStyle name="Обычный 3 40" xfId="18159"/>
    <cellStyle name="Обычный 3 41" xfId="18160"/>
    <cellStyle name="Обычный 3 42" xfId="18161"/>
    <cellStyle name="Обычный 3 43" xfId="18162"/>
    <cellStyle name="Обычный 3 5" xfId="384"/>
    <cellStyle name="Обычный 3 5 2" xfId="18163"/>
    <cellStyle name="Обычный 3 5 2 2" xfId="18164"/>
    <cellStyle name="Обычный 3 5 3" xfId="18165"/>
    <cellStyle name="Обычный 3 5 3 2" xfId="18166"/>
    <cellStyle name="Обычный 3 5 4" xfId="18167"/>
    <cellStyle name="Обычный 3 6" xfId="482"/>
    <cellStyle name="Обычный 3 6 2" xfId="18168"/>
    <cellStyle name="Обычный 3 6 3" xfId="18169"/>
    <cellStyle name="Обычный 3 7" xfId="18170"/>
    <cellStyle name="Обычный 3 7 2" xfId="18171"/>
    <cellStyle name="Обычный 3 7 3" xfId="18172"/>
    <cellStyle name="Обычный 3 8" xfId="18173"/>
    <cellStyle name="Обычный 3 8 2" xfId="18174"/>
    <cellStyle name="Обычный 3 9" xfId="18175"/>
    <cellStyle name="Обычный 3 9 2" xfId="18176"/>
    <cellStyle name="Обычный 3_RZD_2009-2030_macromodel_090518" xfId="18177"/>
    <cellStyle name="Обычный 30" xfId="385"/>
    <cellStyle name="Обычный 30 2" xfId="18178"/>
    <cellStyle name="Обычный 30 2 2" xfId="18179"/>
    <cellStyle name="Обычный 30 2 3" xfId="18180"/>
    <cellStyle name="Обычный 30 3" xfId="18181"/>
    <cellStyle name="Обычный 30 4" xfId="18182"/>
    <cellStyle name="Обычный 304" xfId="18183"/>
    <cellStyle name="Обычный 31" xfId="386"/>
    <cellStyle name="Обычный 31 2" xfId="18184"/>
    <cellStyle name="Обычный 31 2 2" xfId="18185"/>
    <cellStyle name="Обычный 31 2 3" xfId="18186"/>
    <cellStyle name="Обычный 31 3" xfId="18187"/>
    <cellStyle name="Обычный 31 4" xfId="18188"/>
    <cellStyle name="Обычный 32" xfId="387"/>
    <cellStyle name="Обычный 32 2" xfId="18189"/>
    <cellStyle name="Обычный 32 2 2" xfId="18190"/>
    <cellStyle name="Обычный 32 2 3" xfId="18191"/>
    <cellStyle name="Обычный 32 3" xfId="18192"/>
    <cellStyle name="Обычный 32 4" xfId="18193"/>
    <cellStyle name="Обычный 33" xfId="388"/>
    <cellStyle name="Обычный 33 2" xfId="18194"/>
    <cellStyle name="Обычный 33 2 2" xfId="18195"/>
    <cellStyle name="Обычный 33 2 3" xfId="18196"/>
    <cellStyle name="Обычный 33 3" xfId="18197"/>
    <cellStyle name="Обычный 33 4" xfId="18198"/>
    <cellStyle name="Обычный 34" xfId="389"/>
    <cellStyle name="Обычный 34 2" xfId="18199"/>
    <cellStyle name="Обычный 34 2 2" xfId="18200"/>
    <cellStyle name="Обычный 34 2 3" xfId="18201"/>
    <cellStyle name="Обычный 34 3" xfId="18202"/>
    <cellStyle name="Обычный 34 4" xfId="18203"/>
    <cellStyle name="Обычный 35" xfId="390"/>
    <cellStyle name="Обычный 35 2" xfId="18204"/>
    <cellStyle name="Обычный 35 2 2" xfId="18205"/>
    <cellStyle name="Обычный 35 2 3" xfId="18206"/>
    <cellStyle name="Обычный 35 3" xfId="18207"/>
    <cellStyle name="Обычный 35 4" xfId="18208"/>
    <cellStyle name="Обычный 36" xfId="391"/>
    <cellStyle name="Обычный 36 2" xfId="18209"/>
    <cellStyle name="Обычный 36 2 2" xfId="18210"/>
    <cellStyle name="Обычный 36 2 3" xfId="18211"/>
    <cellStyle name="Обычный 36 3" xfId="18212"/>
    <cellStyle name="Обычный 36 4" xfId="18213"/>
    <cellStyle name="Обычный 37" xfId="392"/>
    <cellStyle name="Обычный 37 2" xfId="18214"/>
    <cellStyle name="Обычный 37 2 2" xfId="18215"/>
    <cellStyle name="Обычный 37 2 3" xfId="18216"/>
    <cellStyle name="Обычный 37 3" xfId="18217"/>
    <cellStyle name="Обычный 37 4" xfId="18218"/>
    <cellStyle name="Обычный 38" xfId="393"/>
    <cellStyle name="Обычный 38 2" xfId="18219"/>
    <cellStyle name="Обычный 38 2 2" xfId="18220"/>
    <cellStyle name="Обычный 38 2 3" xfId="18221"/>
    <cellStyle name="Обычный 38 3" xfId="18222"/>
    <cellStyle name="Обычный 38 4" xfId="18223"/>
    <cellStyle name="Обычный 39" xfId="394"/>
    <cellStyle name="Обычный 39 2" xfId="18224"/>
    <cellStyle name="Обычный 39 2 2" xfId="18225"/>
    <cellStyle name="Обычный 39 2 2 2" xfId="18226"/>
    <cellStyle name="Обычный 39 2 2 3" xfId="18227"/>
    <cellStyle name="Обычный 39 2 3" xfId="18228"/>
    <cellStyle name="Обычный 39 2 4" xfId="18229"/>
    <cellStyle name="Обычный 39 2 5" xfId="18230"/>
    <cellStyle name="Обычный 39 3" xfId="18231"/>
    <cellStyle name="Обычный 39 3 2" xfId="18232"/>
    <cellStyle name="Обычный 39 3 3" xfId="18233"/>
    <cellStyle name="Обычный 39 4" xfId="18234"/>
    <cellStyle name="Обычный 39 5" xfId="18235"/>
    <cellStyle name="Обычный 4" xfId="395"/>
    <cellStyle name="Обычный 4 10" xfId="18236"/>
    <cellStyle name="Обычный 4 11" xfId="18237"/>
    <cellStyle name="Обычный 4 12" xfId="18238"/>
    <cellStyle name="Обычный 4 13" xfId="18239"/>
    <cellStyle name="Обычный 4 14" xfId="18240"/>
    <cellStyle name="Обычный 4 15" xfId="18241"/>
    <cellStyle name="Обычный 4 16" xfId="18242"/>
    <cellStyle name="Обычный 4 17" xfId="18243"/>
    <cellStyle name="Обычный 4 18" xfId="18244"/>
    <cellStyle name="Обычный 4 19" xfId="18245"/>
    <cellStyle name="Обычный 4 2" xfId="396"/>
    <cellStyle name="Обычный 4 2 2" xfId="397"/>
    <cellStyle name="Обычный 4 2 2 10" xfId="18246"/>
    <cellStyle name="Обычный 4 2 2 11" xfId="18247"/>
    <cellStyle name="Обычный 4 2 2 2" xfId="18248"/>
    <cellStyle name="Обычный 4 2 2 2 2" xfId="18249"/>
    <cellStyle name="Обычный 4 2 2 2 2 2" xfId="18250"/>
    <cellStyle name="Обычный 4 2 2 2 2 2 2" xfId="18251"/>
    <cellStyle name="Обычный 4 2 2 2 2 3" xfId="18252"/>
    <cellStyle name="Обычный 4 2 2 2 3" xfId="18253"/>
    <cellStyle name="Обычный 4 2 2 2 3 2" xfId="18254"/>
    <cellStyle name="Обычный 4 2 2 2 3 2 2" xfId="18255"/>
    <cellStyle name="Обычный 4 2 2 2 3 3" xfId="18256"/>
    <cellStyle name="Обычный 4 2 2 2 4" xfId="18257"/>
    <cellStyle name="Обычный 4 2 2 3" xfId="18258"/>
    <cellStyle name="Обычный 4 2 2 3 2" xfId="18259"/>
    <cellStyle name="Обычный 4 2 2 4" xfId="18260"/>
    <cellStyle name="Обычный 4 2 2 4 2" xfId="18261"/>
    <cellStyle name="Обычный 4 2 2 5" xfId="18262"/>
    <cellStyle name="Обычный 4 2 2 5 2" xfId="18263"/>
    <cellStyle name="Обычный 4 2 2 6" xfId="18264"/>
    <cellStyle name="Обычный 4 2 2 6 2" xfId="18265"/>
    <cellStyle name="Обычный 4 2 2 6 2 2" xfId="18266"/>
    <cellStyle name="Обычный 4 2 2 6 3" xfId="18267"/>
    <cellStyle name="Обычный 4 2 2 7" xfId="18268"/>
    <cellStyle name="Обычный 4 2 2 7 2" xfId="18269"/>
    <cellStyle name="Обычный 4 2 2 7 2 2" xfId="18270"/>
    <cellStyle name="Обычный 4 2 2 7 3" xfId="18271"/>
    <cellStyle name="Обычный 4 2 2 8" xfId="18272"/>
    <cellStyle name="Обычный 4 2 2 8 2" xfId="18273"/>
    <cellStyle name="Обычный 4 2 2 9" xfId="18274"/>
    <cellStyle name="Обычный 4 2 3" xfId="398"/>
    <cellStyle name="Обычный 4 2 3 2" xfId="18275"/>
    <cellStyle name="Обычный 4 2 4" xfId="18276"/>
    <cellStyle name="Обычный 4 2 4 2" xfId="18277"/>
    <cellStyle name="Обычный 4 2 5" xfId="18278"/>
    <cellStyle name="Обычный 4 20" xfId="18279"/>
    <cellStyle name="Обычный 4 21" xfId="18280"/>
    <cellStyle name="Обычный 4 22" xfId="18281"/>
    <cellStyle name="Обычный 4 23" xfId="18282"/>
    <cellStyle name="Обычный 4 24" xfId="18283"/>
    <cellStyle name="Обычный 4 25" xfId="18284"/>
    <cellStyle name="Обычный 4 3" xfId="399"/>
    <cellStyle name="Обычный 4 3 2" xfId="18285"/>
    <cellStyle name="Обычный 4 3 3" xfId="18286"/>
    <cellStyle name="Обычный 4 4" xfId="400"/>
    <cellStyle name="Обычный 4 4 2" xfId="18287"/>
    <cellStyle name="Обычный 4 4 2 2" xfId="18288"/>
    <cellStyle name="Обычный 4 4 2 3" xfId="18289"/>
    <cellStyle name="Обычный 4 4 3" xfId="18290"/>
    <cellStyle name="Обычный 4 4 4" xfId="18291"/>
    <cellStyle name="Обычный 4 5" xfId="401"/>
    <cellStyle name="Обычный 4 5 2" xfId="18292"/>
    <cellStyle name="Обычный 4 6" xfId="402"/>
    <cellStyle name="Обычный 4 7" xfId="403"/>
    <cellStyle name="Обычный 4 8" xfId="404"/>
    <cellStyle name="Обычный 4 9" xfId="18293"/>
    <cellStyle name="Обычный 4_Статьи затрат рабочий_ДЭИП+БУ_меппинг НА КОДЫ ЕБК_26012009" xfId="18294"/>
    <cellStyle name="Обычный 40" xfId="405"/>
    <cellStyle name="Обычный 40 2" xfId="18295"/>
    <cellStyle name="Обычный 40 2 2" xfId="18296"/>
    <cellStyle name="Обычный 40 2 3" xfId="18297"/>
    <cellStyle name="Обычный 40 3" xfId="18298"/>
    <cellStyle name="Обычный 40 4" xfId="18299"/>
    <cellStyle name="Обычный 41" xfId="406"/>
    <cellStyle name="Обычный 41 2" xfId="18300"/>
    <cellStyle name="Обычный 41 2 2" xfId="18301"/>
    <cellStyle name="Обычный 41 2 3" xfId="18302"/>
    <cellStyle name="Обычный 41 3" xfId="18303"/>
    <cellStyle name="Обычный 41 4" xfId="18304"/>
    <cellStyle name="Обычный 42" xfId="407"/>
    <cellStyle name="Обычный 42 2" xfId="18305"/>
    <cellStyle name="Обычный 42 2 2" xfId="18306"/>
    <cellStyle name="Обычный 42 2 3" xfId="18307"/>
    <cellStyle name="Обычный 42 3" xfId="18308"/>
    <cellStyle name="Обычный 42 4" xfId="18309"/>
    <cellStyle name="Обычный 43" xfId="408"/>
    <cellStyle name="Обычный 43 2" xfId="18310"/>
    <cellStyle name="Обычный 43 2 2" xfId="18311"/>
    <cellStyle name="Обычный 43 2 3" xfId="18312"/>
    <cellStyle name="Обычный 43 3" xfId="18313"/>
    <cellStyle name="Обычный 43 4" xfId="18314"/>
    <cellStyle name="Обычный 44" xfId="409"/>
    <cellStyle name="Обычный 44 2" xfId="18315"/>
    <cellStyle name="Обычный 44 2 2" xfId="18316"/>
    <cellStyle name="Обычный 44 2 3" xfId="18317"/>
    <cellStyle name="Обычный 44 3" xfId="18318"/>
    <cellStyle name="Обычный 44 4" xfId="18319"/>
    <cellStyle name="Обычный 45" xfId="410"/>
    <cellStyle name="Обычный 45 2" xfId="18320"/>
    <cellStyle name="Обычный 45 2 2" xfId="18321"/>
    <cellStyle name="Обычный 45 2 3" xfId="18322"/>
    <cellStyle name="Обычный 45 3" xfId="18323"/>
    <cellStyle name="Обычный 45 4" xfId="18324"/>
    <cellStyle name="Обычный 46" xfId="411"/>
    <cellStyle name="Обычный 46 2" xfId="18325"/>
    <cellStyle name="Обычный 46 2 2" xfId="18326"/>
    <cellStyle name="Обычный 46 2 3" xfId="18327"/>
    <cellStyle name="Обычный 46 3" xfId="18328"/>
    <cellStyle name="Обычный 46 4" xfId="18329"/>
    <cellStyle name="Обычный 47" xfId="412"/>
    <cellStyle name="Обычный 47 2" xfId="18330"/>
    <cellStyle name="Обычный 47 2 2" xfId="18331"/>
    <cellStyle name="Обычный 47 2 3" xfId="18332"/>
    <cellStyle name="Обычный 47 3" xfId="18333"/>
    <cellStyle name="Обычный 47 4" xfId="18334"/>
    <cellStyle name="Обычный 48" xfId="413"/>
    <cellStyle name="Обычный 48 2" xfId="18335"/>
    <cellStyle name="Обычный 48 2 2" xfId="18336"/>
    <cellStyle name="Обычный 48 2 3" xfId="18337"/>
    <cellStyle name="Обычный 48 3" xfId="18338"/>
    <cellStyle name="Обычный 48 4" xfId="18339"/>
    <cellStyle name="Обычный 49" xfId="414"/>
    <cellStyle name="Обычный 49 2" xfId="18340"/>
    <cellStyle name="Обычный 49 2 2" xfId="18341"/>
    <cellStyle name="Обычный 49 2 3" xfId="18342"/>
    <cellStyle name="Обычный 49 3" xfId="18343"/>
    <cellStyle name="Обычный 49 4" xfId="18344"/>
    <cellStyle name="Обычный 5" xfId="415"/>
    <cellStyle name="Обычный 5 2" xfId="416"/>
    <cellStyle name="Обычный 5 2 2" xfId="18345"/>
    <cellStyle name="Обычный 5 2 2 2" xfId="18346"/>
    <cellStyle name="Обычный 5 2 2 3" xfId="18347"/>
    <cellStyle name="Обычный 5 2 3" xfId="18348"/>
    <cellStyle name="Обычный 5 2 4" xfId="18349"/>
    <cellStyle name="Обычный 5 3" xfId="417"/>
    <cellStyle name="Обычный 5 3 2" xfId="18350"/>
    <cellStyle name="Обычный 5 3 3" xfId="18351"/>
    <cellStyle name="Обычный 5 4" xfId="18352"/>
    <cellStyle name="Обычный 5 5" xfId="18353"/>
    <cellStyle name="Обычный 5 6" xfId="18354"/>
    <cellStyle name="Обычный 5_Общие уровни" xfId="18355"/>
    <cellStyle name="Обычный 50" xfId="418"/>
    <cellStyle name="Обычный 50 2" xfId="18356"/>
    <cellStyle name="Обычный 50 2 2" xfId="18357"/>
    <cellStyle name="Обычный 50 2 3" xfId="18358"/>
    <cellStyle name="Обычный 50 3" xfId="18359"/>
    <cellStyle name="Обычный 50 4" xfId="18360"/>
    <cellStyle name="Обычный 51" xfId="419"/>
    <cellStyle name="Обычный 51 2" xfId="18361"/>
    <cellStyle name="Обычный 51 2 2" xfId="18362"/>
    <cellStyle name="Обычный 51 2 3" xfId="18363"/>
    <cellStyle name="Обычный 51 3" xfId="18364"/>
    <cellStyle name="Обычный 51 4" xfId="18365"/>
    <cellStyle name="Обычный 52" xfId="420"/>
    <cellStyle name="Обычный 52 2" xfId="18366"/>
    <cellStyle name="Обычный 52 2 2" xfId="18367"/>
    <cellStyle name="Обычный 52 2 3" xfId="18368"/>
    <cellStyle name="Обычный 52 3" xfId="18369"/>
    <cellStyle name="Обычный 52 4" xfId="18370"/>
    <cellStyle name="Обычный 53" xfId="421"/>
    <cellStyle name="Обычный 53 2" xfId="18371"/>
    <cellStyle name="Обычный 53 2 2" xfId="18372"/>
    <cellStyle name="Обычный 53 2 3" xfId="18373"/>
    <cellStyle name="Обычный 53 3" xfId="18374"/>
    <cellStyle name="Обычный 53 4" xfId="18375"/>
    <cellStyle name="Обычный 54" xfId="422"/>
    <cellStyle name="Обычный 54 2" xfId="18376"/>
    <cellStyle name="Обычный 54 2 2" xfId="18377"/>
    <cellStyle name="Обычный 54 2 3" xfId="18378"/>
    <cellStyle name="Обычный 54 3" xfId="18379"/>
    <cellStyle name="Обычный 54 4" xfId="18380"/>
    <cellStyle name="Обычный 55" xfId="423"/>
    <cellStyle name="Обычный 55 2" xfId="18381"/>
    <cellStyle name="Обычный 55 2 2" xfId="18382"/>
    <cellStyle name="Обычный 55 2 3" xfId="18383"/>
    <cellStyle name="Обычный 55 3" xfId="18384"/>
    <cellStyle name="Обычный 55 4" xfId="18385"/>
    <cellStyle name="Обычный 56" xfId="424"/>
    <cellStyle name="Обычный 56 2" xfId="18386"/>
    <cellStyle name="Обычный 56 2 2" xfId="18387"/>
    <cellStyle name="Обычный 56 2 3" xfId="18388"/>
    <cellStyle name="Обычный 56 3" xfId="18389"/>
    <cellStyle name="Обычный 56 4" xfId="18390"/>
    <cellStyle name="Обычный 57" xfId="425"/>
    <cellStyle name="Обычный 57 2" xfId="18391"/>
    <cellStyle name="Обычный 57 2 2" xfId="18392"/>
    <cellStyle name="Обычный 57 2 3" xfId="18393"/>
    <cellStyle name="Обычный 57 3" xfId="18394"/>
    <cellStyle name="Обычный 57 4" xfId="18395"/>
    <cellStyle name="Обычный 58" xfId="476"/>
    <cellStyle name="Обычный 58 2" xfId="18396"/>
    <cellStyle name="Обычный 58 2 2" xfId="18397"/>
    <cellStyle name="Обычный 58 2 3" xfId="18398"/>
    <cellStyle name="Обычный 58 3" xfId="18399"/>
    <cellStyle name="Обычный 58 4" xfId="18400"/>
    <cellStyle name="Обычный 59" xfId="18401"/>
    <cellStyle name="Обычный 59 2" xfId="18402"/>
    <cellStyle name="Обычный 59 2 2" xfId="18403"/>
    <cellStyle name="Обычный 59 2 3" xfId="18404"/>
    <cellStyle name="Обычный 59 3" xfId="18405"/>
    <cellStyle name="Обычный 59 4" xfId="18406"/>
    <cellStyle name="Обычный 6" xfId="426"/>
    <cellStyle name="Обычный 6 2" xfId="427"/>
    <cellStyle name="Обычный 6 2 2" xfId="18407"/>
    <cellStyle name="Обычный 6 2 2 2" xfId="18408"/>
    <cellStyle name="Обычный 6 2 2 2 2" xfId="18409"/>
    <cellStyle name="Обычный 6 2 2 2 3" xfId="18410"/>
    <cellStyle name="Обычный 6 2 2 3" xfId="18411"/>
    <cellStyle name="Обычный 6 2 2 4" xfId="18412"/>
    <cellStyle name="Обычный 6 2 3" xfId="18413"/>
    <cellStyle name="Обычный 6 2 3 2" xfId="18414"/>
    <cellStyle name="Обычный 6 2 3 3" xfId="18415"/>
    <cellStyle name="Обычный 6 2 4" xfId="18416"/>
    <cellStyle name="Обычный 6 2 5" xfId="18417"/>
    <cellStyle name="Обычный 6 3" xfId="428"/>
    <cellStyle name="Обычный 6 3 2" xfId="18418"/>
    <cellStyle name="Обычный 6 3 2 2" xfId="18419"/>
    <cellStyle name="Обычный 6 3 2 3" xfId="18420"/>
    <cellStyle name="Обычный 6 3 3" xfId="18421"/>
    <cellStyle name="Обычный 6 3 4" xfId="18422"/>
    <cellStyle name="Обычный 6 4" xfId="18423"/>
    <cellStyle name="Обычный 6 4 2" xfId="18424"/>
    <cellStyle name="Обычный 6 4 3" xfId="18425"/>
    <cellStyle name="Обычный 6 5" xfId="18426"/>
    <cellStyle name="Обычный 6 6" xfId="18427"/>
    <cellStyle name="Обычный 60" xfId="18428"/>
    <cellStyle name="Обычный 60 2" xfId="18429"/>
    <cellStyle name="Обычный 60 2 2" xfId="18430"/>
    <cellStyle name="Обычный 60 2 3" xfId="18431"/>
    <cellStyle name="Обычный 60 3" xfId="18432"/>
    <cellStyle name="Обычный 60 4" xfId="18433"/>
    <cellStyle name="Обычный 61" xfId="18434"/>
    <cellStyle name="Обычный 61 2" xfId="18435"/>
    <cellStyle name="Обычный 61 2 2" xfId="18436"/>
    <cellStyle name="Обычный 61 2 3" xfId="18437"/>
    <cellStyle name="Обычный 61 3" xfId="18438"/>
    <cellStyle name="Обычный 61 4" xfId="18439"/>
    <cellStyle name="Обычный 62" xfId="18440"/>
    <cellStyle name="Обычный 62 2" xfId="18441"/>
    <cellStyle name="Обычный 62 2 2" xfId="18442"/>
    <cellStyle name="Обычный 62 2 3" xfId="18443"/>
    <cellStyle name="Обычный 62 3" xfId="18444"/>
    <cellStyle name="Обычный 62 4" xfId="18445"/>
    <cellStyle name="Обычный 63" xfId="18446"/>
    <cellStyle name="Обычный 63 2" xfId="18447"/>
    <cellStyle name="Обычный 63 2 2" xfId="18448"/>
    <cellStyle name="Обычный 63 2 3" xfId="18449"/>
    <cellStyle name="Обычный 63 3" xfId="18450"/>
    <cellStyle name="Обычный 63 4" xfId="18451"/>
    <cellStyle name="Обычный 64" xfId="18452"/>
    <cellStyle name="Обычный 64 2" xfId="18453"/>
    <cellStyle name="Обычный 64 2 2" xfId="18454"/>
    <cellStyle name="Обычный 64 2 3" xfId="18455"/>
    <cellStyle name="Обычный 64 3" xfId="18456"/>
    <cellStyle name="Обычный 64 4" xfId="18457"/>
    <cellStyle name="Обычный 65" xfId="18458"/>
    <cellStyle name="Обычный 65 2" xfId="18459"/>
    <cellStyle name="Обычный 65 2 2" xfId="18460"/>
    <cellStyle name="Обычный 65 2 3" xfId="18461"/>
    <cellStyle name="Обычный 65 3" xfId="18462"/>
    <cellStyle name="Обычный 65 4" xfId="18463"/>
    <cellStyle name="Обычный 66" xfId="18464"/>
    <cellStyle name="Обычный 66 2" xfId="18465"/>
    <cellStyle name="Обычный 66 2 2" xfId="18466"/>
    <cellStyle name="Обычный 66 2 3" xfId="18467"/>
    <cellStyle name="Обычный 66 3" xfId="18468"/>
    <cellStyle name="Обычный 66 4" xfId="18469"/>
    <cellStyle name="Обычный 67" xfId="18470"/>
    <cellStyle name="Обычный 67 2" xfId="18471"/>
    <cellStyle name="Обычный 67 2 2" xfId="18472"/>
    <cellStyle name="Обычный 67 2 3" xfId="18473"/>
    <cellStyle name="Обычный 67 3" xfId="18474"/>
    <cellStyle name="Обычный 67 4" xfId="18475"/>
    <cellStyle name="Обычный 68" xfId="18476"/>
    <cellStyle name="Обычный 68 2" xfId="18477"/>
    <cellStyle name="Обычный 68 2 2" xfId="18478"/>
    <cellStyle name="Обычный 68 2 3" xfId="18479"/>
    <cellStyle name="Обычный 68 3" xfId="18480"/>
    <cellStyle name="Обычный 68 4" xfId="18481"/>
    <cellStyle name="Обычный 69" xfId="18482"/>
    <cellStyle name="Обычный 69 2" xfId="18483"/>
    <cellStyle name="Обычный 69 2 2" xfId="18484"/>
    <cellStyle name="Обычный 69 2 3" xfId="18485"/>
    <cellStyle name="Обычный 69 3" xfId="18486"/>
    <cellStyle name="Обычный 69 4" xfId="18487"/>
    <cellStyle name="Обычный 7" xfId="429"/>
    <cellStyle name="Обычный 7 2" xfId="430"/>
    <cellStyle name="Обычный 7 2 2" xfId="18488"/>
    <cellStyle name="Обычный 7 2 2 2" xfId="18489"/>
    <cellStyle name="Обычный 7 2 2 2 2" xfId="18490"/>
    <cellStyle name="Обычный 7 2 2 2 3" xfId="18491"/>
    <cellStyle name="Обычный 7 2 2 3" xfId="18492"/>
    <cellStyle name="Обычный 7 2 2 4" xfId="18493"/>
    <cellStyle name="Обычный 7 2 3" xfId="18494"/>
    <cellStyle name="Обычный 7 2 3 2" xfId="18495"/>
    <cellStyle name="Обычный 7 2 3 3" xfId="18496"/>
    <cellStyle name="Обычный 7 2 4" xfId="18497"/>
    <cellStyle name="Обычный 7 2 5" xfId="18498"/>
    <cellStyle name="Обычный 7 3" xfId="431"/>
    <cellStyle name="Обычный 7 3 2" xfId="18499"/>
    <cellStyle name="Обычный 7 3 2 2" xfId="18500"/>
    <cellStyle name="Обычный 7 3 2 3" xfId="18501"/>
    <cellStyle name="Обычный 7 3 3" xfId="18502"/>
    <cellStyle name="Обычный 7 3 4" xfId="18503"/>
    <cellStyle name="Обычный 7 4" xfId="18504"/>
    <cellStyle name="Обычный 7 4 2" xfId="18505"/>
    <cellStyle name="Обычный 7 4 3" xfId="18506"/>
    <cellStyle name="Обычный 7 5" xfId="18507"/>
    <cellStyle name="Обычный 7 6" xfId="18508"/>
    <cellStyle name="Обычный 70" xfId="18509"/>
    <cellStyle name="Обычный 70 2" xfId="18510"/>
    <cellStyle name="Обычный 70 3" xfId="18511"/>
    <cellStyle name="Обычный 71" xfId="18512"/>
    <cellStyle name="Обычный 71 2" xfId="18513"/>
    <cellStyle name="Обычный 72" xfId="18514"/>
    <cellStyle name="Обычный 72 2" xfId="18515"/>
    <cellStyle name="Обычный 72 3" xfId="18516"/>
    <cellStyle name="Обычный 73" xfId="18517"/>
    <cellStyle name="Обычный 73 2" xfId="18518"/>
    <cellStyle name="Обычный 73 3" xfId="18519"/>
    <cellStyle name="Обычный 74" xfId="18520"/>
    <cellStyle name="Обычный 74 2" xfId="18521"/>
    <cellStyle name="Обычный 74 3" xfId="18522"/>
    <cellStyle name="Обычный 75" xfId="18523"/>
    <cellStyle name="Обычный 75 2" xfId="18524"/>
    <cellStyle name="Обычный 75 3" xfId="18525"/>
    <cellStyle name="Обычный 76" xfId="18526"/>
    <cellStyle name="Обычный 76 2" xfId="18527"/>
    <cellStyle name="Обычный 76 3" xfId="18528"/>
    <cellStyle name="Обычный 77" xfId="18529"/>
    <cellStyle name="Обычный 77 2" xfId="18530"/>
    <cellStyle name="Обычный 77 3" xfId="18531"/>
    <cellStyle name="Обычный 78" xfId="18532"/>
    <cellStyle name="Обычный 78 2" xfId="18533"/>
    <cellStyle name="Обычный 78 3" xfId="18534"/>
    <cellStyle name="Обычный 79" xfId="18535"/>
    <cellStyle name="Обычный 79 2" xfId="18536"/>
    <cellStyle name="Обычный 79 3" xfId="18537"/>
    <cellStyle name="Обычный 8" xfId="432"/>
    <cellStyle name="Обычный 8 2" xfId="433"/>
    <cellStyle name="Обычный 8 2 2" xfId="18538"/>
    <cellStyle name="Обычный 8 2 2 2" xfId="18539"/>
    <cellStyle name="Обычный 8 2 2 3" xfId="18540"/>
    <cellStyle name="Обычный 8 2 3" xfId="18541"/>
    <cellStyle name="Обычный 8 2 4" xfId="18542"/>
    <cellStyle name="Обычный 8 3" xfId="18543"/>
    <cellStyle name="Обычный 8 3 2" xfId="18544"/>
    <cellStyle name="Обычный 8 3 3" xfId="18545"/>
    <cellStyle name="Обычный 8 4" xfId="18546"/>
    <cellStyle name="Обычный 8 5" xfId="18547"/>
    <cellStyle name="Обычный 80" xfId="18548"/>
    <cellStyle name="Обычный 80 2" xfId="18549"/>
    <cellStyle name="Обычный 80 3" xfId="18550"/>
    <cellStyle name="Обычный 81" xfId="18551"/>
    <cellStyle name="Обычный 81 2" xfId="18552"/>
    <cellStyle name="Обычный 81 3" xfId="18553"/>
    <cellStyle name="Обычный 82" xfId="18554"/>
    <cellStyle name="Обычный 82 2" xfId="18555"/>
    <cellStyle name="Обычный 82 3" xfId="18556"/>
    <cellStyle name="Обычный 83" xfId="18557"/>
    <cellStyle name="Обычный 83 2" xfId="18558"/>
    <cellStyle name="Обычный 83 3" xfId="18559"/>
    <cellStyle name="Обычный 84" xfId="18560"/>
    <cellStyle name="Обычный 84 2" xfId="18561"/>
    <cellStyle name="Обычный 84 3" xfId="18562"/>
    <cellStyle name="Обычный 85" xfId="18563"/>
    <cellStyle name="Обычный 85 2" xfId="18564"/>
    <cellStyle name="Обычный 85 3" xfId="18565"/>
    <cellStyle name="Обычный 86" xfId="18566"/>
    <cellStyle name="Обычный 86 2" xfId="18567"/>
    <cellStyle name="Обычный 86 3" xfId="18568"/>
    <cellStyle name="Обычный 87" xfId="18569"/>
    <cellStyle name="Обычный 87 2" xfId="18570"/>
    <cellStyle name="Обычный 87 3" xfId="18571"/>
    <cellStyle name="Обычный 88" xfId="18572"/>
    <cellStyle name="Обычный 88 2" xfId="18573"/>
    <cellStyle name="Обычный 88 3" xfId="18574"/>
    <cellStyle name="Обычный 89" xfId="18575"/>
    <cellStyle name="Обычный 89 2" xfId="18576"/>
    <cellStyle name="Обычный 89 3" xfId="18577"/>
    <cellStyle name="Обычный 9" xfId="434"/>
    <cellStyle name="Обычный 9 10" xfId="18578"/>
    <cellStyle name="Обычный 9 11" xfId="18579"/>
    <cellStyle name="Обычный 9 12" xfId="18580"/>
    <cellStyle name="Обычный 9 13" xfId="18581"/>
    <cellStyle name="Обычный 9 14" xfId="18582"/>
    <cellStyle name="Обычный 9 15" xfId="18583"/>
    <cellStyle name="Обычный 9 16" xfId="18584"/>
    <cellStyle name="Обычный 9 17" xfId="18585"/>
    <cellStyle name="Обычный 9 18" xfId="18586"/>
    <cellStyle name="Обычный 9 19" xfId="18587"/>
    <cellStyle name="Обычный 9 2" xfId="435"/>
    <cellStyle name="Обычный 9 2 10" xfId="18588"/>
    <cellStyle name="Обычный 9 2 11" xfId="18589"/>
    <cellStyle name="Обычный 9 2 12" xfId="18590"/>
    <cellStyle name="Обычный 9 2 13" xfId="18591"/>
    <cellStyle name="Обычный 9 2 14" xfId="18592"/>
    <cellStyle name="Обычный 9 2 15" xfId="18593"/>
    <cellStyle name="Обычный 9 2 16" xfId="18594"/>
    <cellStyle name="Обычный 9 2 17" xfId="18595"/>
    <cellStyle name="Обычный 9 2 18" xfId="18596"/>
    <cellStyle name="Обычный 9 2 19" xfId="18597"/>
    <cellStyle name="Обычный 9 2 2" xfId="18598"/>
    <cellStyle name="Обычный 9 2 2 2" xfId="18599"/>
    <cellStyle name="Обычный 9 2 2 3" xfId="18600"/>
    <cellStyle name="Обычный 9 2 20" xfId="18601"/>
    <cellStyle name="Обычный 9 2 21" xfId="18602"/>
    <cellStyle name="Обычный 9 2 22" xfId="18603"/>
    <cellStyle name="Обычный 9 2 23" xfId="18604"/>
    <cellStyle name="Обычный 9 2 24" xfId="18605"/>
    <cellStyle name="Обычный 9 2 25" xfId="18606"/>
    <cellStyle name="Обычный 9 2 26" xfId="18607"/>
    <cellStyle name="Обычный 9 2 27" xfId="18608"/>
    <cellStyle name="Обычный 9 2 28" xfId="18609"/>
    <cellStyle name="Обычный 9 2 29" xfId="18610"/>
    <cellStyle name="Обычный 9 2 3" xfId="18611"/>
    <cellStyle name="Обычный 9 2 30" xfId="18612"/>
    <cellStyle name="Обычный 9 2 31" xfId="18613"/>
    <cellStyle name="Обычный 9 2 32" xfId="18614"/>
    <cellStyle name="Обычный 9 2 33" xfId="18615"/>
    <cellStyle name="Обычный 9 2 34" xfId="18616"/>
    <cellStyle name="Обычный 9 2 35" xfId="18617"/>
    <cellStyle name="Обычный 9 2 36" xfId="18618"/>
    <cellStyle name="Обычный 9 2 37" xfId="18619"/>
    <cellStyle name="Обычный 9 2 38" xfId="18620"/>
    <cellStyle name="Обычный 9 2 39" xfId="18621"/>
    <cellStyle name="Обычный 9 2 4" xfId="18622"/>
    <cellStyle name="Обычный 9 2 5" xfId="18623"/>
    <cellStyle name="Обычный 9 2 6" xfId="18624"/>
    <cellStyle name="Обычный 9 2 7" xfId="18625"/>
    <cellStyle name="Обычный 9 2 8" xfId="18626"/>
    <cellStyle name="Обычный 9 2 9" xfId="18627"/>
    <cellStyle name="Обычный 9 20" xfId="18628"/>
    <cellStyle name="Обычный 9 21" xfId="18629"/>
    <cellStyle name="Обычный 9 22" xfId="18630"/>
    <cellStyle name="Обычный 9 23" xfId="18631"/>
    <cellStyle name="Обычный 9 24" xfId="18632"/>
    <cellStyle name="Обычный 9 25" xfId="18633"/>
    <cellStyle name="Обычный 9 26" xfId="18634"/>
    <cellStyle name="Обычный 9 27" xfId="18635"/>
    <cellStyle name="Обычный 9 28" xfId="18636"/>
    <cellStyle name="Обычный 9 29" xfId="18637"/>
    <cellStyle name="Обычный 9 3" xfId="18638"/>
    <cellStyle name="Обычный 9 3 2" xfId="18639"/>
    <cellStyle name="Обычный 9 3 3" xfId="18640"/>
    <cellStyle name="Обычный 9 30" xfId="18641"/>
    <cellStyle name="Обычный 9 31" xfId="18642"/>
    <cellStyle name="Обычный 9 32" xfId="18643"/>
    <cellStyle name="Обычный 9 33" xfId="18644"/>
    <cellStyle name="Обычный 9 34" xfId="18645"/>
    <cellStyle name="Обычный 9 35" xfId="18646"/>
    <cellStyle name="Обычный 9 36" xfId="18647"/>
    <cellStyle name="Обычный 9 37" xfId="18648"/>
    <cellStyle name="Обычный 9 38" xfId="18649"/>
    <cellStyle name="Обычный 9 39" xfId="18650"/>
    <cellStyle name="Обычный 9 4" xfId="18651"/>
    <cellStyle name="Обычный 9 4 2" xfId="18652"/>
    <cellStyle name="Обычный 9 40" xfId="18653"/>
    <cellStyle name="Обычный 9 5" xfId="18654"/>
    <cellStyle name="Обычный 9 6" xfId="18655"/>
    <cellStyle name="Обычный 9 7" xfId="18656"/>
    <cellStyle name="Обычный 9 8" xfId="18657"/>
    <cellStyle name="Обычный 9 9" xfId="18658"/>
    <cellStyle name="Обычный 9_Задание по Дт и КТ на 3 rd" xfId="18659"/>
    <cellStyle name="Обычный 90" xfId="18660"/>
    <cellStyle name="Обычный 90 2" xfId="18661"/>
    <cellStyle name="Обычный 90 3" xfId="18662"/>
    <cellStyle name="Обычный 91" xfId="18663"/>
    <cellStyle name="Обычный 91 2" xfId="18664"/>
    <cellStyle name="Обычный 91 3" xfId="18665"/>
    <cellStyle name="Обычный 92" xfId="18666"/>
    <cellStyle name="Обычный 92 2" xfId="18667"/>
    <cellStyle name="Обычный 92 3" xfId="18668"/>
    <cellStyle name="Обычный 93" xfId="18669"/>
    <cellStyle name="Обычный 93 2" xfId="18670"/>
    <cellStyle name="Обычный 93 3" xfId="18671"/>
    <cellStyle name="Обычный 94" xfId="18672"/>
    <cellStyle name="Обычный 94 2" xfId="18673"/>
    <cellStyle name="Обычный 94 3" xfId="18674"/>
    <cellStyle name="Обычный 95" xfId="18675"/>
    <cellStyle name="Обычный 95 2" xfId="18676"/>
    <cellStyle name="Обычный 95 3" xfId="18677"/>
    <cellStyle name="Обычный 96" xfId="18678"/>
    <cellStyle name="Обычный 96 2" xfId="18679"/>
    <cellStyle name="Обычный 96 3" xfId="18680"/>
    <cellStyle name="Обычный 97" xfId="18681"/>
    <cellStyle name="Обычный 97 2" xfId="18682"/>
    <cellStyle name="Обычный 97 3" xfId="18683"/>
    <cellStyle name="Обычный 98" xfId="18684"/>
    <cellStyle name="Обычный 98 2" xfId="18685"/>
    <cellStyle name="Обычный 98 3" xfId="18686"/>
    <cellStyle name="Обычный 99" xfId="18687"/>
    <cellStyle name="Обычный 99 2" xfId="18688"/>
    <cellStyle name="Обычный 99 3" xfId="18689"/>
    <cellStyle name="Обычный_Лист" xfId="490"/>
    <cellStyle name="Обычный_Прогноз для ДПР (исх.+нов.)" xfId="489"/>
    <cellStyle name="Обычный_Факт с 2003" xfId="488"/>
    <cellStyle name="Параметры автоформата" xfId="18690"/>
    <cellStyle name="Плохой 10" xfId="18691"/>
    <cellStyle name="Плохой 100" xfId="18692"/>
    <cellStyle name="Плохой 101" xfId="18693"/>
    <cellStyle name="Плохой 102" xfId="18694"/>
    <cellStyle name="Плохой 103" xfId="18695"/>
    <cellStyle name="Плохой 104" xfId="18696"/>
    <cellStyle name="Плохой 105" xfId="18697"/>
    <cellStyle name="Плохой 106" xfId="18698"/>
    <cellStyle name="Плохой 107" xfId="18699"/>
    <cellStyle name="Плохой 108" xfId="18700"/>
    <cellStyle name="Плохой 109" xfId="18701"/>
    <cellStyle name="Плохой 11" xfId="18702"/>
    <cellStyle name="Плохой 110" xfId="18703"/>
    <cellStyle name="Плохой 111" xfId="18704"/>
    <cellStyle name="Плохой 112" xfId="18705"/>
    <cellStyle name="Плохой 113" xfId="18706"/>
    <cellStyle name="Плохой 114" xfId="18707"/>
    <cellStyle name="Плохой 115" xfId="18708"/>
    <cellStyle name="Плохой 116" xfId="18709"/>
    <cellStyle name="Плохой 117" xfId="18710"/>
    <cellStyle name="Плохой 118" xfId="18711"/>
    <cellStyle name="Плохой 119" xfId="18712"/>
    <cellStyle name="Плохой 12" xfId="18713"/>
    <cellStyle name="Плохой 120" xfId="18714"/>
    <cellStyle name="Плохой 121" xfId="18715"/>
    <cellStyle name="Плохой 122" xfId="18716"/>
    <cellStyle name="Плохой 123" xfId="18717"/>
    <cellStyle name="Плохой 124" xfId="18718"/>
    <cellStyle name="Плохой 125" xfId="18719"/>
    <cellStyle name="Плохой 126" xfId="18720"/>
    <cellStyle name="Плохой 127" xfId="18721"/>
    <cellStyle name="Плохой 128" xfId="18722"/>
    <cellStyle name="Плохой 129" xfId="18723"/>
    <cellStyle name="Плохой 13" xfId="18724"/>
    <cellStyle name="Плохой 130" xfId="18725"/>
    <cellStyle name="Плохой 131" xfId="18726"/>
    <cellStyle name="Плохой 132" xfId="18727"/>
    <cellStyle name="Плохой 133" xfId="18728"/>
    <cellStyle name="Плохой 134" xfId="18729"/>
    <cellStyle name="Плохой 135" xfId="18730"/>
    <cellStyle name="Плохой 136" xfId="18731"/>
    <cellStyle name="Плохой 137" xfId="18732"/>
    <cellStyle name="Плохой 138" xfId="18733"/>
    <cellStyle name="Плохой 139" xfId="18734"/>
    <cellStyle name="Плохой 14" xfId="18735"/>
    <cellStyle name="Плохой 140" xfId="18736"/>
    <cellStyle name="Плохой 141" xfId="18737"/>
    <cellStyle name="Плохой 142" xfId="18738"/>
    <cellStyle name="Плохой 143" xfId="18739"/>
    <cellStyle name="Плохой 144" xfId="18740"/>
    <cellStyle name="Плохой 145" xfId="18741"/>
    <cellStyle name="Плохой 146" xfId="18742"/>
    <cellStyle name="Плохой 147" xfId="18743"/>
    <cellStyle name="Плохой 148" xfId="18744"/>
    <cellStyle name="Плохой 149" xfId="18745"/>
    <cellStyle name="Плохой 15" xfId="18746"/>
    <cellStyle name="Плохой 150" xfId="18747"/>
    <cellStyle name="Плохой 151" xfId="18748"/>
    <cellStyle name="Плохой 152" xfId="18749"/>
    <cellStyle name="Плохой 16" xfId="18750"/>
    <cellStyle name="Плохой 17" xfId="18751"/>
    <cellStyle name="Плохой 18" xfId="18752"/>
    <cellStyle name="Плохой 19" xfId="18753"/>
    <cellStyle name="Плохой 2" xfId="436"/>
    <cellStyle name="Плохой 2 2" xfId="18754"/>
    <cellStyle name="Плохой 2 3" xfId="18755"/>
    <cellStyle name="Плохой 2 4" xfId="18756"/>
    <cellStyle name="Плохой 2 5" xfId="18757"/>
    <cellStyle name="Плохой 2 6" xfId="18758"/>
    <cellStyle name="Плохой 2 7" xfId="18759"/>
    <cellStyle name="Плохой 20" xfId="18760"/>
    <cellStyle name="Плохой 20 2" xfId="18761"/>
    <cellStyle name="Плохой 21" xfId="18762"/>
    <cellStyle name="Плохой 22" xfId="18763"/>
    <cellStyle name="Плохой 23" xfId="18764"/>
    <cellStyle name="Плохой 24" xfId="18765"/>
    <cellStyle name="Плохой 25" xfId="18766"/>
    <cellStyle name="Плохой 26" xfId="18767"/>
    <cellStyle name="Плохой 27" xfId="18768"/>
    <cellStyle name="Плохой 28" xfId="18769"/>
    <cellStyle name="Плохой 29" xfId="18770"/>
    <cellStyle name="Плохой 3" xfId="18771"/>
    <cellStyle name="Плохой 30" xfId="18772"/>
    <cellStyle name="Плохой 31" xfId="18773"/>
    <cellStyle name="Плохой 32" xfId="18774"/>
    <cellStyle name="Плохой 33" xfId="18775"/>
    <cellStyle name="Плохой 34" xfId="18776"/>
    <cellStyle name="Плохой 35" xfId="18777"/>
    <cellStyle name="Плохой 36" xfId="18778"/>
    <cellStyle name="Плохой 37" xfId="18779"/>
    <cellStyle name="Плохой 38" xfId="18780"/>
    <cellStyle name="Плохой 39" xfId="18781"/>
    <cellStyle name="Плохой 4" xfId="18782"/>
    <cellStyle name="Плохой 40" xfId="18783"/>
    <cellStyle name="Плохой 41" xfId="18784"/>
    <cellStyle name="Плохой 42" xfId="18785"/>
    <cellStyle name="Плохой 43" xfId="18786"/>
    <cellStyle name="Плохой 44" xfId="18787"/>
    <cellStyle name="Плохой 45" xfId="18788"/>
    <cellStyle name="Плохой 46" xfId="18789"/>
    <cellStyle name="Плохой 47" xfId="18790"/>
    <cellStyle name="Плохой 48" xfId="18791"/>
    <cellStyle name="Плохой 49" xfId="18792"/>
    <cellStyle name="Плохой 5" xfId="18793"/>
    <cellStyle name="Плохой 50" xfId="18794"/>
    <cellStyle name="Плохой 51" xfId="18795"/>
    <cellStyle name="Плохой 52" xfId="18796"/>
    <cellStyle name="Плохой 53" xfId="18797"/>
    <cellStyle name="Плохой 54" xfId="18798"/>
    <cellStyle name="Плохой 55" xfId="18799"/>
    <cellStyle name="Плохой 56" xfId="18800"/>
    <cellStyle name="Плохой 57" xfId="18801"/>
    <cellStyle name="Плохой 58" xfId="18802"/>
    <cellStyle name="Плохой 59" xfId="18803"/>
    <cellStyle name="Плохой 6" xfId="18804"/>
    <cellStyle name="Плохой 60" xfId="18805"/>
    <cellStyle name="Плохой 61" xfId="18806"/>
    <cellStyle name="Плохой 62" xfId="18807"/>
    <cellStyle name="Плохой 63" xfId="18808"/>
    <cellStyle name="Плохой 64" xfId="18809"/>
    <cellStyle name="Плохой 65" xfId="18810"/>
    <cellStyle name="Плохой 66" xfId="18811"/>
    <cellStyle name="Плохой 67" xfId="18812"/>
    <cellStyle name="Плохой 68" xfId="18813"/>
    <cellStyle name="Плохой 69" xfId="18814"/>
    <cellStyle name="Плохой 7" xfId="18815"/>
    <cellStyle name="Плохой 70" xfId="18816"/>
    <cellStyle name="Плохой 71" xfId="18817"/>
    <cellStyle name="Плохой 72" xfId="18818"/>
    <cellStyle name="Плохой 73" xfId="18819"/>
    <cellStyle name="Плохой 74" xfId="18820"/>
    <cellStyle name="Плохой 75" xfId="18821"/>
    <cellStyle name="Плохой 76" xfId="18822"/>
    <cellStyle name="Плохой 77" xfId="18823"/>
    <cellStyle name="Плохой 78" xfId="18824"/>
    <cellStyle name="Плохой 79" xfId="18825"/>
    <cellStyle name="Плохой 8" xfId="18826"/>
    <cellStyle name="Плохой 80" xfId="18827"/>
    <cellStyle name="Плохой 81" xfId="18828"/>
    <cellStyle name="Плохой 82" xfId="18829"/>
    <cellStyle name="Плохой 83" xfId="18830"/>
    <cellStyle name="Плохой 84" xfId="18831"/>
    <cellStyle name="Плохой 85" xfId="18832"/>
    <cellStyle name="Плохой 86" xfId="18833"/>
    <cellStyle name="Плохой 87" xfId="18834"/>
    <cellStyle name="Плохой 88" xfId="18835"/>
    <cellStyle name="Плохой 89" xfId="18836"/>
    <cellStyle name="Плохой 9" xfId="18837"/>
    <cellStyle name="Плохой 90" xfId="18838"/>
    <cellStyle name="Плохой 91" xfId="18839"/>
    <cellStyle name="Плохой 92" xfId="18840"/>
    <cellStyle name="Плохой 93" xfId="18841"/>
    <cellStyle name="Плохой 94" xfId="18842"/>
    <cellStyle name="Плохой 95" xfId="18843"/>
    <cellStyle name="Плохой 96" xfId="18844"/>
    <cellStyle name="Плохой 97" xfId="18845"/>
    <cellStyle name="Плохой 98" xfId="18846"/>
    <cellStyle name="Плохой 99" xfId="18847"/>
    <cellStyle name="Пояснение 10" xfId="18848"/>
    <cellStyle name="Пояснение 100" xfId="18849"/>
    <cellStyle name="Пояснение 101" xfId="18850"/>
    <cellStyle name="Пояснение 102" xfId="18851"/>
    <cellStyle name="Пояснение 103" xfId="18852"/>
    <cellStyle name="Пояснение 104" xfId="18853"/>
    <cellStyle name="Пояснение 105" xfId="18854"/>
    <cellStyle name="Пояснение 106" xfId="18855"/>
    <cellStyle name="Пояснение 107" xfId="18856"/>
    <cellStyle name="Пояснение 108" xfId="18857"/>
    <cellStyle name="Пояснение 109" xfId="18858"/>
    <cellStyle name="Пояснение 11" xfId="18859"/>
    <cellStyle name="Пояснение 110" xfId="18860"/>
    <cellStyle name="Пояснение 111" xfId="18861"/>
    <cellStyle name="Пояснение 112" xfId="18862"/>
    <cellStyle name="Пояснение 113" xfId="18863"/>
    <cellStyle name="Пояснение 114" xfId="18864"/>
    <cellStyle name="Пояснение 115" xfId="18865"/>
    <cellStyle name="Пояснение 116" xfId="18866"/>
    <cellStyle name="Пояснение 117" xfId="18867"/>
    <cellStyle name="Пояснение 118" xfId="18868"/>
    <cellStyle name="Пояснение 119" xfId="18869"/>
    <cellStyle name="Пояснение 12" xfId="18870"/>
    <cellStyle name="Пояснение 120" xfId="18871"/>
    <cellStyle name="Пояснение 121" xfId="18872"/>
    <cellStyle name="Пояснение 122" xfId="18873"/>
    <cellStyle name="Пояснение 123" xfId="18874"/>
    <cellStyle name="Пояснение 124" xfId="18875"/>
    <cellStyle name="Пояснение 125" xfId="18876"/>
    <cellStyle name="Пояснение 126" xfId="18877"/>
    <cellStyle name="Пояснение 127" xfId="18878"/>
    <cellStyle name="Пояснение 128" xfId="18879"/>
    <cellStyle name="Пояснение 129" xfId="18880"/>
    <cellStyle name="Пояснение 13" xfId="18881"/>
    <cellStyle name="Пояснение 130" xfId="18882"/>
    <cellStyle name="Пояснение 131" xfId="18883"/>
    <cellStyle name="Пояснение 132" xfId="18884"/>
    <cellStyle name="Пояснение 133" xfId="18885"/>
    <cellStyle name="Пояснение 134" xfId="18886"/>
    <cellStyle name="Пояснение 135" xfId="18887"/>
    <cellStyle name="Пояснение 136" xfId="18888"/>
    <cellStyle name="Пояснение 137" xfId="18889"/>
    <cellStyle name="Пояснение 138" xfId="18890"/>
    <cellStyle name="Пояснение 139" xfId="18891"/>
    <cellStyle name="Пояснение 14" xfId="18892"/>
    <cellStyle name="Пояснение 140" xfId="18893"/>
    <cellStyle name="Пояснение 141" xfId="18894"/>
    <cellStyle name="Пояснение 142" xfId="18895"/>
    <cellStyle name="Пояснение 143" xfId="18896"/>
    <cellStyle name="Пояснение 144" xfId="18897"/>
    <cellStyle name="Пояснение 145" xfId="18898"/>
    <cellStyle name="Пояснение 146" xfId="18899"/>
    <cellStyle name="Пояснение 147" xfId="18900"/>
    <cellStyle name="Пояснение 148" xfId="18901"/>
    <cellStyle name="Пояснение 149" xfId="18902"/>
    <cellStyle name="Пояснение 15" xfId="18903"/>
    <cellStyle name="Пояснение 150" xfId="18904"/>
    <cellStyle name="Пояснение 151" xfId="18905"/>
    <cellStyle name="Пояснение 152" xfId="18906"/>
    <cellStyle name="Пояснение 16" xfId="18907"/>
    <cellStyle name="Пояснение 17" xfId="18908"/>
    <cellStyle name="Пояснение 18" xfId="18909"/>
    <cellStyle name="Пояснение 19" xfId="18910"/>
    <cellStyle name="Пояснение 2" xfId="18911"/>
    <cellStyle name="Пояснение 2 2" xfId="18912"/>
    <cellStyle name="Пояснение 2 3" xfId="18913"/>
    <cellStyle name="Пояснение 2 4" xfId="18914"/>
    <cellStyle name="Пояснение 2 5" xfId="18915"/>
    <cellStyle name="Пояснение 2 6" xfId="18916"/>
    <cellStyle name="Пояснение 2 7" xfId="18917"/>
    <cellStyle name="Пояснение 20" xfId="18918"/>
    <cellStyle name="Пояснение 20 2" xfId="18919"/>
    <cellStyle name="Пояснение 21" xfId="18920"/>
    <cellStyle name="Пояснение 22" xfId="18921"/>
    <cellStyle name="Пояснение 23" xfId="18922"/>
    <cellStyle name="Пояснение 24" xfId="18923"/>
    <cellStyle name="Пояснение 25" xfId="18924"/>
    <cellStyle name="Пояснение 26" xfId="18925"/>
    <cellStyle name="Пояснение 27" xfId="18926"/>
    <cellStyle name="Пояснение 28" xfId="18927"/>
    <cellStyle name="Пояснение 29" xfId="18928"/>
    <cellStyle name="Пояснение 3" xfId="18929"/>
    <cellStyle name="Пояснение 30" xfId="18930"/>
    <cellStyle name="Пояснение 31" xfId="18931"/>
    <cellStyle name="Пояснение 32" xfId="18932"/>
    <cellStyle name="Пояснение 33" xfId="18933"/>
    <cellStyle name="Пояснение 34" xfId="18934"/>
    <cellStyle name="Пояснение 35" xfId="18935"/>
    <cellStyle name="Пояснение 36" xfId="18936"/>
    <cellStyle name="Пояснение 37" xfId="18937"/>
    <cellStyle name="Пояснение 38" xfId="18938"/>
    <cellStyle name="Пояснение 39" xfId="18939"/>
    <cellStyle name="Пояснение 4" xfId="18940"/>
    <cellStyle name="Пояснение 40" xfId="18941"/>
    <cellStyle name="Пояснение 41" xfId="18942"/>
    <cellStyle name="Пояснение 42" xfId="18943"/>
    <cellStyle name="Пояснение 43" xfId="18944"/>
    <cellStyle name="Пояснение 44" xfId="18945"/>
    <cellStyle name="Пояснение 45" xfId="18946"/>
    <cellStyle name="Пояснение 46" xfId="18947"/>
    <cellStyle name="Пояснение 47" xfId="18948"/>
    <cellStyle name="Пояснение 48" xfId="18949"/>
    <cellStyle name="Пояснение 49" xfId="18950"/>
    <cellStyle name="Пояснение 5" xfId="18951"/>
    <cellStyle name="Пояснение 50" xfId="18952"/>
    <cellStyle name="Пояснение 51" xfId="18953"/>
    <cellStyle name="Пояснение 52" xfId="18954"/>
    <cellStyle name="Пояснение 53" xfId="18955"/>
    <cellStyle name="Пояснение 54" xfId="18956"/>
    <cellStyle name="Пояснение 55" xfId="18957"/>
    <cellStyle name="Пояснение 56" xfId="18958"/>
    <cellStyle name="Пояснение 57" xfId="18959"/>
    <cellStyle name="Пояснение 58" xfId="18960"/>
    <cellStyle name="Пояснение 59" xfId="18961"/>
    <cellStyle name="Пояснение 6" xfId="18962"/>
    <cellStyle name="Пояснение 60" xfId="18963"/>
    <cellStyle name="Пояснение 61" xfId="18964"/>
    <cellStyle name="Пояснение 62" xfId="18965"/>
    <cellStyle name="Пояснение 63" xfId="18966"/>
    <cellStyle name="Пояснение 64" xfId="18967"/>
    <cellStyle name="Пояснение 65" xfId="18968"/>
    <cellStyle name="Пояснение 66" xfId="18969"/>
    <cellStyle name="Пояснение 67" xfId="18970"/>
    <cellStyle name="Пояснение 68" xfId="18971"/>
    <cellStyle name="Пояснение 69" xfId="18972"/>
    <cellStyle name="Пояснение 7" xfId="18973"/>
    <cellStyle name="Пояснение 70" xfId="18974"/>
    <cellStyle name="Пояснение 71" xfId="18975"/>
    <cellStyle name="Пояснение 72" xfId="18976"/>
    <cellStyle name="Пояснение 73" xfId="18977"/>
    <cellStyle name="Пояснение 74" xfId="18978"/>
    <cellStyle name="Пояснение 75" xfId="18979"/>
    <cellStyle name="Пояснение 76" xfId="18980"/>
    <cellStyle name="Пояснение 77" xfId="18981"/>
    <cellStyle name="Пояснение 78" xfId="18982"/>
    <cellStyle name="Пояснение 79" xfId="18983"/>
    <cellStyle name="Пояснение 8" xfId="18984"/>
    <cellStyle name="Пояснение 80" xfId="18985"/>
    <cellStyle name="Пояснение 81" xfId="18986"/>
    <cellStyle name="Пояснение 82" xfId="18987"/>
    <cellStyle name="Пояснение 83" xfId="18988"/>
    <cellStyle name="Пояснение 84" xfId="18989"/>
    <cellStyle name="Пояснение 85" xfId="18990"/>
    <cellStyle name="Пояснение 86" xfId="18991"/>
    <cellStyle name="Пояснение 87" xfId="18992"/>
    <cellStyle name="Пояснение 88" xfId="18993"/>
    <cellStyle name="Пояснение 89" xfId="18994"/>
    <cellStyle name="Пояснение 9" xfId="18995"/>
    <cellStyle name="Пояснение 90" xfId="18996"/>
    <cellStyle name="Пояснение 91" xfId="18997"/>
    <cellStyle name="Пояснение 92" xfId="18998"/>
    <cellStyle name="Пояснение 93" xfId="18999"/>
    <cellStyle name="Пояснение 94" xfId="19000"/>
    <cellStyle name="Пояснение 95" xfId="19001"/>
    <cellStyle name="Пояснение 96" xfId="19002"/>
    <cellStyle name="Пояснение 97" xfId="19003"/>
    <cellStyle name="Пояснение 98" xfId="19004"/>
    <cellStyle name="Пояснение 99" xfId="19005"/>
    <cellStyle name="Примечание 10" xfId="19006"/>
    <cellStyle name="Примечание 10 10" xfId="19007"/>
    <cellStyle name="Примечание 10 2" xfId="19008"/>
    <cellStyle name="Примечание 10 3" xfId="19009"/>
    <cellStyle name="Примечание 10 4" xfId="19010"/>
    <cellStyle name="Примечание 10 5" xfId="19011"/>
    <cellStyle name="Примечание 10 6" xfId="19012"/>
    <cellStyle name="Примечание 10 7" xfId="19013"/>
    <cellStyle name="Примечание 10 8" xfId="19014"/>
    <cellStyle name="Примечание 10 9" xfId="19015"/>
    <cellStyle name="Примечание 100" xfId="19016"/>
    <cellStyle name="Примечание 100 2" xfId="19017"/>
    <cellStyle name="Примечание 101" xfId="19018"/>
    <cellStyle name="Примечание 101 2" xfId="19019"/>
    <cellStyle name="Примечание 102" xfId="19020"/>
    <cellStyle name="Примечание 102 2" xfId="19021"/>
    <cellStyle name="Примечание 103" xfId="19022"/>
    <cellStyle name="Примечание 103 2" xfId="19023"/>
    <cellStyle name="Примечание 104" xfId="19024"/>
    <cellStyle name="Примечание 104 2" xfId="19025"/>
    <cellStyle name="Примечание 105" xfId="19026"/>
    <cellStyle name="Примечание 105 2" xfId="19027"/>
    <cellStyle name="Примечание 106" xfId="19028"/>
    <cellStyle name="Примечание 106 2" xfId="19029"/>
    <cellStyle name="Примечание 107" xfId="19030"/>
    <cellStyle name="Примечание 107 2" xfId="19031"/>
    <cellStyle name="Примечание 108" xfId="19032"/>
    <cellStyle name="Примечание 108 2" xfId="19033"/>
    <cellStyle name="Примечание 109" xfId="19034"/>
    <cellStyle name="Примечание 109 2" xfId="19035"/>
    <cellStyle name="Примечание 11" xfId="19036"/>
    <cellStyle name="Примечание 11 10" xfId="19037"/>
    <cellStyle name="Примечание 11 2" xfId="19038"/>
    <cellStyle name="Примечание 11 3" xfId="19039"/>
    <cellStyle name="Примечание 11 4" xfId="19040"/>
    <cellStyle name="Примечание 11 5" xfId="19041"/>
    <cellStyle name="Примечание 11 6" xfId="19042"/>
    <cellStyle name="Примечание 11 7" xfId="19043"/>
    <cellStyle name="Примечание 11 8" xfId="19044"/>
    <cellStyle name="Примечание 11 9" xfId="19045"/>
    <cellStyle name="Примечание 110" xfId="19046"/>
    <cellStyle name="Примечание 110 2" xfId="19047"/>
    <cellStyle name="Примечание 111" xfId="19048"/>
    <cellStyle name="Примечание 111 2" xfId="19049"/>
    <cellStyle name="Примечание 112" xfId="19050"/>
    <cellStyle name="Примечание 112 2" xfId="19051"/>
    <cellStyle name="Примечание 113" xfId="19052"/>
    <cellStyle name="Примечание 113 2" xfId="19053"/>
    <cellStyle name="Примечание 114" xfId="19054"/>
    <cellStyle name="Примечание 114 2" xfId="19055"/>
    <cellStyle name="Примечание 115" xfId="19056"/>
    <cellStyle name="Примечание 115 2" xfId="19057"/>
    <cellStyle name="Примечание 116" xfId="19058"/>
    <cellStyle name="Примечание 116 2" xfId="19059"/>
    <cellStyle name="Примечание 117" xfId="19060"/>
    <cellStyle name="Примечание 117 2" xfId="19061"/>
    <cellStyle name="Примечание 118" xfId="19062"/>
    <cellStyle name="Примечание 118 2" xfId="19063"/>
    <cellStyle name="Примечание 119" xfId="19064"/>
    <cellStyle name="Примечание 119 2" xfId="19065"/>
    <cellStyle name="Примечание 12" xfId="19066"/>
    <cellStyle name="Примечание 12 10" xfId="19067"/>
    <cellStyle name="Примечание 12 2" xfId="19068"/>
    <cellStyle name="Примечание 12 3" xfId="19069"/>
    <cellStyle name="Примечание 12 4" xfId="19070"/>
    <cellStyle name="Примечание 12 5" xfId="19071"/>
    <cellStyle name="Примечание 12 6" xfId="19072"/>
    <cellStyle name="Примечание 12 7" xfId="19073"/>
    <cellStyle name="Примечание 12 8" xfId="19074"/>
    <cellStyle name="Примечание 12 9" xfId="19075"/>
    <cellStyle name="Примечание 120" xfId="19076"/>
    <cellStyle name="Примечание 120 2" xfId="19077"/>
    <cellStyle name="Примечание 121" xfId="19078"/>
    <cellStyle name="Примечание 121 2" xfId="19079"/>
    <cellStyle name="Примечание 122" xfId="19080"/>
    <cellStyle name="Примечание 122 2" xfId="19081"/>
    <cellStyle name="Примечание 123" xfId="19082"/>
    <cellStyle name="Примечание 123 2" xfId="19083"/>
    <cellStyle name="Примечание 124" xfId="19084"/>
    <cellStyle name="Примечание 124 2" xfId="19085"/>
    <cellStyle name="Примечание 125" xfId="19086"/>
    <cellStyle name="Примечание 125 2" xfId="19087"/>
    <cellStyle name="Примечание 126" xfId="19088"/>
    <cellStyle name="Примечание 126 2" xfId="19089"/>
    <cellStyle name="Примечание 127" xfId="19090"/>
    <cellStyle name="Примечание 127 2" xfId="19091"/>
    <cellStyle name="Примечание 128" xfId="19092"/>
    <cellStyle name="Примечание 128 2" xfId="19093"/>
    <cellStyle name="Примечание 129" xfId="19094"/>
    <cellStyle name="Примечание 129 2" xfId="19095"/>
    <cellStyle name="Примечание 13" xfId="19096"/>
    <cellStyle name="Примечание 13 10" xfId="19097"/>
    <cellStyle name="Примечание 13 2" xfId="19098"/>
    <cellStyle name="Примечание 13 3" xfId="19099"/>
    <cellStyle name="Примечание 13 4" xfId="19100"/>
    <cellStyle name="Примечание 13 5" xfId="19101"/>
    <cellStyle name="Примечание 13 6" xfId="19102"/>
    <cellStyle name="Примечание 13 7" xfId="19103"/>
    <cellStyle name="Примечание 13 8" xfId="19104"/>
    <cellStyle name="Примечание 13 9" xfId="19105"/>
    <cellStyle name="Примечание 130" xfId="19106"/>
    <cellStyle name="Примечание 130 2" xfId="19107"/>
    <cellStyle name="Примечание 131" xfId="19108"/>
    <cellStyle name="Примечание 131 2" xfId="19109"/>
    <cellStyle name="Примечание 132" xfId="19110"/>
    <cellStyle name="Примечание 132 2" xfId="19111"/>
    <cellStyle name="Примечание 133" xfId="19112"/>
    <cellStyle name="Примечание 133 2" xfId="19113"/>
    <cellStyle name="Примечание 134" xfId="19114"/>
    <cellStyle name="Примечание 134 2" xfId="19115"/>
    <cellStyle name="Примечание 135" xfId="19116"/>
    <cellStyle name="Примечание 135 2" xfId="19117"/>
    <cellStyle name="Примечание 136" xfId="19118"/>
    <cellStyle name="Примечание 136 2" xfId="19119"/>
    <cellStyle name="Примечание 137" xfId="19120"/>
    <cellStyle name="Примечание 137 2" xfId="19121"/>
    <cellStyle name="Примечание 138" xfId="19122"/>
    <cellStyle name="Примечание 138 2" xfId="19123"/>
    <cellStyle name="Примечание 139" xfId="19124"/>
    <cellStyle name="Примечание 139 2" xfId="19125"/>
    <cellStyle name="Примечание 14" xfId="19126"/>
    <cellStyle name="Примечание 14 10" xfId="19127"/>
    <cellStyle name="Примечание 14 2" xfId="19128"/>
    <cellStyle name="Примечание 14 3" xfId="19129"/>
    <cellStyle name="Примечание 14 4" xfId="19130"/>
    <cellStyle name="Примечание 14 5" xfId="19131"/>
    <cellStyle name="Примечание 14 6" xfId="19132"/>
    <cellStyle name="Примечание 14 7" xfId="19133"/>
    <cellStyle name="Примечание 14 8" xfId="19134"/>
    <cellStyle name="Примечание 14 9" xfId="19135"/>
    <cellStyle name="Примечание 140" xfId="19136"/>
    <cellStyle name="Примечание 140 2" xfId="19137"/>
    <cellStyle name="Примечание 141" xfId="19138"/>
    <cellStyle name="Примечание 141 2" xfId="19139"/>
    <cellStyle name="Примечание 142" xfId="19140"/>
    <cellStyle name="Примечание 142 2" xfId="19141"/>
    <cellStyle name="Примечание 143" xfId="19142"/>
    <cellStyle name="Примечание 143 2" xfId="19143"/>
    <cellStyle name="Примечание 144" xfId="19144"/>
    <cellStyle name="Примечание 144 2" xfId="19145"/>
    <cellStyle name="Примечание 145" xfId="19146"/>
    <cellStyle name="Примечание 145 2" xfId="19147"/>
    <cellStyle name="Примечание 146" xfId="19148"/>
    <cellStyle name="Примечание 146 2" xfId="19149"/>
    <cellStyle name="Примечание 147" xfId="19150"/>
    <cellStyle name="Примечание 147 2" xfId="19151"/>
    <cellStyle name="Примечание 148" xfId="19152"/>
    <cellStyle name="Примечание 148 2" xfId="19153"/>
    <cellStyle name="Примечание 149" xfId="19154"/>
    <cellStyle name="Примечание 149 2" xfId="19155"/>
    <cellStyle name="Примечание 15" xfId="19156"/>
    <cellStyle name="Примечание 150" xfId="19157"/>
    <cellStyle name="Примечание 150 2" xfId="19158"/>
    <cellStyle name="Примечание 151" xfId="19159"/>
    <cellStyle name="Примечание 151 2" xfId="19160"/>
    <cellStyle name="Примечание 152" xfId="19161"/>
    <cellStyle name="Примечание 152 2" xfId="19162"/>
    <cellStyle name="Примечание 153" xfId="19163"/>
    <cellStyle name="Примечание 153 2" xfId="19164"/>
    <cellStyle name="Примечание 154" xfId="19165"/>
    <cellStyle name="Примечание 154 2" xfId="19166"/>
    <cellStyle name="Примечание 155" xfId="19167"/>
    <cellStyle name="Примечание 155 2" xfId="19168"/>
    <cellStyle name="Примечание 156" xfId="19169"/>
    <cellStyle name="Примечание 156 2" xfId="19170"/>
    <cellStyle name="Примечание 157" xfId="19171"/>
    <cellStyle name="Примечание 157 2" xfId="19172"/>
    <cellStyle name="Примечание 158" xfId="19173"/>
    <cellStyle name="Примечание 158 2" xfId="19174"/>
    <cellStyle name="Примечание 159" xfId="19175"/>
    <cellStyle name="Примечание 159 2" xfId="19176"/>
    <cellStyle name="Примечание 16" xfId="19177"/>
    <cellStyle name="Примечание 160" xfId="19178"/>
    <cellStyle name="Примечание 160 2" xfId="19179"/>
    <cellStyle name="Примечание 161" xfId="19180"/>
    <cellStyle name="Примечание 161 2" xfId="19181"/>
    <cellStyle name="Примечание 162" xfId="19182"/>
    <cellStyle name="Примечание 162 2" xfId="19183"/>
    <cellStyle name="Примечание 163" xfId="19184"/>
    <cellStyle name="Примечание 163 2" xfId="19185"/>
    <cellStyle name="Примечание 164" xfId="19186"/>
    <cellStyle name="Примечание 164 2" xfId="19187"/>
    <cellStyle name="Примечание 165" xfId="19188"/>
    <cellStyle name="Примечание 165 2" xfId="19189"/>
    <cellStyle name="Примечание 166" xfId="19190"/>
    <cellStyle name="Примечание 166 2" xfId="19191"/>
    <cellStyle name="Примечание 167" xfId="19192"/>
    <cellStyle name="Примечание 167 2" xfId="19193"/>
    <cellStyle name="Примечание 168" xfId="19194"/>
    <cellStyle name="Примечание 168 2" xfId="19195"/>
    <cellStyle name="Примечание 169" xfId="19196"/>
    <cellStyle name="Примечание 169 2" xfId="19197"/>
    <cellStyle name="Примечание 17" xfId="19198"/>
    <cellStyle name="Примечание 170" xfId="19199"/>
    <cellStyle name="Примечание 170 2" xfId="19200"/>
    <cellStyle name="Примечание 171" xfId="19201"/>
    <cellStyle name="Примечание 171 2" xfId="19202"/>
    <cellStyle name="Примечание 172" xfId="19203"/>
    <cellStyle name="Примечание 172 2" xfId="19204"/>
    <cellStyle name="Примечание 173" xfId="19205"/>
    <cellStyle name="Примечание 173 2" xfId="19206"/>
    <cellStyle name="Примечание 174" xfId="19207"/>
    <cellStyle name="Примечание 174 2" xfId="19208"/>
    <cellStyle name="Примечание 175" xfId="19209"/>
    <cellStyle name="Примечание 175 2" xfId="19210"/>
    <cellStyle name="Примечание 176" xfId="19211"/>
    <cellStyle name="Примечание 176 2" xfId="19212"/>
    <cellStyle name="Примечание 177" xfId="19213"/>
    <cellStyle name="Примечание 177 2" xfId="19214"/>
    <cellStyle name="Примечание 178" xfId="19215"/>
    <cellStyle name="Примечание 178 2" xfId="19216"/>
    <cellStyle name="Примечание 179" xfId="19217"/>
    <cellStyle name="Примечание 179 2" xfId="19218"/>
    <cellStyle name="Примечание 18" xfId="19219"/>
    <cellStyle name="Примечание 180" xfId="19220"/>
    <cellStyle name="Примечание 180 2" xfId="19221"/>
    <cellStyle name="Примечание 181" xfId="19222"/>
    <cellStyle name="Примечание 181 2" xfId="19223"/>
    <cellStyle name="Примечание 182" xfId="19224"/>
    <cellStyle name="Примечание 182 2" xfId="19225"/>
    <cellStyle name="Примечание 183" xfId="19226"/>
    <cellStyle name="Примечание 183 2" xfId="19227"/>
    <cellStyle name="Примечание 184" xfId="19228"/>
    <cellStyle name="Примечание 184 2" xfId="19229"/>
    <cellStyle name="Примечание 185" xfId="19230"/>
    <cellStyle name="Примечание 185 2" xfId="19231"/>
    <cellStyle name="Примечание 186" xfId="19232"/>
    <cellStyle name="Примечание 186 2" xfId="19233"/>
    <cellStyle name="Примечание 187" xfId="19234"/>
    <cellStyle name="Примечание 187 2" xfId="19235"/>
    <cellStyle name="Примечание 188" xfId="19236"/>
    <cellStyle name="Примечание 188 2" xfId="19237"/>
    <cellStyle name="Примечание 189" xfId="19238"/>
    <cellStyle name="Примечание 189 2" xfId="19239"/>
    <cellStyle name="Примечание 19" xfId="19240"/>
    <cellStyle name="Примечание 190" xfId="19241"/>
    <cellStyle name="Примечание 190 2" xfId="19242"/>
    <cellStyle name="Примечание 191" xfId="19243"/>
    <cellStyle name="Примечание 191 2" xfId="19244"/>
    <cellStyle name="Примечание 192" xfId="19245"/>
    <cellStyle name="Примечание 192 2" xfId="19246"/>
    <cellStyle name="Примечание 193" xfId="19247"/>
    <cellStyle name="Примечание 193 2" xfId="19248"/>
    <cellStyle name="Примечание 194" xfId="19249"/>
    <cellStyle name="Примечание 194 2" xfId="19250"/>
    <cellStyle name="Примечание 195" xfId="19251"/>
    <cellStyle name="Примечание 195 2" xfId="19252"/>
    <cellStyle name="Примечание 196" xfId="19253"/>
    <cellStyle name="Примечание 196 2" xfId="19254"/>
    <cellStyle name="Примечание 197" xfId="19255"/>
    <cellStyle name="Примечание 197 2" xfId="19256"/>
    <cellStyle name="Примечание 198" xfId="19257"/>
    <cellStyle name="Примечание 198 2" xfId="19258"/>
    <cellStyle name="Примечание 199" xfId="19259"/>
    <cellStyle name="Примечание 199 2" xfId="19260"/>
    <cellStyle name="Примечание 2" xfId="437"/>
    <cellStyle name="Примечание 2 10" xfId="19261"/>
    <cellStyle name="Примечание 2 11" xfId="19262"/>
    <cellStyle name="Примечание 2 12" xfId="19263"/>
    <cellStyle name="Примечание 2 13" xfId="19264"/>
    <cellStyle name="Примечание 2 14" xfId="19265"/>
    <cellStyle name="Примечание 2 15" xfId="19266"/>
    <cellStyle name="Примечание 2 16" xfId="19267"/>
    <cellStyle name="Примечание 2 17" xfId="19268"/>
    <cellStyle name="Примечание 2 18" xfId="19269"/>
    <cellStyle name="Примечание 2 2" xfId="438"/>
    <cellStyle name="Примечание 2 2 10" xfId="19270"/>
    <cellStyle name="Примечание 2 2 2" xfId="19271"/>
    <cellStyle name="Примечание 2 2 2 2" xfId="19272"/>
    <cellStyle name="Примечание 2 2 3" xfId="19273"/>
    <cellStyle name="Примечание 2 2 3 2" xfId="19274"/>
    <cellStyle name="Примечание 2 2 4" xfId="19275"/>
    <cellStyle name="Примечание 2 2 5" xfId="19276"/>
    <cellStyle name="Примечание 2 2 6" xfId="19277"/>
    <cellStyle name="Примечание 2 2 7" xfId="19278"/>
    <cellStyle name="Примечание 2 2 8" xfId="19279"/>
    <cellStyle name="Примечание 2 2 9" xfId="19280"/>
    <cellStyle name="Примечание 2 3" xfId="439"/>
    <cellStyle name="Примечание 2 3 10" xfId="19281"/>
    <cellStyle name="Примечание 2 3 2" xfId="19282"/>
    <cellStyle name="Примечание 2 3 2 2" xfId="19283"/>
    <cellStyle name="Примечание 2 3 3" xfId="19284"/>
    <cellStyle name="Примечание 2 3 3 2" xfId="19285"/>
    <cellStyle name="Примечание 2 3 4" xfId="19286"/>
    <cellStyle name="Примечание 2 3 5" xfId="19287"/>
    <cellStyle name="Примечание 2 3 6" xfId="19288"/>
    <cellStyle name="Примечание 2 3 7" xfId="19289"/>
    <cellStyle name="Примечание 2 3 8" xfId="19290"/>
    <cellStyle name="Примечание 2 3 9" xfId="19291"/>
    <cellStyle name="Примечание 2 4" xfId="440"/>
    <cellStyle name="Примечание 2 4 10" xfId="19292"/>
    <cellStyle name="Примечание 2 4 2" xfId="19293"/>
    <cellStyle name="Примечание 2 4 3" xfId="19294"/>
    <cellStyle name="Примечание 2 4 4" xfId="19295"/>
    <cellStyle name="Примечание 2 4 5" xfId="19296"/>
    <cellStyle name="Примечание 2 4 6" xfId="19297"/>
    <cellStyle name="Примечание 2 4 7" xfId="19298"/>
    <cellStyle name="Примечание 2 4 8" xfId="19299"/>
    <cellStyle name="Примечание 2 4 9" xfId="19300"/>
    <cellStyle name="Примечание 2 5" xfId="441"/>
    <cellStyle name="Примечание 2 5 10" xfId="19301"/>
    <cellStyle name="Примечание 2 5 2" xfId="19302"/>
    <cellStyle name="Примечание 2 5 3" xfId="19303"/>
    <cellStyle name="Примечание 2 5 4" xfId="19304"/>
    <cellStyle name="Примечание 2 5 5" xfId="19305"/>
    <cellStyle name="Примечание 2 5 6" xfId="19306"/>
    <cellStyle name="Примечание 2 5 7" xfId="19307"/>
    <cellStyle name="Примечание 2 5 8" xfId="19308"/>
    <cellStyle name="Примечание 2 5 9" xfId="19309"/>
    <cellStyle name="Примечание 2 6" xfId="19310"/>
    <cellStyle name="Примечание 2 6 10" xfId="19311"/>
    <cellStyle name="Примечание 2 6 2" xfId="19312"/>
    <cellStyle name="Примечание 2 6 3" xfId="19313"/>
    <cellStyle name="Примечание 2 6 4" xfId="19314"/>
    <cellStyle name="Примечание 2 6 5" xfId="19315"/>
    <cellStyle name="Примечание 2 6 6" xfId="19316"/>
    <cellStyle name="Примечание 2 6 7" xfId="19317"/>
    <cellStyle name="Примечание 2 6 8" xfId="19318"/>
    <cellStyle name="Примечание 2 6 9" xfId="19319"/>
    <cellStyle name="Примечание 2 7" xfId="19320"/>
    <cellStyle name="Примечание 2 7 10" xfId="19321"/>
    <cellStyle name="Примечание 2 7 2" xfId="19322"/>
    <cellStyle name="Примечание 2 7 3" xfId="19323"/>
    <cellStyle name="Примечание 2 7 4" xfId="19324"/>
    <cellStyle name="Примечание 2 7 5" xfId="19325"/>
    <cellStyle name="Примечание 2 7 6" xfId="19326"/>
    <cellStyle name="Примечание 2 7 7" xfId="19327"/>
    <cellStyle name="Примечание 2 7 8" xfId="19328"/>
    <cellStyle name="Примечание 2 7 9" xfId="19329"/>
    <cellStyle name="Примечание 2 8" xfId="19330"/>
    <cellStyle name="Примечание 2 9" xfId="19331"/>
    <cellStyle name="Примечание 20" xfId="19332"/>
    <cellStyle name="Примечание 200" xfId="19333"/>
    <cellStyle name="Примечание 200 2" xfId="19334"/>
    <cellStyle name="Примечание 201" xfId="19335"/>
    <cellStyle name="Примечание 201 2" xfId="19336"/>
    <cellStyle name="Примечание 202" xfId="19337"/>
    <cellStyle name="Примечание 202 2" xfId="19338"/>
    <cellStyle name="Примечание 203" xfId="19339"/>
    <cellStyle name="Примечание 203 2" xfId="19340"/>
    <cellStyle name="Примечание 204" xfId="19341"/>
    <cellStyle name="Примечание 204 2" xfId="19342"/>
    <cellStyle name="Примечание 205" xfId="19343"/>
    <cellStyle name="Примечание 205 2" xfId="19344"/>
    <cellStyle name="Примечание 206" xfId="19345"/>
    <cellStyle name="Примечание 206 2" xfId="19346"/>
    <cellStyle name="Примечание 207" xfId="19347"/>
    <cellStyle name="Примечание 207 2" xfId="19348"/>
    <cellStyle name="Примечание 208" xfId="19349"/>
    <cellStyle name="Примечание 208 2" xfId="19350"/>
    <cellStyle name="Примечание 209" xfId="19351"/>
    <cellStyle name="Примечание 209 2" xfId="19352"/>
    <cellStyle name="Примечание 21" xfId="19353"/>
    <cellStyle name="Примечание 21 2" xfId="19354"/>
    <cellStyle name="Примечание 210" xfId="19355"/>
    <cellStyle name="Примечание 210 2" xfId="19356"/>
    <cellStyle name="Примечание 211" xfId="19357"/>
    <cellStyle name="Примечание 211 2" xfId="19358"/>
    <cellStyle name="Примечание 212" xfId="19359"/>
    <cellStyle name="Примечание 212 2" xfId="19360"/>
    <cellStyle name="Примечание 213" xfId="19361"/>
    <cellStyle name="Примечание 213 2" xfId="19362"/>
    <cellStyle name="Примечание 214" xfId="19363"/>
    <cellStyle name="Примечание 214 2" xfId="19364"/>
    <cellStyle name="Примечание 215" xfId="19365"/>
    <cellStyle name="Примечание 215 2" xfId="19366"/>
    <cellStyle name="Примечание 216" xfId="19367"/>
    <cellStyle name="Примечание 216 2" xfId="19368"/>
    <cellStyle name="Примечание 217" xfId="19369"/>
    <cellStyle name="Примечание 217 2" xfId="19370"/>
    <cellStyle name="Примечание 217 3" xfId="19371"/>
    <cellStyle name="Примечание 218" xfId="19372"/>
    <cellStyle name="Примечание 218 2" xfId="19373"/>
    <cellStyle name="Примечание 218 3" xfId="19374"/>
    <cellStyle name="Примечание 218 4" xfId="19375"/>
    <cellStyle name="Примечание 219" xfId="19376"/>
    <cellStyle name="Примечание 22" xfId="19377"/>
    <cellStyle name="Примечание 22 2" xfId="19378"/>
    <cellStyle name="Примечание 220" xfId="19379"/>
    <cellStyle name="Примечание 221" xfId="19380"/>
    <cellStyle name="Примечание 221 2" xfId="19381"/>
    <cellStyle name="Примечание 221 3" xfId="19382"/>
    <cellStyle name="Примечание 222" xfId="19383"/>
    <cellStyle name="Примечание 222 2" xfId="19384"/>
    <cellStyle name="Примечание 222 3" xfId="19385"/>
    <cellStyle name="Примечание 223" xfId="19386"/>
    <cellStyle name="Примечание 223 2" xfId="19387"/>
    <cellStyle name="Примечание 224" xfId="19388"/>
    <cellStyle name="Примечание 225" xfId="19389"/>
    <cellStyle name="Примечание 226" xfId="19390"/>
    <cellStyle name="Примечание 227" xfId="19391"/>
    <cellStyle name="Примечание 228" xfId="19392"/>
    <cellStyle name="Примечание 229" xfId="19393"/>
    <cellStyle name="Примечание 23" xfId="19394"/>
    <cellStyle name="Примечание 23 2" xfId="19395"/>
    <cellStyle name="Примечание 230" xfId="19396"/>
    <cellStyle name="Примечание 230 2" xfId="19397"/>
    <cellStyle name="Примечание 230 2 2" xfId="19398"/>
    <cellStyle name="Примечание 231" xfId="19399"/>
    <cellStyle name="Примечание 232" xfId="19400"/>
    <cellStyle name="Примечание 233" xfId="19401"/>
    <cellStyle name="Примечание 234" xfId="19402"/>
    <cellStyle name="Примечание 235" xfId="19403"/>
    <cellStyle name="Примечание 236" xfId="19404"/>
    <cellStyle name="Примечание 237" xfId="19405"/>
    <cellStyle name="Примечание 238" xfId="19406"/>
    <cellStyle name="Примечание 239" xfId="19407"/>
    <cellStyle name="Примечание 24" xfId="19408"/>
    <cellStyle name="Примечание 24 2" xfId="19409"/>
    <cellStyle name="Примечание 240" xfId="19410"/>
    <cellStyle name="Примечание 241" xfId="19411"/>
    <cellStyle name="Примечание 242" xfId="19412"/>
    <cellStyle name="Примечание 243" xfId="19413"/>
    <cellStyle name="Примечание 244" xfId="19414"/>
    <cellStyle name="Примечание 245" xfId="19415"/>
    <cellStyle name="Примечание 246" xfId="19416"/>
    <cellStyle name="Примечание 247" xfId="19417"/>
    <cellStyle name="Примечание 248" xfId="19418"/>
    <cellStyle name="Примечание 249" xfId="19419"/>
    <cellStyle name="Примечание 25" xfId="19420"/>
    <cellStyle name="Примечание 25 2" xfId="19421"/>
    <cellStyle name="Примечание 250" xfId="19422"/>
    <cellStyle name="Примечание 251" xfId="19423"/>
    <cellStyle name="Примечание 252" xfId="19424"/>
    <cellStyle name="Примечание 253" xfId="19425"/>
    <cellStyle name="Примечание 254" xfId="19426"/>
    <cellStyle name="Примечание 255" xfId="19427"/>
    <cellStyle name="Примечание 26" xfId="19428"/>
    <cellStyle name="Примечание 26 2" xfId="19429"/>
    <cellStyle name="Примечание 27" xfId="19430"/>
    <cellStyle name="Примечание 27 2" xfId="19431"/>
    <cellStyle name="Примечание 28" xfId="19432"/>
    <cellStyle name="Примечание 28 2" xfId="19433"/>
    <cellStyle name="Примечание 29" xfId="19434"/>
    <cellStyle name="Примечание 29 2" xfId="19435"/>
    <cellStyle name="Примечание 3" xfId="442"/>
    <cellStyle name="Примечание 3 10" xfId="19436"/>
    <cellStyle name="Примечание 3 2" xfId="19437"/>
    <cellStyle name="Примечание 3 2 2" xfId="19438"/>
    <cellStyle name="Примечание 3 2 3" xfId="19439"/>
    <cellStyle name="Примечание 3 3" xfId="19440"/>
    <cellStyle name="Примечание 3 4" xfId="19441"/>
    <cellStyle name="Примечание 3 5" xfId="19442"/>
    <cellStyle name="Примечание 3 6" xfId="19443"/>
    <cellStyle name="Примечание 3 7" xfId="19444"/>
    <cellStyle name="Примечание 3 8" xfId="19445"/>
    <cellStyle name="Примечание 3 9" xfId="19446"/>
    <cellStyle name="Примечание 30" xfId="19447"/>
    <cellStyle name="Примечание 30 2" xfId="19448"/>
    <cellStyle name="Примечание 31" xfId="19449"/>
    <cellStyle name="Примечание 31 2" xfId="19450"/>
    <cellStyle name="Примечание 32" xfId="19451"/>
    <cellStyle name="Примечание 32 2" xfId="19452"/>
    <cellStyle name="Примечание 33" xfId="19453"/>
    <cellStyle name="Примечание 33 2" xfId="19454"/>
    <cellStyle name="Примечание 34" xfId="19455"/>
    <cellStyle name="Примечание 34 2" xfId="19456"/>
    <cellStyle name="Примечание 35" xfId="19457"/>
    <cellStyle name="Примечание 35 2" xfId="19458"/>
    <cellStyle name="Примечание 36" xfId="19459"/>
    <cellStyle name="Примечание 36 2" xfId="19460"/>
    <cellStyle name="Примечание 37" xfId="19461"/>
    <cellStyle name="Примечание 37 2" xfId="19462"/>
    <cellStyle name="Примечание 38" xfId="19463"/>
    <cellStyle name="Примечание 38 2" xfId="19464"/>
    <cellStyle name="Примечание 39" xfId="19465"/>
    <cellStyle name="Примечание 39 2" xfId="19466"/>
    <cellStyle name="Примечание 4" xfId="443"/>
    <cellStyle name="Примечание 4 10" xfId="19467"/>
    <cellStyle name="Примечание 4 2" xfId="19468"/>
    <cellStyle name="Примечание 4 2 2" xfId="19469"/>
    <cellStyle name="Примечание 4 2 3" xfId="19470"/>
    <cellStyle name="Примечание 4 3" xfId="19471"/>
    <cellStyle name="Примечание 4 4" xfId="19472"/>
    <cellStyle name="Примечание 4 5" xfId="19473"/>
    <cellStyle name="Примечание 4 6" xfId="19474"/>
    <cellStyle name="Примечание 4 7" xfId="19475"/>
    <cellStyle name="Примечание 4 8" xfId="19476"/>
    <cellStyle name="Примечание 4 9" xfId="19477"/>
    <cellStyle name="Примечание 40" xfId="19478"/>
    <cellStyle name="Примечание 40 2" xfId="19479"/>
    <cellStyle name="Примечание 41" xfId="19480"/>
    <cellStyle name="Примечание 41 2" xfId="19481"/>
    <cellStyle name="Примечание 42" xfId="19482"/>
    <cellStyle name="Примечание 42 2" xfId="19483"/>
    <cellStyle name="Примечание 43" xfId="19484"/>
    <cellStyle name="Примечание 43 2" xfId="19485"/>
    <cellStyle name="Примечание 44" xfId="19486"/>
    <cellStyle name="Примечание 44 2" xfId="19487"/>
    <cellStyle name="Примечание 45" xfId="19488"/>
    <cellStyle name="Примечание 45 2" xfId="19489"/>
    <cellStyle name="Примечание 46" xfId="19490"/>
    <cellStyle name="Примечание 46 2" xfId="19491"/>
    <cellStyle name="Примечание 47" xfId="19492"/>
    <cellStyle name="Примечание 47 2" xfId="19493"/>
    <cellStyle name="Примечание 48" xfId="19494"/>
    <cellStyle name="Примечание 48 2" xfId="19495"/>
    <cellStyle name="Примечание 49" xfId="19496"/>
    <cellStyle name="Примечание 49 2" xfId="19497"/>
    <cellStyle name="Примечание 5" xfId="444"/>
    <cellStyle name="Примечание 5 10" xfId="19498"/>
    <cellStyle name="Примечание 5 2" xfId="19499"/>
    <cellStyle name="Примечание 5 2 2" xfId="19500"/>
    <cellStyle name="Примечание 5 2 3" xfId="19501"/>
    <cellStyle name="Примечание 5 3" xfId="19502"/>
    <cellStyle name="Примечание 5 4" xfId="19503"/>
    <cellStyle name="Примечание 5 5" xfId="19504"/>
    <cellStyle name="Примечание 5 6" xfId="19505"/>
    <cellStyle name="Примечание 5 7" xfId="19506"/>
    <cellStyle name="Примечание 5 8" xfId="19507"/>
    <cellStyle name="Примечание 5 9" xfId="19508"/>
    <cellStyle name="Примечание 50" xfId="19509"/>
    <cellStyle name="Примечание 50 2" xfId="19510"/>
    <cellStyle name="Примечание 51" xfId="19511"/>
    <cellStyle name="Примечание 51 2" xfId="19512"/>
    <cellStyle name="Примечание 52" xfId="19513"/>
    <cellStyle name="Примечание 52 2" xfId="19514"/>
    <cellStyle name="Примечание 53" xfId="19515"/>
    <cellStyle name="Примечание 53 2" xfId="19516"/>
    <cellStyle name="Примечание 54" xfId="19517"/>
    <cellStyle name="Примечание 54 2" xfId="19518"/>
    <cellStyle name="Примечание 55" xfId="19519"/>
    <cellStyle name="Примечание 55 2" xfId="19520"/>
    <cellStyle name="Примечание 56" xfId="19521"/>
    <cellStyle name="Примечание 56 2" xfId="19522"/>
    <cellStyle name="Примечание 57" xfId="19523"/>
    <cellStyle name="Примечание 57 2" xfId="19524"/>
    <cellStyle name="Примечание 58" xfId="19525"/>
    <cellStyle name="Примечание 58 2" xfId="19526"/>
    <cellStyle name="Примечание 59" xfId="19527"/>
    <cellStyle name="Примечание 59 2" xfId="19528"/>
    <cellStyle name="Примечание 6" xfId="445"/>
    <cellStyle name="Примечание 6 10" xfId="19529"/>
    <cellStyle name="Примечание 6 2" xfId="19530"/>
    <cellStyle name="Примечание 6 3" xfId="19531"/>
    <cellStyle name="Примечание 6 4" xfId="19532"/>
    <cellStyle name="Примечание 6 5" xfId="19533"/>
    <cellStyle name="Примечание 6 6" xfId="19534"/>
    <cellStyle name="Примечание 6 7" xfId="19535"/>
    <cellStyle name="Примечание 6 8" xfId="19536"/>
    <cellStyle name="Примечание 6 9" xfId="19537"/>
    <cellStyle name="Примечание 60" xfId="19538"/>
    <cellStyle name="Примечание 60 2" xfId="19539"/>
    <cellStyle name="Примечание 61" xfId="19540"/>
    <cellStyle name="Примечание 61 2" xfId="19541"/>
    <cellStyle name="Примечание 62" xfId="19542"/>
    <cellStyle name="Примечание 62 2" xfId="19543"/>
    <cellStyle name="Примечание 63" xfId="19544"/>
    <cellStyle name="Примечание 63 2" xfId="19545"/>
    <cellStyle name="Примечание 64" xfId="19546"/>
    <cellStyle name="Примечание 64 2" xfId="19547"/>
    <cellStyle name="Примечание 65" xfId="19548"/>
    <cellStyle name="Примечание 65 2" xfId="19549"/>
    <cellStyle name="Примечание 66" xfId="19550"/>
    <cellStyle name="Примечание 66 2" xfId="19551"/>
    <cellStyle name="Примечание 67" xfId="19552"/>
    <cellStyle name="Примечание 67 2" xfId="19553"/>
    <cellStyle name="Примечание 68" xfId="19554"/>
    <cellStyle name="Примечание 68 2" xfId="19555"/>
    <cellStyle name="Примечание 69" xfId="19556"/>
    <cellStyle name="Примечание 69 2" xfId="19557"/>
    <cellStyle name="Примечание 7" xfId="19558"/>
    <cellStyle name="Примечание 7 10" xfId="19559"/>
    <cellStyle name="Примечание 7 2" xfId="19560"/>
    <cellStyle name="Примечание 7 3" xfId="19561"/>
    <cellStyle name="Примечание 7 4" xfId="19562"/>
    <cellStyle name="Примечание 7 5" xfId="19563"/>
    <cellStyle name="Примечание 7 6" xfId="19564"/>
    <cellStyle name="Примечание 7 7" xfId="19565"/>
    <cellStyle name="Примечание 7 8" xfId="19566"/>
    <cellStyle name="Примечание 7 9" xfId="19567"/>
    <cellStyle name="Примечание 70" xfId="19568"/>
    <cellStyle name="Примечание 70 2" xfId="19569"/>
    <cellStyle name="Примечание 71" xfId="19570"/>
    <cellStyle name="Примечание 71 2" xfId="19571"/>
    <cellStyle name="Примечание 72" xfId="19572"/>
    <cellStyle name="Примечание 72 2" xfId="19573"/>
    <cellStyle name="Примечание 73" xfId="19574"/>
    <cellStyle name="Примечание 73 2" xfId="19575"/>
    <cellStyle name="Примечание 74" xfId="19576"/>
    <cellStyle name="Примечание 74 2" xfId="19577"/>
    <cellStyle name="Примечание 75" xfId="19578"/>
    <cellStyle name="Примечание 75 2" xfId="19579"/>
    <cellStyle name="Примечание 76" xfId="19580"/>
    <cellStyle name="Примечание 76 2" xfId="19581"/>
    <cellStyle name="Примечание 77" xfId="19582"/>
    <cellStyle name="Примечание 77 2" xfId="19583"/>
    <cellStyle name="Примечание 78" xfId="19584"/>
    <cellStyle name="Примечание 78 2" xfId="19585"/>
    <cellStyle name="Примечание 79" xfId="19586"/>
    <cellStyle name="Примечание 79 2" xfId="19587"/>
    <cellStyle name="Примечание 8" xfId="19588"/>
    <cellStyle name="Примечание 8 10" xfId="19589"/>
    <cellStyle name="Примечание 8 2" xfId="19590"/>
    <cellStyle name="Примечание 8 3" xfId="19591"/>
    <cellStyle name="Примечание 8 4" xfId="19592"/>
    <cellStyle name="Примечание 8 5" xfId="19593"/>
    <cellStyle name="Примечание 8 6" xfId="19594"/>
    <cellStyle name="Примечание 8 7" xfId="19595"/>
    <cellStyle name="Примечание 8 8" xfId="19596"/>
    <cellStyle name="Примечание 8 9" xfId="19597"/>
    <cellStyle name="Примечание 80" xfId="19598"/>
    <cellStyle name="Примечание 80 2" xfId="19599"/>
    <cellStyle name="Примечание 81" xfId="19600"/>
    <cellStyle name="Примечание 81 2" xfId="19601"/>
    <cellStyle name="Примечание 82" xfId="19602"/>
    <cellStyle name="Примечание 82 2" xfId="19603"/>
    <cellStyle name="Примечание 83" xfId="19604"/>
    <cellStyle name="Примечание 83 2" xfId="19605"/>
    <cellStyle name="Примечание 84" xfId="19606"/>
    <cellStyle name="Примечание 84 2" xfId="19607"/>
    <cellStyle name="Примечание 85" xfId="19608"/>
    <cellStyle name="Примечание 85 2" xfId="19609"/>
    <cellStyle name="Примечание 86" xfId="19610"/>
    <cellStyle name="Примечание 86 2" xfId="19611"/>
    <cellStyle name="Примечание 87" xfId="19612"/>
    <cellStyle name="Примечание 87 2" xfId="19613"/>
    <cellStyle name="Примечание 88" xfId="19614"/>
    <cellStyle name="Примечание 88 2" xfId="19615"/>
    <cellStyle name="Примечание 89" xfId="19616"/>
    <cellStyle name="Примечание 89 2" xfId="19617"/>
    <cellStyle name="Примечание 9" xfId="19618"/>
    <cellStyle name="Примечание 9 10" xfId="19619"/>
    <cellStyle name="Примечание 9 2" xfId="19620"/>
    <cellStyle name="Примечание 9 3" xfId="19621"/>
    <cellStyle name="Примечание 9 4" xfId="19622"/>
    <cellStyle name="Примечание 9 5" xfId="19623"/>
    <cellStyle name="Примечание 9 6" xfId="19624"/>
    <cellStyle name="Примечание 9 7" xfId="19625"/>
    <cellStyle name="Примечание 9 8" xfId="19626"/>
    <cellStyle name="Примечание 9 9" xfId="19627"/>
    <cellStyle name="Примечание 90" xfId="19628"/>
    <cellStyle name="Примечание 90 2" xfId="19629"/>
    <cellStyle name="Примечание 91" xfId="19630"/>
    <cellStyle name="Примечание 91 2" xfId="19631"/>
    <cellStyle name="Примечание 92" xfId="19632"/>
    <cellStyle name="Примечание 92 2" xfId="19633"/>
    <cellStyle name="Примечание 93" xfId="19634"/>
    <cellStyle name="Примечание 93 2" xfId="19635"/>
    <cellStyle name="Примечание 94" xfId="19636"/>
    <cellStyle name="Примечание 94 2" xfId="19637"/>
    <cellStyle name="Примечание 95" xfId="19638"/>
    <cellStyle name="Примечание 95 2" xfId="19639"/>
    <cellStyle name="Примечание 96" xfId="19640"/>
    <cellStyle name="Примечание 96 2" xfId="19641"/>
    <cellStyle name="Примечание 97" xfId="19642"/>
    <cellStyle name="Примечание 97 2" xfId="19643"/>
    <cellStyle name="Примечание 98" xfId="19644"/>
    <cellStyle name="Примечание 98 2" xfId="19645"/>
    <cellStyle name="Примечание 99" xfId="19646"/>
    <cellStyle name="Примечание 99 2" xfId="19647"/>
    <cellStyle name="Процент" xfId="19648"/>
    <cellStyle name="Процент 2" xfId="19649"/>
    <cellStyle name="Процентный" xfId="474" builtinId="5"/>
    <cellStyle name="Процентный 10" xfId="19650"/>
    <cellStyle name="Процентный 10 2" xfId="19651"/>
    <cellStyle name="Процентный 10 2 2" xfId="19652"/>
    <cellStyle name="Процентный 10 2 2 2" xfId="19653"/>
    <cellStyle name="Процентный 10 2 3" xfId="19654"/>
    <cellStyle name="Процентный 10 2 4" xfId="19655"/>
    <cellStyle name="Процентный 10 3" xfId="19656"/>
    <cellStyle name="Процентный 10 4" xfId="19657"/>
    <cellStyle name="Процентный 11" xfId="19658"/>
    <cellStyle name="Процентный 12" xfId="19659"/>
    <cellStyle name="Процентный 12 2" xfId="19660"/>
    <cellStyle name="Процентный 12 2 2" xfId="19661"/>
    <cellStyle name="Процентный 12 2 2 2" xfId="19662"/>
    <cellStyle name="Процентный 12 2 3" xfId="19663"/>
    <cellStyle name="Процентный 12 3" xfId="19664"/>
    <cellStyle name="Процентный 12 3 2" xfId="19665"/>
    <cellStyle name="Процентный 12 3 2 2" xfId="19666"/>
    <cellStyle name="Процентный 12 3 3" xfId="19667"/>
    <cellStyle name="Процентный 12 4" xfId="19668"/>
    <cellStyle name="Процентный 12 4 2" xfId="19669"/>
    <cellStyle name="Процентный 12 5" xfId="19670"/>
    <cellStyle name="Процентный 12 5 2" xfId="19671"/>
    <cellStyle name="Процентный 12 6" xfId="19672"/>
    <cellStyle name="Процентный 13" xfId="19673"/>
    <cellStyle name="Процентный 14" xfId="19674"/>
    <cellStyle name="Процентный 2" xfId="446"/>
    <cellStyle name="Процентный 2 10" xfId="19675"/>
    <cellStyle name="Процентный 2 11" xfId="19676"/>
    <cellStyle name="Процентный 2 12" xfId="19677"/>
    <cellStyle name="Процентный 2 13" xfId="19678"/>
    <cellStyle name="Процентный 2 14" xfId="19679"/>
    <cellStyle name="Процентный 2 15" xfId="19680"/>
    <cellStyle name="Процентный 2 16" xfId="19681"/>
    <cellStyle name="Процентный 2 17" xfId="19682"/>
    <cellStyle name="Процентный 2 18" xfId="19683"/>
    <cellStyle name="Процентный 2 19" xfId="19684"/>
    <cellStyle name="Процентный 2 2" xfId="447"/>
    <cellStyle name="Процентный 2 2 10" xfId="19685"/>
    <cellStyle name="Процентный 2 2 11" xfId="19686"/>
    <cellStyle name="Процентный 2 2 12" xfId="19687"/>
    <cellStyle name="Процентный 2 2 13" xfId="19688"/>
    <cellStyle name="Процентный 2 2 14" xfId="19689"/>
    <cellStyle name="Процентный 2 2 15" xfId="19690"/>
    <cellStyle name="Процентный 2 2 16" xfId="19691"/>
    <cellStyle name="Процентный 2 2 17" xfId="19692"/>
    <cellStyle name="Процентный 2 2 18" xfId="19693"/>
    <cellStyle name="Процентный 2 2 19" xfId="19694"/>
    <cellStyle name="Процентный 2 2 2" xfId="448"/>
    <cellStyle name="Процентный 2 2 20" xfId="19695"/>
    <cellStyle name="Процентный 2 2 21" xfId="19696"/>
    <cellStyle name="Процентный 2 2 22" xfId="19697"/>
    <cellStyle name="Процентный 2 2 23" xfId="19698"/>
    <cellStyle name="Процентный 2 2 24" xfId="19699"/>
    <cellStyle name="Процентный 2 2 3" xfId="19700"/>
    <cellStyle name="Процентный 2 2 4" xfId="19701"/>
    <cellStyle name="Процентный 2 2 5" xfId="19702"/>
    <cellStyle name="Процентный 2 2 6" xfId="19703"/>
    <cellStyle name="Процентный 2 2 7" xfId="19704"/>
    <cellStyle name="Процентный 2 2 8" xfId="19705"/>
    <cellStyle name="Процентный 2 2 9" xfId="19706"/>
    <cellStyle name="Процентный 2 20" xfId="19707"/>
    <cellStyle name="Процентный 2 3" xfId="449"/>
    <cellStyle name="Процентный 2 4" xfId="19708"/>
    <cellStyle name="Процентный 2 5" xfId="19709"/>
    <cellStyle name="Процентный 2 6" xfId="19710"/>
    <cellStyle name="Процентный 2 7" xfId="19711"/>
    <cellStyle name="Процентный 2 8" xfId="19712"/>
    <cellStyle name="Процентный 2 9" xfId="19713"/>
    <cellStyle name="Процентный 3" xfId="450"/>
    <cellStyle name="Процентный 3 10" xfId="19714"/>
    <cellStyle name="Процентный 3 11" xfId="19715"/>
    <cellStyle name="Процентный 3 12" xfId="19716"/>
    <cellStyle name="Процентный 3 13" xfId="19717"/>
    <cellStyle name="Процентный 3 14" xfId="19718"/>
    <cellStyle name="Процентный 3 15" xfId="19719"/>
    <cellStyle name="Процентный 3 2" xfId="451"/>
    <cellStyle name="Процентный 3 2 2" xfId="452"/>
    <cellStyle name="Процентный 3 3" xfId="453"/>
    <cellStyle name="Процентный 3 4" xfId="485"/>
    <cellStyle name="Процентный 3 5" xfId="19720"/>
    <cellStyle name="Процентный 3 6" xfId="19721"/>
    <cellStyle name="Процентный 3 7" xfId="19722"/>
    <cellStyle name="Процентный 3 8" xfId="19723"/>
    <cellStyle name="Процентный 3 9" xfId="19724"/>
    <cellStyle name="Процентный 4" xfId="454"/>
    <cellStyle name="Процентный 4 2" xfId="455"/>
    <cellStyle name="Процентный 4 3" xfId="19725"/>
    <cellStyle name="Процентный 4 4" xfId="19726"/>
    <cellStyle name="Процентный 4 5" xfId="19727"/>
    <cellStyle name="Процентный 4 6" xfId="19728"/>
    <cellStyle name="Процентный 4 7" xfId="19729"/>
    <cellStyle name="Процентный 4 8" xfId="19730"/>
    <cellStyle name="Процентный 4 9" xfId="19731"/>
    <cellStyle name="Процентный 5" xfId="456"/>
    <cellStyle name="Процентный 5 2" xfId="19732"/>
    <cellStyle name="Процентный 5 3" xfId="19733"/>
    <cellStyle name="Процентный 5 4" xfId="19734"/>
    <cellStyle name="Процентный 6" xfId="457"/>
    <cellStyle name="Процентный 6 2" xfId="19735"/>
    <cellStyle name="Процентный 6 3" xfId="19736"/>
    <cellStyle name="Процентный 6 4" xfId="19737"/>
    <cellStyle name="Процентный 7" xfId="478"/>
    <cellStyle name="Процентный 7 2" xfId="19738"/>
    <cellStyle name="Процентный 7 3" xfId="19739"/>
    <cellStyle name="Процентный 7 4" xfId="19740"/>
    <cellStyle name="Процентный 8" xfId="19741"/>
    <cellStyle name="Процентный 9" xfId="19742"/>
    <cellStyle name="Пункт 2 2" xfId="19743"/>
    <cellStyle name="Пункт 2 2 2" xfId="19744"/>
    <cellStyle name="Расчет" xfId="19745"/>
    <cellStyle name="Сверхулин" xfId="19746"/>
    <cellStyle name="Сверхулин 2" xfId="19747"/>
    <cellStyle name="Сверхулин 2 2" xfId="19748"/>
    <cellStyle name="Сверхулин 2 2 2" xfId="19749"/>
    <cellStyle name="Сверхулин 2 3" xfId="19750"/>
    <cellStyle name="Сверхулин 2 3 2" xfId="19751"/>
    <cellStyle name="Сверхулин 2 4" xfId="19752"/>
    <cellStyle name="Сверхулин 3" xfId="19753"/>
    <cellStyle name="Сверхулин 3 2" xfId="19754"/>
    <cellStyle name="Сверхулин 3 2 2" xfId="19755"/>
    <cellStyle name="Сверхулин 3 3" xfId="19756"/>
    <cellStyle name="Сверхулин 3 3 2" xfId="19757"/>
    <cellStyle name="Сверхулин 3 4" xfId="19758"/>
    <cellStyle name="Сверхулин 4" xfId="19759"/>
    <cellStyle name="Сверхулин 4 2" xfId="19760"/>
    <cellStyle name="Сверхулин 4 2 2" xfId="19761"/>
    <cellStyle name="Сверхулин 4 3" xfId="19762"/>
    <cellStyle name="Сверхулин 4 3 2" xfId="19763"/>
    <cellStyle name="Сверхулин 4 4" xfId="19764"/>
    <cellStyle name="Сверхулин 5" xfId="19765"/>
    <cellStyle name="Сверхулин 5 2" xfId="19766"/>
    <cellStyle name="Сверхулин 6" xfId="19767"/>
    <cellStyle name="Сверхулин 6 2" xfId="19768"/>
    <cellStyle name="Сверхулин 7" xfId="19769"/>
    <cellStyle name="Связанная ячейка 10" xfId="19770"/>
    <cellStyle name="Связанная ячейка 100" xfId="19771"/>
    <cellStyle name="Связанная ячейка 101" xfId="19772"/>
    <cellStyle name="Связанная ячейка 102" xfId="19773"/>
    <cellStyle name="Связанная ячейка 103" xfId="19774"/>
    <cellStyle name="Связанная ячейка 104" xfId="19775"/>
    <cellStyle name="Связанная ячейка 105" xfId="19776"/>
    <cellStyle name="Связанная ячейка 106" xfId="19777"/>
    <cellStyle name="Связанная ячейка 107" xfId="19778"/>
    <cellStyle name="Связанная ячейка 108" xfId="19779"/>
    <cellStyle name="Связанная ячейка 109" xfId="19780"/>
    <cellStyle name="Связанная ячейка 11" xfId="19781"/>
    <cellStyle name="Связанная ячейка 110" xfId="19782"/>
    <cellStyle name="Связанная ячейка 111" xfId="19783"/>
    <cellStyle name="Связанная ячейка 112" xfId="19784"/>
    <cellStyle name="Связанная ячейка 113" xfId="19785"/>
    <cellStyle name="Связанная ячейка 114" xfId="19786"/>
    <cellStyle name="Связанная ячейка 115" xfId="19787"/>
    <cellStyle name="Связанная ячейка 116" xfId="19788"/>
    <cellStyle name="Связанная ячейка 117" xfId="19789"/>
    <cellStyle name="Связанная ячейка 118" xfId="19790"/>
    <cellStyle name="Связанная ячейка 119" xfId="19791"/>
    <cellStyle name="Связанная ячейка 12" xfId="19792"/>
    <cellStyle name="Связанная ячейка 120" xfId="19793"/>
    <cellStyle name="Связанная ячейка 121" xfId="19794"/>
    <cellStyle name="Связанная ячейка 122" xfId="19795"/>
    <cellStyle name="Связанная ячейка 123" xfId="19796"/>
    <cellStyle name="Связанная ячейка 124" xfId="19797"/>
    <cellStyle name="Связанная ячейка 125" xfId="19798"/>
    <cellStyle name="Связанная ячейка 126" xfId="19799"/>
    <cellStyle name="Связанная ячейка 127" xfId="19800"/>
    <cellStyle name="Связанная ячейка 128" xfId="19801"/>
    <cellStyle name="Связанная ячейка 129" xfId="19802"/>
    <cellStyle name="Связанная ячейка 13" xfId="19803"/>
    <cellStyle name="Связанная ячейка 130" xfId="19804"/>
    <cellStyle name="Связанная ячейка 131" xfId="19805"/>
    <cellStyle name="Связанная ячейка 132" xfId="19806"/>
    <cellStyle name="Связанная ячейка 133" xfId="19807"/>
    <cellStyle name="Связанная ячейка 134" xfId="19808"/>
    <cellStyle name="Связанная ячейка 135" xfId="19809"/>
    <cellStyle name="Связанная ячейка 136" xfId="19810"/>
    <cellStyle name="Связанная ячейка 137" xfId="19811"/>
    <cellStyle name="Связанная ячейка 138" xfId="19812"/>
    <cellStyle name="Связанная ячейка 139" xfId="19813"/>
    <cellStyle name="Связанная ячейка 14" xfId="19814"/>
    <cellStyle name="Связанная ячейка 140" xfId="19815"/>
    <cellStyle name="Связанная ячейка 141" xfId="19816"/>
    <cellStyle name="Связанная ячейка 142" xfId="19817"/>
    <cellStyle name="Связанная ячейка 143" xfId="19818"/>
    <cellStyle name="Связанная ячейка 144" xfId="19819"/>
    <cellStyle name="Связанная ячейка 145" xfId="19820"/>
    <cellStyle name="Связанная ячейка 146" xfId="19821"/>
    <cellStyle name="Связанная ячейка 147" xfId="19822"/>
    <cellStyle name="Связанная ячейка 148" xfId="19823"/>
    <cellStyle name="Связанная ячейка 149" xfId="19824"/>
    <cellStyle name="Связанная ячейка 15" xfId="19825"/>
    <cellStyle name="Связанная ячейка 150" xfId="19826"/>
    <cellStyle name="Связанная ячейка 151" xfId="19827"/>
    <cellStyle name="Связанная ячейка 16" xfId="19828"/>
    <cellStyle name="Связанная ячейка 17" xfId="19829"/>
    <cellStyle name="Связанная ячейка 18" xfId="19830"/>
    <cellStyle name="Связанная ячейка 19" xfId="19831"/>
    <cellStyle name="Связанная ячейка 2" xfId="458"/>
    <cellStyle name="Связанная ячейка 2 2" xfId="19832"/>
    <cellStyle name="Связанная ячейка 2 3" xfId="19833"/>
    <cellStyle name="Связанная ячейка 2 4" xfId="19834"/>
    <cellStyle name="Связанная ячейка 2 5" xfId="19835"/>
    <cellStyle name="Связанная ячейка 2 6" xfId="19836"/>
    <cellStyle name="Связанная ячейка 2 7" xfId="19837"/>
    <cellStyle name="Связанная ячейка 20" xfId="19838"/>
    <cellStyle name="Связанная ячейка 20 2" xfId="19839"/>
    <cellStyle name="Связанная ячейка 21" xfId="19840"/>
    <cellStyle name="Связанная ячейка 22" xfId="19841"/>
    <cellStyle name="Связанная ячейка 23" xfId="19842"/>
    <cellStyle name="Связанная ячейка 24" xfId="19843"/>
    <cellStyle name="Связанная ячейка 25" xfId="19844"/>
    <cellStyle name="Связанная ячейка 26" xfId="19845"/>
    <cellStyle name="Связанная ячейка 27" xfId="19846"/>
    <cellStyle name="Связанная ячейка 28" xfId="19847"/>
    <cellStyle name="Связанная ячейка 29" xfId="19848"/>
    <cellStyle name="Связанная ячейка 3" xfId="19849"/>
    <cellStyle name="Связанная ячейка 30" xfId="19850"/>
    <cellStyle name="Связанная ячейка 31" xfId="19851"/>
    <cellStyle name="Связанная ячейка 32" xfId="19852"/>
    <cellStyle name="Связанная ячейка 33" xfId="19853"/>
    <cellStyle name="Связанная ячейка 34" xfId="19854"/>
    <cellStyle name="Связанная ячейка 35" xfId="19855"/>
    <cellStyle name="Связанная ячейка 36" xfId="19856"/>
    <cellStyle name="Связанная ячейка 37" xfId="19857"/>
    <cellStyle name="Связанная ячейка 38" xfId="19858"/>
    <cellStyle name="Связанная ячейка 39" xfId="19859"/>
    <cellStyle name="Связанная ячейка 4" xfId="19860"/>
    <cellStyle name="Связанная ячейка 40" xfId="19861"/>
    <cellStyle name="Связанная ячейка 41" xfId="19862"/>
    <cellStyle name="Связанная ячейка 42" xfId="19863"/>
    <cellStyle name="Связанная ячейка 43" xfId="19864"/>
    <cellStyle name="Связанная ячейка 44" xfId="19865"/>
    <cellStyle name="Связанная ячейка 45" xfId="19866"/>
    <cellStyle name="Связанная ячейка 46" xfId="19867"/>
    <cellStyle name="Связанная ячейка 47" xfId="19868"/>
    <cellStyle name="Связанная ячейка 48" xfId="19869"/>
    <cellStyle name="Связанная ячейка 49" xfId="19870"/>
    <cellStyle name="Связанная ячейка 5" xfId="19871"/>
    <cellStyle name="Связанная ячейка 50" xfId="19872"/>
    <cellStyle name="Связанная ячейка 51" xfId="19873"/>
    <cellStyle name="Связанная ячейка 52" xfId="19874"/>
    <cellStyle name="Связанная ячейка 53" xfId="19875"/>
    <cellStyle name="Связанная ячейка 54" xfId="19876"/>
    <cellStyle name="Связанная ячейка 55" xfId="19877"/>
    <cellStyle name="Связанная ячейка 56" xfId="19878"/>
    <cellStyle name="Связанная ячейка 57" xfId="19879"/>
    <cellStyle name="Связанная ячейка 58" xfId="19880"/>
    <cellStyle name="Связанная ячейка 59" xfId="19881"/>
    <cellStyle name="Связанная ячейка 6" xfId="19882"/>
    <cellStyle name="Связанная ячейка 60" xfId="19883"/>
    <cellStyle name="Связанная ячейка 61" xfId="19884"/>
    <cellStyle name="Связанная ячейка 62" xfId="19885"/>
    <cellStyle name="Связанная ячейка 63" xfId="19886"/>
    <cellStyle name="Связанная ячейка 64" xfId="19887"/>
    <cellStyle name="Связанная ячейка 65" xfId="19888"/>
    <cellStyle name="Связанная ячейка 66" xfId="19889"/>
    <cellStyle name="Связанная ячейка 67" xfId="19890"/>
    <cellStyle name="Связанная ячейка 68" xfId="19891"/>
    <cellStyle name="Связанная ячейка 69" xfId="19892"/>
    <cellStyle name="Связанная ячейка 7" xfId="19893"/>
    <cellStyle name="Связанная ячейка 70" xfId="19894"/>
    <cellStyle name="Связанная ячейка 71" xfId="19895"/>
    <cellStyle name="Связанная ячейка 72" xfId="19896"/>
    <cellStyle name="Связанная ячейка 73" xfId="19897"/>
    <cellStyle name="Связанная ячейка 74" xfId="19898"/>
    <cellStyle name="Связанная ячейка 75" xfId="19899"/>
    <cellStyle name="Связанная ячейка 76" xfId="19900"/>
    <cellStyle name="Связанная ячейка 77" xfId="19901"/>
    <cellStyle name="Связанная ячейка 78" xfId="19902"/>
    <cellStyle name="Связанная ячейка 79" xfId="19903"/>
    <cellStyle name="Связанная ячейка 8" xfId="19904"/>
    <cellStyle name="Связанная ячейка 80" xfId="19905"/>
    <cellStyle name="Связанная ячейка 81" xfId="19906"/>
    <cellStyle name="Связанная ячейка 82" xfId="19907"/>
    <cellStyle name="Связанная ячейка 83" xfId="19908"/>
    <cellStyle name="Связанная ячейка 84" xfId="19909"/>
    <cellStyle name="Связанная ячейка 85" xfId="19910"/>
    <cellStyle name="Связанная ячейка 86" xfId="19911"/>
    <cellStyle name="Связанная ячейка 87" xfId="19912"/>
    <cellStyle name="Связанная ячейка 88" xfId="19913"/>
    <cellStyle name="Связанная ячейка 89" xfId="19914"/>
    <cellStyle name="Связанная ячейка 9" xfId="19915"/>
    <cellStyle name="Связанная ячейка 90" xfId="19916"/>
    <cellStyle name="Связанная ячейка 91" xfId="19917"/>
    <cellStyle name="Связанная ячейка 92" xfId="19918"/>
    <cellStyle name="Связанная ячейка 93" xfId="19919"/>
    <cellStyle name="Связанная ячейка 94" xfId="19920"/>
    <cellStyle name="Связанная ячейка 95" xfId="19921"/>
    <cellStyle name="Связанная ячейка 96" xfId="19922"/>
    <cellStyle name="Связанная ячейка 97" xfId="19923"/>
    <cellStyle name="Связанная ячейка 98" xfId="19924"/>
    <cellStyle name="Связанная ячейка 99" xfId="19925"/>
    <cellStyle name="Ссылка" xfId="19926"/>
    <cellStyle name="Стиль 1" xfId="459"/>
    <cellStyle name="Стиль 1 10" xfId="19927"/>
    <cellStyle name="Стиль 1 2" xfId="19928"/>
    <cellStyle name="Стиль 1 2 2" xfId="19929"/>
    <cellStyle name="Стиль 1 2 2 2" xfId="19930"/>
    <cellStyle name="Стиль 1 2 3" xfId="19931"/>
    <cellStyle name="Стиль 1 2 3 2" xfId="19932"/>
    <cellStyle name="Стиль 1 2 4" xfId="19933"/>
    <cellStyle name="Стиль 1 2 4 2" xfId="19934"/>
    <cellStyle name="Стиль 1 2 5" xfId="19935"/>
    <cellStyle name="Стиль 1 3" xfId="19936"/>
    <cellStyle name="Стиль 1 3 2" xfId="19937"/>
    <cellStyle name="Стиль 1 3 3" xfId="19938"/>
    <cellStyle name="Стиль 1 4" xfId="19939"/>
    <cellStyle name="Стиль 1 4 2" xfId="19940"/>
    <cellStyle name="Стиль 1 4 3" xfId="19941"/>
    <cellStyle name="Стиль 1 5" xfId="19942"/>
    <cellStyle name="Стиль 1 5 2" xfId="19943"/>
    <cellStyle name="Стиль 1 5 3" xfId="19944"/>
    <cellStyle name="Стиль 1 6" xfId="19945"/>
    <cellStyle name="Стиль 1 6 2" xfId="19946"/>
    <cellStyle name="Стиль 1 6 3" xfId="19947"/>
    <cellStyle name="Стиль 1 7" xfId="19948"/>
    <cellStyle name="Стиль 1 7 2" xfId="19949"/>
    <cellStyle name="Стиль 1 7 3" xfId="19950"/>
    <cellStyle name="Стиль 1 8" xfId="19951"/>
    <cellStyle name="Стиль 1 8 2" xfId="19952"/>
    <cellStyle name="Стиль 1 9" xfId="19953"/>
    <cellStyle name="Стиль 1 9 2" xfId="19954"/>
    <cellStyle name="Стиль 2" xfId="19955"/>
    <cellStyle name="Стиль 2 2" xfId="19956"/>
    <cellStyle name="Стиль 2 3" xfId="19957"/>
    <cellStyle name="Стиль 2 4" xfId="19958"/>
    <cellStyle name="Стиль 3" xfId="19959"/>
    <cellStyle name="Стиль 3 2" xfId="19960"/>
    <cellStyle name="Стиль 3 3" xfId="19961"/>
    <cellStyle name="Стиль 3 4" xfId="19962"/>
    <cellStyle name="Стиль 4" xfId="19963"/>
    <cellStyle name="Стиль 4 2" xfId="19964"/>
    <cellStyle name="Стиль 4 3" xfId="19965"/>
    <cellStyle name="Стиль 4 4" xfId="19966"/>
    <cellStyle name="Стиль 5" xfId="19967"/>
    <cellStyle name="Стиль 5 2" xfId="19968"/>
    <cellStyle name="Стиль 5 3" xfId="19969"/>
    <cellStyle name="Стиль 5 4" xfId="19970"/>
    <cellStyle name="Стиль 6" xfId="19971"/>
    <cellStyle name="Субсчет" xfId="19972"/>
    <cellStyle name="Счет" xfId="19973"/>
    <cellStyle name="ТаблицаТекст" xfId="19974"/>
    <cellStyle name="Текст предупреждения 10" xfId="19975"/>
    <cellStyle name="Текст предупреждения 100" xfId="19976"/>
    <cellStyle name="Текст предупреждения 101" xfId="19977"/>
    <cellStyle name="Текст предупреждения 102" xfId="19978"/>
    <cellStyle name="Текст предупреждения 103" xfId="19979"/>
    <cellStyle name="Текст предупреждения 104" xfId="19980"/>
    <cellStyle name="Текст предупреждения 105" xfId="19981"/>
    <cellStyle name="Текст предупреждения 106" xfId="19982"/>
    <cellStyle name="Текст предупреждения 107" xfId="19983"/>
    <cellStyle name="Текст предупреждения 108" xfId="19984"/>
    <cellStyle name="Текст предупреждения 109" xfId="19985"/>
    <cellStyle name="Текст предупреждения 11" xfId="19986"/>
    <cellStyle name="Текст предупреждения 110" xfId="19987"/>
    <cellStyle name="Текст предупреждения 111" xfId="19988"/>
    <cellStyle name="Текст предупреждения 112" xfId="19989"/>
    <cellStyle name="Текст предупреждения 113" xfId="19990"/>
    <cellStyle name="Текст предупреждения 114" xfId="19991"/>
    <cellStyle name="Текст предупреждения 115" xfId="19992"/>
    <cellStyle name="Текст предупреждения 116" xfId="19993"/>
    <cellStyle name="Текст предупреждения 117" xfId="19994"/>
    <cellStyle name="Текст предупреждения 118" xfId="19995"/>
    <cellStyle name="Текст предупреждения 119" xfId="19996"/>
    <cellStyle name="Текст предупреждения 12" xfId="19997"/>
    <cellStyle name="Текст предупреждения 120" xfId="19998"/>
    <cellStyle name="Текст предупреждения 121" xfId="19999"/>
    <cellStyle name="Текст предупреждения 122" xfId="20000"/>
    <cellStyle name="Текст предупреждения 123" xfId="20001"/>
    <cellStyle name="Текст предупреждения 124" xfId="20002"/>
    <cellStyle name="Текст предупреждения 125" xfId="20003"/>
    <cellStyle name="Текст предупреждения 126" xfId="20004"/>
    <cellStyle name="Текст предупреждения 127" xfId="20005"/>
    <cellStyle name="Текст предупреждения 128" xfId="20006"/>
    <cellStyle name="Текст предупреждения 129" xfId="20007"/>
    <cellStyle name="Текст предупреждения 13" xfId="20008"/>
    <cellStyle name="Текст предупреждения 130" xfId="20009"/>
    <cellStyle name="Текст предупреждения 131" xfId="20010"/>
    <cellStyle name="Текст предупреждения 132" xfId="20011"/>
    <cellStyle name="Текст предупреждения 133" xfId="20012"/>
    <cellStyle name="Текст предупреждения 134" xfId="20013"/>
    <cellStyle name="Текст предупреждения 135" xfId="20014"/>
    <cellStyle name="Текст предупреждения 136" xfId="20015"/>
    <cellStyle name="Текст предупреждения 137" xfId="20016"/>
    <cellStyle name="Текст предупреждения 138" xfId="20017"/>
    <cellStyle name="Текст предупреждения 139" xfId="20018"/>
    <cellStyle name="Текст предупреждения 14" xfId="20019"/>
    <cellStyle name="Текст предупреждения 140" xfId="20020"/>
    <cellStyle name="Текст предупреждения 141" xfId="20021"/>
    <cellStyle name="Текст предупреждения 142" xfId="20022"/>
    <cellStyle name="Текст предупреждения 143" xfId="20023"/>
    <cellStyle name="Текст предупреждения 144" xfId="20024"/>
    <cellStyle name="Текст предупреждения 145" xfId="20025"/>
    <cellStyle name="Текст предупреждения 146" xfId="20026"/>
    <cellStyle name="Текст предупреждения 147" xfId="20027"/>
    <cellStyle name="Текст предупреждения 148" xfId="20028"/>
    <cellStyle name="Текст предупреждения 149" xfId="20029"/>
    <cellStyle name="Текст предупреждения 15" xfId="20030"/>
    <cellStyle name="Текст предупреждения 150" xfId="20031"/>
    <cellStyle name="Текст предупреждения 151" xfId="20032"/>
    <cellStyle name="Текст предупреждения 16" xfId="20033"/>
    <cellStyle name="Текст предупреждения 17" xfId="20034"/>
    <cellStyle name="Текст предупреждения 18" xfId="20035"/>
    <cellStyle name="Текст предупреждения 19" xfId="20036"/>
    <cellStyle name="Текст предупреждения 2" xfId="460"/>
    <cellStyle name="Текст предупреждения 2 2" xfId="20037"/>
    <cellStyle name="Текст предупреждения 2 3" xfId="20038"/>
    <cellStyle name="Текст предупреждения 2 4" xfId="20039"/>
    <cellStyle name="Текст предупреждения 2 5" xfId="20040"/>
    <cellStyle name="Текст предупреждения 2 6" xfId="20041"/>
    <cellStyle name="Текст предупреждения 2 7" xfId="20042"/>
    <cellStyle name="Текст предупреждения 20" xfId="20043"/>
    <cellStyle name="Текст предупреждения 20 2" xfId="20044"/>
    <cellStyle name="Текст предупреждения 21" xfId="20045"/>
    <cellStyle name="Текст предупреждения 22" xfId="20046"/>
    <cellStyle name="Текст предупреждения 23" xfId="20047"/>
    <cellStyle name="Текст предупреждения 24" xfId="20048"/>
    <cellStyle name="Текст предупреждения 25" xfId="20049"/>
    <cellStyle name="Текст предупреждения 26" xfId="20050"/>
    <cellStyle name="Текст предупреждения 27" xfId="20051"/>
    <cellStyle name="Текст предупреждения 28" xfId="20052"/>
    <cellStyle name="Текст предупреждения 29" xfId="20053"/>
    <cellStyle name="Текст предупреждения 3" xfId="20054"/>
    <cellStyle name="Текст предупреждения 30" xfId="20055"/>
    <cellStyle name="Текст предупреждения 31" xfId="20056"/>
    <cellStyle name="Текст предупреждения 32" xfId="20057"/>
    <cellStyle name="Текст предупреждения 33" xfId="20058"/>
    <cellStyle name="Текст предупреждения 34" xfId="20059"/>
    <cellStyle name="Текст предупреждения 35" xfId="20060"/>
    <cellStyle name="Текст предупреждения 36" xfId="20061"/>
    <cellStyle name="Текст предупреждения 37" xfId="20062"/>
    <cellStyle name="Текст предупреждения 38" xfId="20063"/>
    <cellStyle name="Текст предупреждения 39" xfId="20064"/>
    <cellStyle name="Текст предупреждения 4" xfId="20065"/>
    <cellStyle name="Текст предупреждения 40" xfId="20066"/>
    <cellStyle name="Текст предупреждения 41" xfId="20067"/>
    <cellStyle name="Текст предупреждения 42" xfId="20068"/>
    <cellStyle name="Текст предупреждения 43" xfId="20069"/>
    <cellStyle name="Текст предупреждения 44" xfId="20070"/>
    <cellStyle name="Текст предупреждения 45" xfId="20071"/>
    <cellStyle name="Текст предупреждения 46" xfId="20072"/>
    <cellStyle name="Текст предупреждения 47" xfId="20073"/>
    <cellStyle name="Текст предупреждения 48" xfId="20074"/>
    <cellStyle name="Текст предупреждения 49" xfId="20075"/>
    <cellStyle name="Текст предупреждения 5" xfId="20076"/>
    <cellStyle name="Текст предупреждения 50" xfId="20077"/>
    <cellStyle name="Текст предупреждения 51" xfId="20078"/>
    <cellStyle name="Текст предупреждения 52" xfId="20079"/>
    <cellStyle name="Текст предупреждения 53" xfId="20080"/>
    <cellStyle name="Текст предупреждения 54" xfId="20081"/>
    <cellStyle name="Текст предупреждения 55" xfId="20082"/>
    <cellStyle name="Текст предупреждения 56" xfId="20083"/>
    <cellStyle name="Текст предупреждения 57" xfId="20084"/>
    <cellStyle name="Текст предупреждения 58" xfId="20085"/>
    <cellStyle name="Текст предупреждения 59" xfId="20086"/>
    <cellStyle name="Текст предупреждения 6" xfId="20087"/>
    <cellStyle name="Текст предупреждения 60" xfId="20088"/>
    <cellStyle name="Текст предупреждения 61" xfId="20089"/>
    <cellStyle name="Текст предупреждения 62" xfId="20090"/>
    <cellStyle name="Текст предупреждения 63" xfId="20091"/>
    <cellStyle name="Текст предупреждения 64" xfId="20092"/>
    <cellStyle name="Текст предупреждения 65" xfId="20093"/>
    <cellStyle name="Текст предупреждения 66" xfId="20094"/>
    <cellStyle name="Текст предупреждения 67" xfId="20095"/>
    <cellStyle name="Текст предупреждения 68" xfId="20096"/>
    <cellStyle name="Текст предупреждения 69" xfId="20097"/>
    <cellStyle name="Текст предупреждения 7" xfId="20098"/>
    <cellStyle name="Текст предупреждения 70" xfId="20099"/>
    <cellStyle name="Текст предупреждения 71" xfId="20100"/>
    <cellStyle name="Текст предупреждения 72" xfId="20101"/>
    <cellStyle name="Текст предупреждения 73" xfId="20102"/>
    <cellStyle name="Текст предупреждения 74" xfId="20103"/>
    <cellStyle name="Текст предупреждения 75" xfId="20104"/>
    <cellStyle name="Текст предупреждения 76" xfId="20105"/>
    <cellStyle name="Текст предупреждения 77" xfId="20106"/>
    <cellStyle name="Текст предупреждения 78" xfId="20107"/>
    <cellStyle name="Текст предупреждения 79" xfId="20108"/>
    <cellStyle name="Текст предупреждения 8" xfId="20109"/>
    <cellStyle name="Текст предупреждения 80" xfId="20110"/>
    <cellStyle name="Текст предупреждения 81" xfId="20111"/>
    <cellStyle name="Текст предупреждения 82" xfId="20112"/>
    <cellStyle name="Текст предупреждения 83" xfId="20113"/>
    <cellStyle name="Текст предупреждения 84" xfId="20114"/>
    <cellStyle name="Текст предупреждения 85" xfId="20115"/>
    <cellStyle name="Текст предупреждения 86" xfId="20116"/>
    <cellStyle name="Текст предупреждения 87" xfId="20117"/>
    <cellStyle name="Текст предупреждения 88" xfId="20118"/>
    <cellStyle name="Текст предупреждения 89" xfId="20119"/>
    <cellStyle name="Текст предупреждения 9" xfId="20120"/>
    <cellStyle name="Текст предупреждения 90" xfId="20121"/>
    <cellStyle name="Текст предупреждения 91" xfId="20122"/>
    <cellStyle name="Текст предупреждения 92" xfId="20123"/>
    <cellStyle name="Текст предупреждения 93" xfId="20124"/>
    <cellStyle name="Текст предупреждения 94" xfId="20125"/>
    <cellStyle name="Текст предупреждения 95" xfId="20126"/>
    <cellStyle name="Текст предупреждения 96" xfId="20127"/>
    <cellStyle name="Текст предупреждения 97" xfId="20128"/>
    <cellStyle name="Текст предупреждения 98" xfId="20129"/>
    <cellStyle name="Текст предупреждения 99" xfId="20130"/>
    <cellStyle name="тонны" xfId="20131"/>
    <cellStyle name="Тысячи [0]_21.10" xfId="20132"/>
    <cellStyle name="Тысячи_21.10" xfId="20133"/>
    <cellStyle name="Уровень 1" xfId="20134"/>
    <cellStyle name="Уровень 2" xfId="20135"/>
    <cellStyle name="Уровень 3" xfId="20136"/>
    <cellStyle name="Уровень 4" xfId="20137"/>
    <cellStyle name="Уровень 5" xfId="20138"/>
    <cellStyle name="Уровень 6" xfId="20139"/>
    <cellStyle name="Финансовый" xfId="1" builtinId="3"/>
    <cellStyle name="Финансовый [0] 2" xfId="20140"/>
    <cellStyle name="Финансовый 10" xfId="20141"/>
    <cellStyle name="Финансовый 10 2" xfId="20142"/>
    <cellStyle name="Финансовый 11" xfId="20143"/>
    <cellStyle name="Финансовый 11 2" xfId="20144"/>
    <cellStyle name="Финансовый 11 3" xfId="20145"/>
    <cellStyle name="Финансовый 11 3 2" xfId="20146"/>
    <cellStyle name="Финансовый 11 4" xfId="20147"/>
    <cellStyle name="Финансовый 12" xfId="20148"/>
    <cellStyle name="Финансовый 12 2" xfId="20149"/>
    <cellStyle name="Финансовый 13" xfId="20150"/>
    <cellStyle name="Финансовый 13 2" xfId="20151"/>
    <cellStyle name="Финансовый 14" xfId="20152"/>
    <cellStyle name="Финансовый 15" xfId="20153"/>
    <cellStyle name="Финансовый 2" xfId="461"/>
    <cellStyle name="Финансовый 2 10" xfId="20154"/>
    <cellStyle name="Финансовый 2 11" xfId="20155"/>
    <cellStyle name="Финансовый 2 12" xfId="20156"/>
    <cellStyle name="Финансовый 2 12 2" xfId="20157"/>
    <cellStyle name="Финансовый 2 13" xfId="20158"/>
    <cellStyle name="Финансовый 2 14" xfId="20159"/>
    <cellStyle name="Финансовый 2 15" xfId="20160"/>
    <cellStyle name="Финансовый 2 16" xfId="20161"/>
    <cellStyle name="Финансовый 2 17" xfId="20162"/>
    <cellStyle name="Финансовый 2 18" xfId="20163"/>
    <cellStyle name="Финансовый 2 19" xfId="20164"/>
    <cellStyle name="Финансовый 2 2" xfId="462"/>
    <cellStyle name="Финансовый 2 2 10" xfId="20165"/>
    <cellStyle name="Финансовый 2 2 2" xfId="486"/>
    <cellStyle name="Финансовый 2 2 3" xfId="20166"/>
    <cellStyle name="Финансовый 2 2 4" xfId="20167"/>
    <cellStyle name="Финансовый 2 2 5" xfId="20168"/>
    <cellStyle name="Финансовый 2 2 6" xfId="20169"/>
    <cellStyle name="Финансовый 2 2 7" xfId="20170"/>
    <cellStyle name="Финансовый 2 2 8" xfId="20171"/>
    <cellStyle name="Финансовый 2 2 9" xfId="20172"/>
    <cellStyle name="Финансовый 2 20" xfId="20173"/>
    <cellStyle name="Финансовый 2 21" xfId="20174"/>
    <cellStyle name="Финансовый 2 22" xfId="20175"/>
    <cellStyle name="Финансовый 2 23" xfId="20176"/>
    <cellStyle name="Финансовый 2 24" xfId="20177"/>
    <cellStyle name="Финансовый 2 25" xfId="20178"/>
    <cellStyle name="Финансовый 2 26" xfId="20179"/>
    <cellStyle name="Финансовый 2 27" xfId="20180"/>
    <cellStyle name="Финансовый 2 28" xfId="20181"/>
    <cellStyle name="Финансовый 2 29" xfId="20182"/>
    <cellStyle name="Финансовый 2 3" xfId="483"/>
    <cellStyle name="Финансовый 2 3 10" xfId="20183"/>
    <cellStyle name="Финансовый 2 3 2" xfId="20184"/>
    <cellStyle name="Финансовый 2 3 3" xfId="20185"/>
    <cellStyle name="Финансовый 2 3 4" xfId="20186"/>
    <cellStyle name="Финансовый 2 3 5" xfId="20187"/>
    <cellStyle name="Финансовый 2 3 6" xfId="20188"/>
    <cellStyle name="Финансовый 2 3 7" xfId="20189"/>
    <cellStyle name="Финансовый 2 3 8" xfId="20190"/>
    <cellStyle name="Финансовый 2 3 9" xfId="20191"/>
    <cellStyle name="Финансовый 2 30" xfId="20192"/>
    <cellStyle name="Финансовый 2 31" xfId="20193"/>
    <cellStyle name="Финансовый 2 32" xfId="20194"/>
    <cellStyle name="Финансовый 2 33" xfId="20195"/>
    <cellStyle name="Финансовый 2 34" xfId="20196"/>
    <cellStyle name="Финансовый 2 35" xfId="20197"/>
    <cellStyle name="Финансовый 2 36" xfId="20198"/>
    <cellStyle name="Финансовый 2 37" xfId="20199"/>
    <cellStyle name="Финансовый 2 38" xfId="20200"/>
    <cellStyle name="Финансовый 2 39" xfId="20201"/>
    <cellStyle name="Финансовый 2 4" xfId="20202"/>
    <cellStyle name="Финансовый 2 4 10" xfId="20203"/>
    <cellStyle name="Финансовый 2 4 2" xfId="20204"/>
    <cellStyle name="Финансовый 2 4 3" xfId="20205"/>
    <cellStyle name="Финансовый 2 4 4" xfId="20206"/>
    <cellStyle name="Финансовый 2 4 5" xfId="20207"/>
    <cellStyle name="Финансовый 2 4 6" xfId="20208"/>
    <cellStyle name="Финансовый 2 4 7" xfId="20209"/>
    <cellStyle name="Финансовый 2 4 8" xfId="20210"/>
    <cellStyle name="Финансовый 2 4 9" xfId="20211"/>
    <cellStyle name="Финансовый 2 40" xfId="20212"/>
    <cellStyle name="Финансовый 2 41" xfId="20213"/>
    <cellStyle name="Финансовый 2 42" xfId="20214"/>
    <cellStyle name="Финансовый 2 43" xfId="20215"/>
    <cellStyle name="Финансовый 2 44" xfId="20216"/>
    <cellStyle name="Финансовый 2 45" xfId="20217"/>
    <cellStyle name="Финансовый 2 46" xfId="20218"/>
    <cellStyle name="Финансовый 2 47" xfId="20219"/>
    <cellStyle name="Финансовый 2 5" xfId="20220"/>
    <cellStyle name="Финансовый 2 5 10" xfId="20221"/>
    <cellStyle name="Финансовый 2 5 2" xfId="20222"/>
    <cellStyle name="Финансовый 2 5 3" xfId="20223"/>
    <cellStyle name="Финансовый 2 5 4" xfId="20224"/>
    <cellStyle name="Финансовый 2 5 5" xfId="20225"/>
    <cellStyle name="Финансовый 2 5 6" xfId="20226"/>
    <cellStyle name="Финансовый 2 5 7" xfId="20227"/>
    <cellStyle name="Финансовый 2 5 8" xfId="20228"/>
    <cellStyle name="Финансовый 2 5 9" xfId="20229"/>
    <cellStyle name="Финансовый 2 6" xfId="20230"/>
    <cellStyle name="Финансовый 2 6 10" xfId="20231"/>
    <cellStyle name="Финансовый 2 6 2" xfId="20232"/>
    <cellStyle name="Финансовый 2 6 3" xfId="20233"/>
    <cellStyle name="Финансовый 2 6 4" xfId="20234"/>
    <cellStyle name="Финансовый 2 6 5" xfId="20235"/>
    <cellStyle name="Финансовый 2 6 6" xfId="20236"/>
    <cellStyle name="Финансовый 2 6 7" xfId="20237"/>
    <cellStyle name="Финансовый 2 6 8" xfId="20238"/>
    <cellStyle name="Финансовый 2 6 9" xfId="20239"/>
    <cellStyle name="Финансовый 2 7" xfId="20240"/>
    <cellStyle name="Финансовый 2 7 10" xfId="20241"/>
    <cellStyle name="Финансовый 2 7 2" xfId="20242"/>
    <cellStyle name="Финансовый 2 7 3" xfId="20243"/>
    <cellStyle name="Финансовый 2 7 4" xfId="20244"/>
    <cellStyle name="Финансовый 2 7 5" xfId="20245"/>
    <cellStyle name="Финансовый 2 7 6" xfId="20246"/>
    <cellStyle name="Финансовый 2 7 7" xfId="20247"/>
    <cellStyle name="Финансовый 2 7 8" xfId="20248"/>
    <cellStyle name="Финансовый 2 7 9" xfId="20249"/>
    <cellStyle name="Финансовый 2 8" xfId="20250"/>
    <cellStyle name="Финансовый 2 8 10" xfId="20251"/>
    <cellStyle name="Финансовый 2 8 2" xfId="20252"/>
    <cellStyle name="Финансовый 2 8 3" xfId="20253"/>
    <cellStyle name="Финансовый 2 8 4" xfId="20254"/>
    <cellStyle name="Финансовый 2 8 5" xfId="20255"/>
    <cellStyle name="Финансовый 2 8 6" xfId="20256"/>
    <cellStyle name="Финансовый 2 8 7" xfId="20257"/>
    <cellStyle name="Финансовый 2 8 8" xfId="20258"/>
    <cellStyle name="Финансовый 2 8 9" xfId="20259"/>
    <cellStyle name="Финансовый 2 87" xfId="20260"/>
    <cellStyle name="Финансовый 2 87 2" xfId="20261"/>
    <cellStyle name="Финансовый 2 9" xfId="20262"/>
    <cellStyle name="Финансовый 2 9 10" xfId="20263"/>
    <cellStyle name="Финансовый 2 9 2" xfId="20264"/>
    <cellStyle name="Финансовый 2 9 3" xfId="20265"/>
    <cellStyle name="Финансовый 2 9 4" xfId="20266"/>
    <cellStyle name="Финансовый 2 9 5" xfId="20267"/>
    <cellStyle name="Финансовый 2 9 6" xfId="20268"/>
    <cellStyle name="Финансовый 2 9 7" xfId="20269"/>
    <cellStyle name="Финансовый 2 9 8" xfId="20270"/>
    <cellStyle name="Финансовый 2 9 9" xfId="20271"/>
    <cellStyle name="Финансовый 2_январь2010 ДКЗ" xfId="20272"/>
    <cellStyle name="Финансовый 3" xfId="463"/>
    <cellStyle name="Финансовый 3 2" xfId="464"/>
    <cellStyle name="Финансовый 3 3" xfId="465"/>
    <cellStyle name="Финансовый 3 3 2" xfId="466"/>
    <cellStyle name="Финансовый 3 3 3" xfId="467"/>
    <cellStyle name="Финансовый 3 3 3 10" xfId="20273"/>
    <cellStyle name="Финансовый 3 3 3 11" xfId="20274"/>
    <cellStyle name="Финансовый 3 3 3 12" xfId="20275"/>
    <cellStyle name="Финансовый 3 3 3 13" xfId="20276"/>
    <cellStyle name="Финансовый 3 3 3 14" xfId="20277"/>
    <cellStyle name="Финансовый 3 3 3 15" xfId="20278"/>
    <cellStyle name="Финансовый 3 3 3 16" xfId="20279"/>
    <cellStyle name="Финансовый 3 3 3 17" xfId="20280"/>
    <cellStyle name="Финансовый 3 3 3 18" xfId="20281"/>
    <cellStyle name="Финансовый 3 3 3 19" xfId="20282"/>
    <cellStyle name="Финансовый 3 3 3 2" xfId="20283"/>
    <cellStyle name="Финансовый 3 3 3 20" xfId="20284"/>
    <cellStyle name="Финансовый 3 3 3 21" xfId="20285"/>
    <cellStyle name="Финансовый 3 3 3 22" xfId="20286"/>
    <cellStyle name="Финансовый 3 3 3 23" xfId="20287"/>
    <cellStyle name="Финансовый 3 3 3 24" xfId="20288"/>
    <cellStyle name="Финансовый 3 3 3 3" xfId="20289"/>
    <cellStyle name="Финансовый 3 3 3 4" xfId="20290"/>
    <cellStyle name="Финансовый 3 3 3 5" xfId="20291"/>
    <cellStyle name="Финансовый 3 3 3 6" xfId="20292"/>
    <cellStyle name="Финансовый 3 3 3 7" xfId="20293"/>
    <cellStyle name="Финансовый 3 3 3 8" xfId="20294"/>
    <cellStyle name="Финансовый 3 3 3 9" xfId="20295"/>
    <cellStyle name="Финансовый 3 4" xfId="481"/>
    <cellStyle name="Финансовый 3 5" xfId="20296"/>
    <cellStyle name="Финансовый 39" xfId="20297"/>
    <cellStyle name="Финансовый 4" xfId="468"/>
    <cellStyle name="Финансовый 4 10" xfId="20298"/>
    <cellStyle name="Финансовый 4 11" xfId="20299"/>
    <cellStyle name="Финансовый 4 12" xfId="20300"/>
    <cellStyle name="Финансовый 4 13" xfId="20301"/>
    <cellStyle name="Финансовый 4 2" xfId="484"/>
    <cellStyle name="Финансовый 4 2 10" xfId="20302"/>
    <cellStyle name="Финансовый 4 2 2" xfId="20303"/>
    <cellStyle name="Финансовый 4 2 3" xfId="20304"/>
    <cellStyle name="Финансовый 4 2 4" xfId="20305"/>
    <cellStyle name="Финансовый 4 2 5" xfId="20306"/>
    <cellStyle name="Финансовый 4 2 6" xfId="20307"/>
    <cellStyle name="Финансовый 4 2 7" xfId="20308"/>
    <cellStyle name="Финансовый 4 2 8" xfId="20309"/>
    <cellStyle name="Финансовый 4 2 9" xfId="20310"/>
    <cellStyle name="Финансовый 4 3" xfId="20311"/>
    <cellStyle name="Финансовый 4 3 10" xfId="20312"/>
    <cellStyle name="Финансовый 4 3 2" xfId="20313"/>
    <cellStyle name="Финансовый 4 3 3" xfId="20314"/>
    <cellStyle name="Финансовый 4 3 4" xfId="20315"/>
    <cellStyle name="Финансовый 4 3 5" xfId="20316"/>
    <cellStyle name="Финансовый 4 3 6" xfId="20317"/>
    <cellStyle name="Финансовый 4 3 7" xfId="20318"/>
    <cellStyle name="Финансовый 4 3 8" xfId="20319"/>
    <cellStyle name="Финансовый 4 3 9" xfId="20320"/>
    <cellStyle name="Финансовый 4 4" xfId="20321"/>
    <cellStyle name="Финансовый 4 4 10" xfId="20322"/>
    <cellStyle name="Финансовый 4 4 2" xfId="20323"/>
    <cellStyle name="Финансовый 4 4 3" xfId="20324"/>
    <cellStyle name="Финансовый 4 4 4" xfId="20325"/>
    <cellStyle name="Финансовый 4 4 5" xfId="20326"/>
    <cellStyle name="Финансовый 4 4 6" xfId="20327"/>
    <cellStyle name="Финансовый 4 4 7" xfId="20328"/>
    <cellStyle name="Финансовый 4 4 8" xfId="20329"/>
    <cellStyle name="Финансовый 4 4 9" xfId="20330"/>
    <cellStyle name="Финансовый 4 5" xfId="20331"/>
    <cellStyle name="Финансовый 4 6" xfId="20332"/>
    <cellStyle name="Финансовый 4 7" xfId="20333"/>
    <cellStyle name="Финансовый 4 8" xfId="20334"/>
    <cellStyle name="Финансовый 4 9" xfId="20335"/>
    <cellStyle name="Финансовый 5" xfId="469"/>
    <cellStyle name="Финансовый 5 10" xfId="20336"/>
    <cellStyle name="Финансовый 5 11" xfId="20337"/>
    <cellStyle name="Финансовый 5 12" xfId="20338"/>
    <cellStyle name="Финансовый 5 13" xfId="20339"/>
    <cellStyle name="Финансовый 5 2" xfId="20340"/>
    <cellStyle name="Финансовый 5 2 10" xfId="20341"/>
    <cellStyle name="Финансовый 5 2 2" xfId="20342"/>
    <cellStyle name="Финансовый 5 2 3" xfId="20343"/>
    <cellStyle name="Финансовый 5 2 4" xfId="20344"/>
    <cellStyle name="Финансовый 5 2 5" xfId="20345"/>
    <cellStyle name="Финансовый 5 2 6" xfId="20346"/>
    <cellStyle name="Финансовый 5 2 7" xfId="20347"/>
    <cellStyle name="Финансовый 5 2 8" xfId="20348"/>
    <cellStyle name="Финансовый 5 2 9" xfId="20349"/>
    <cellStyle name="Финансовый 5 3" xfId="20350"/>
    <cellStyle name="Финансовый 5 3 10" xfId="20351"/>
    <cellStyle name="Финансовый 5 3 2" xfId="20352"/>
    <cellStyle name="Финансовый 5 3 3" xfId="20353"/>
    <cellStyle name="Финансовый 5 3 4" xfId="20354"/>
    <cellStyle name="Финансовый 5 3 5" xfId="20355"/>
    <cellStyle name="Финансовый 5 3 6" xfId="20356"/>
    <cellStyle name="Финансовый 5 3 7" xfId="20357"/>
    <cellStyle name="Финансовый 5 3 8" xfId="20358"/>
    <cellStyle name="Финансовый 5 3 9" xfId="20359"/>
    <cellStyle name="Финансовый 5 4" xfId="20360"/>
    <cellStyle name="Финансовый 5 4 10" xfId="20361"/>
    <cellStyle name="Финансовый 5 4 2" xfId="20362"/>
    <cellStyle name="Финансовый 5 4 3" xfId="20363"/>
    <cellStyle name="Финансовый 5 4 4" xfId="20364"/>
    <cellStyle name="Финансовый 5 4 5" xfId="20365"/>
    <cellStyle name="Финансовый 5 4 6" xfId="20366"/>
    <cellStyle name="Финансовый 5 4 7" xfId="20367"/>
    <cellStyle name="Финансовый 5 4 8" xfId="20368"/>
    <cellStyle name="Финансовый 5 4 9" xfId="20369"/>
    <cellStyle name="Финансовый 5 5" xfId="20370"/>
    <cellStyle name="Финансовый 5 6" xfId="20371"/>
    <cellStyle name="Финансовый 5 7" xfId="20372"/>
    <cellStyle name="Финансовый 5 8" xfId="20373"/>
    <cellStyle name="Финансовый 5 9" xfId="20374"/>
    <cellStyle name="Финансовый 6" xfId="470"/>
    <cellStyle name="Финансовый 6 2" xfId="20375"/>
    <cellStyle name="Финансовый 7" xfId="471"/>
    <cellStyle name="Финансовый 8" xfId="477"/>
    <cellStyle name="Финансовый 9" xfId="20376"/>
    <cellStyle name="Финансовый 9 2" xfId="20377"/>
    <cellStyle name="Хороший 10" xfId="20378"/>
    <cellStyle name="Хороший 100" xfId="20379"/>
    <cellStyle name="Хороший 101" xfId="20380"/>
    <cellStyle name="Хороший 102" xfId="20381"/>
    <cellStyle name="Хороший 103" xfId="20382"/>
    <cellStyle name="Хороший 104" xfId="20383"/>
    <cellStyle name="Хороший 105" xfId="20384"/>
    <cellStyle name="Хороший 106" xfId="20385"/>
    <cellStyle name="Хороший 107" xfId="20386"/>
    <cellStyle name="Хороший 108" xfId="20387"/>
    <cellStyle name="Хороший 109" xfId="20388"/>
    <cellStyle name="Хороший 11" xfId="20389"/>
    <cellStyle name="Хороший 110" xfId="20390"/>
    <cellStyle name="Хороший 111" xfId="20391"/>
    <cellStyle name="Хороший 112" xfId="20392"/>
    <cellStyle name="Хороший 113" xfId="20393"/>
    <cellStyle name="Хороший 114" xfId="20394"/>
    <cellStyle name="Хороший 115" xfId="20395"/>
    <cellStyle name="Хороший 116" xfId="20396"/>
    <cellStyle name="Хороший 117" xfId="20397"/>
    <cellStyle name="Хороший 118" xfId="20398"/>
    <cellStyle name="Хороший 119" xfId="20399"/>
    <cellStyle name="Хороший 12" xfId="20400"/>
    <cellStyle name="Хороший 120" xfId="20401"/>
    <cellStyle name="Хороший 121" xfId="20402"/>
    <cellStyle name="Хороший 122" xfId="20403"/>
    <cellStyle name="Хороший 123" xfId="20404"/>
    <cellStyle name="Хороший 124" xfId="20405"/>
    <cellStyle name="Хороший 125" xfId="20406"/>
    <cellStyle name="Хороший 126" xfId="20407"/>
    <cellStyle name="Хороший 127" xfId="20408"/>
    <cellStyle name="Хороший 128" xfId="20409"/>
    <cellStyle name="Хороший 129" xfId="20410"/>
    <cellStyle name="Хороший 13" xfId="20411"/>
    <cellStyle name="Хороший 130" xfId="20412"/>
    <cellStyle name="Хороший 131" xfId="20413"/>
    <cellStyle name="Хороший 132" xfId="20414"/>
    <cellStyle name="Хороший 133" xfId="20415"/>
    <cellStyle name="Хороший 134" xfId="20416"/>
    <cellStyle name="Хороший 135" xfId="20417"/>
    <cellStyle name="Хороший 136" xfId="20418"/>
    <cellStyle name="Хороший 137" xfId="20419"/>
    <cellStyle name="Хороший 138" xfId="20420"/>
    <cellStyle name="Хороший 139" xfId="20421"/>
    <cellStyle name="Хороший 14" xfId="20422"/>
    <cellStyle name="Хороший 140" xfId="20423"/>
    <cellStyle name="Хороший 141" xfId="20424"/>
    <cellStyle name="Хороший 142" xfId="20425"/>
    <cellStyle name="Хороший 143" xfId="20426"/>
    <cellStyle name="Хороший 144" xfId="20427"/>
    <cellStyle name="Хороший 145" xfId="20428"/>
    <cellStyle name="Хороший 146" xfId="20429"/>
    <cellStyle name="Хороший 147" xfId="20430"/>
    <cellStyle name="Хороший 148" xfId="20431"/>
    <cellStyle name="Хороший 149" xfId="20432"/>
    <cellStyle name="Хороший 15" xfId="20433"/>
    <cellStyle name="Хороший 150" xfId="20434"/>
    <cellStyle name="Хороший 151" xfId="20435"/>
    <cellStyle name="Хороший 16" xfId="20436"/>
    <cellStyle name="Хороший 17" xfId="20437"/>
    <cellStyle name="Хороший 18" xfId="20438"/>
    <cellStyle name="Хороший 19" xfId="20439"/>
    <cellStyle name="Хороший 2" xfId="472"/>
    <cellStyle name="Хороший 2 2" xfId="20440"/>
    <cellStyle name="Хороший 2 3" xfId="20441"/>
    <cellStyle name="Хороший 2 4" xfId="20442"/>
    <cellStyle name="Хороший 2 5" xfId="20443"/>
    <cellStyle name="Хороший 2 6" xfId="20444"/>
    <cellStyle name="Хороший 2 7" xfId="20445"/>
    <cellStyle name="Хороший 20" xfId="20446"/>
    <cellStyle name="Хороший 20 2" xfId="20447"/>
    <cellStyle name="Хороший 21" xfId="20448"/>
    <cellStyle name="Хороший 22" xfId="20449"/>
    <cellStyle name="Хороший 23" xfId="20450"/>
    <cellStyle name="Хороший 24" xfId="20451"/>
    <cellStyle name="Хороший 25" xfId="20452"/>
    <cellStyle name="Хороший 26" xfId="20453"/>
    <cellStyle name="Хороший 27" xfId="20454"/>
    <cellStyle name="Хороший 28" xfId="20455"/>
    <cellStyle name="Хороший 29" xfId="20456"/>
    <cellStyle name="Хороший 3" xfId="473"/>
    <cellStyle name="Хороший 30" xfId="20457"/>
    <cellStyle name="Хороший 31" xfId="20458"/>
    <cellStyle name="Хороший 32" xfId="20459"/>
    <cellStyle name="Хороший 33" xfId="20460"/>
    <cellStyle name="Хороший 34" xfId="20461"/>
    <cellStyle name="Хороший 35" xfId="20462"/>
    <cellStyle name="Хороший 36" xfId="20463"/>
    <cellStyle name="Хороший 37" xfId="20464"/>
    <cellStyle name="Хороший 38" xfId="20465"/>
    <cellStyle name="Хороший 39" xfId="20466"/>
    <cellStyle name="Хороший 4" xfId="20467"/>
    <cellStyle name="Хороший 40" xfId="20468"/>
    <cellStyle name="Хороший 41" xfId="20469"/>
    <cellStyle name="Хороший 42" xfId="20470"/>
    <cellStyle name="Хороший 43" xfId="20471"/>
    <cellStyle name="Хороший 44" xfId="20472"/>
    <cellStyle name="Хороший 45" xfId="20473"/>
    <cellStyle name="Хороший 46" xfId="20474"/>
    <cellStyle name="Хороший 47" xfId="20475"/>
    <cellStyle name="Хороший 48" xfId="20476"/>
    <cellStyle name="Хороший 49" xfId="20477"/>
    <cellStyle name="Хороший 5" xfId="20478"/>
    <cellStyle name="Хороший 50" xfId="20479"/>
    <cellStyle name="Хороший 51" xfId="20480"/>
    <cellStyle name="Хороший 52" xfId="20481"/>
    <cellStyle name="Хороший 53" xfId="20482"/>
    <cellStyle name="Хороший 54" xfId="20483"/>
    <cellStyle name="Хороший 55" xfId="20484"/>
    <cellStyle name="Хороший 56" xfId="20485"/>
    <cellStyle name="Хороший 57" xfId="20486"/>
    <cellStyle name="Хороший 58" xfId="20487"/>
    <cellStyle name="Хороший 59" xfId="20488"/>
    <cellStyle name="Хороший 6" xfId="20489"/>
    <cellStyle name="Хороший 60" xfId="20490"/>
    <cellStyle name="Хороший 61" xfId="20491"/>
    <cellStyle name="Хороший 62" xfId="20492"/>
    <cellStyle name="Хороший 63" xfId="20493"/>
    <cellStyle name="Хороший 64" xfId="20494"/>
    <cellStyle name="Хороший 65" xfId="20495"/>
    <cellStyle name="Хороший 66" xfId="20496"/>
    <cellStyle name="Хороший 67" xfId="20497"/>
    <cellStyle name="Хороший 68" xfId="20498"/>
    <cellStyle name="Хороший 69" xfId="20499"/>
    <cellStyle name="Хороший 7" xfId="20500"/>
    <cellStyle name="Хороший 70" xfId="20501"/>
    <cellStyle name="Хороший 71" xfId="20502"/>
    <cellStyle name="Хороший 72" xfId="20503"/>
    <cellStyle name="Хороший 73" xfId="20504"/>
    <cellStyle name="Хороший 74" xfId="20505"/>
    <cellStyle name="Хороший 75" xfId="20506"/>
    <cellStyle name="Хороший 76" xfId="20507"/>
    <cellStyle name="Хороший 77" xfId="20508"/>
    <cellStyle name="Хороший 78" xfId="20509"/>
    <cellStyle name="Хороший 79" xfId="20510"/>
    <cellStyle name="Хороший 8" xfId="20511"/>
    <cellStyle name="Хороший 80" xfId="20512"/>
    <cellStyle name="Хороший 81" xfId="20513"/>
    <cellStyle name="Хороший 82" xfId="20514"/>
    <cellStyle name="Хороший 83" xfId="20515"/>
    <cellStyle name="Хороший 84" xfId="20516"/>
    <cellStyle name="Хороший 85" xfId="20517"/>
    <cellStyle name="Хороший 86" xfId="20518"/>
    <cellStyle name="Хороший 87" xfId="20519"/>
    <cellStyle name="Хороший 88" xfId="20520"/>
    <cellStyle name="Хороший 89" xfId="20521"/>
    <cellStyle name="Хороший 9" xfId="20522"/>
    <cellStyle name="Хороший 90" xfId="20523"/>
    <cellStyle name="Хороший 91" xfId="20524"/>
    <cellStyle name="Хороший 92" xfId="20525"/>
    <cellStyle name="Хороший 93" xfId="20526"/>
    <cellStyle name="Хороший 94" xfId="20527"/>
    <cellStyle name="Хороший 95" xfId="20528"/>
    <cellStyle name="Хороший 96" xfId="20529"/>
    <cellStyle name="Хороший 97" xfId="20530"/>
    <cellStyle name="Хороший 98" xfId="20531"/>
    <cellStyle name="Хороший 99" xfId="20532"/>
    <cellStyle name="Число [0]" xfId="20533"/>
    <cellStyle name="Число [1]" xfId="20534"/>
    <cellStyle name="Число [2]" xfId="20535"/>
    <cellStyle name="Число [3]" xfId="20536"/>
    <cellStyle name="Џђћ–…ќ’ќ›‰" xfId="20537"/>
    <cellStyle name="Џђћ–…ќ’ќ›‰ 2" xfId="20538"/>
    <cellStyle name="Џђћ–…ќ’ќ›‰ 3" xfId="20539"/>
    <cellStyle name="Џђћ–…ќ’ќ›‰ 4" xfId="20540"/>
    <cellStyle name="ШАУ" xfId="20541"/>
    <cellStyle name="ШАУ 10" xfId="20542"/>
    <cellStyle name="ШАУ 10 2" xfId="20543"/>
    <cellStyle name="ШАУ 10 2 2" xfId="20544"/>
    <cellStyle name="ШАУ 10 2 2 2" xfId="20545"/>
    <cellStyle name="ШАУ 10 2 3" xfId="20546"/>
    <cellStyle name="ШАУ 10 2 3 2" xfId="20547"/>
    <cellStyle name="ШАУ 10 2 4" xfId="20548"/>
    <cellStyle name="ШАУ 10 3" xfId="20549"/>
    <cellStyle name="ШАУ 10 3 2" xfId="20550"/>
    <cellStyle name="ШАУ 10 3 2 2" xfId="20551"/>
    <cellStyle name="ШАУ 10 3 3" xfId="20552"/>
    <cellStyle name="ШАУ 10 3 3 2" xfId="20553"/>
    <cellStyle name="ШАУ 10 3 4" xfId="20554"/>
    <cellStyle name="ШАУ 10 4" xfId="20555"/>
    <cellStyle name="ШАУ 10 4 2" xfId="20556"/>
    <cellStyle name="ШАУ 10 5" xfId="20557"/>
    <cellStyle name="ШАУ 10 5 2" xfId="20558"/>
    <cellStyle name="ШАУ 10 6" xfId="20559"/>
    <cellStyle name="ШАУ 11" xfId="20560"/>
    <cellStyle name="ШАУ 11 2" xfId="20561"/>
    <cellStyle name="ШАУ 11 2 2" xfId="20562"/>
    <cellStyle name="ШАУ 11 2 2 2" xfId="20563"/>
    <cellStyle name="ШАУ 11 2 3" xfId="20564"/>
    <cellStyle name="ШАУ 11 2 3 2" xfId="20565"/>
    <cellStyle name="ШАУ 11 2 4" xfId="20566"/>
    <cellStyle name="ШАУ 11 3" xfId="20567"/>
    <cellStyle name="ШАУ 11 3 2" xfId="20568"/>
    <cellStyle name="ШАУ 11 3 2 2" xfId="20569"/>
    <cellStyle name="ШАУ 11 3 3" xfId="20570"/>
    <cellStyle name="ШАУ 11 3 3 2" xfId="20571"/>
    <cellStyle name="ШАУ 11 3 4" xfId="20572"/>
    <cellStyle name="ШАУ 11 4" xfId="20573"/>
    <cellStyle name="ШАУ 11 4 2" xfId="20574"/>
    <cellStyle name="ШАУ 11 5" xfId="20575"/>
    <cellStyle name="ШАУ 11 5 2" xfId="20576"/>
    <cellStyle name="ШАУ 11 6" xfId="20577"/>
    <cellStyle name="ШАУ 12" xfId="20578"/>
    <cellStyle name="ШАУ 12 2" xfId="20579"/>
    <cellStyle name="ШАУ 12 2 2" xfId="20580"/>
    <cellStyle name="ШАУ 12 2 2 2" xfId="20581"/>
    <cellStyle name="ШАУ 12 2 3" xfId="20582"/>
    <cellStyle name="ШАУ 12 2 3 2" xfId="20583"/>
    <cellStyle name="ШАУ 12 2 4" xfId="20584"/>
    <cellStyle name="ШАУ 12 3" xfId="20585"/>
    <cellStyle name="ШАУ 12 3 2" xfId="20586"/>
    <cellStyle name="ШАУ 12 3 2 2" xfId="20587"/>
    <cellStyle name="ШАУ 12 3 3" xfId="20588"/>
    <cellStyle name="ШАУ 12 3 3 2" xfId="20589"/>
    <cellStyle name="ШАУ 12 3 4" xfId="20590"/>
    <cellStyle name="ШАУ 12 4" xfId="20591"/>
    <cellStyle name="ШАУ 12 4 2" xfId="20592"/>
    <cellStyle name="ШАУ 12 5" xfId="20593"/>
    <cellStyle name="ШАУ 12 5 2" xfId="20594"/>
    <cellStyle name="ШАУ 12 6" xfId="20595"/>
    <cellStyle name="ШАУ 13" xfId="20596"/>
    <cellStyle name="ШАУ 13 2" xfId="20597"/>
    <cellStyle name="ШАУ 13 2 2" xfId="20598"/>
    <cellStyle name="ШАУ 13 2 2 2" xfId="20599"/>
    <cellStyle name="ШАУ 13 2 3" xfId="20600"/>
    <cellStyle name="ШАУ 13 2 3 2" xfId="20601"/>
    <cellStyle name="ШАУ 13 2 4" xfId="20602"/>
    <cellStyle name="ШАУ 13 3" xfId="20603"/>
    <cellStyle name="ШАУ 13 3 2" xfId="20604"/>
    <cellStyle name="ШАУ 13 3 2 2" xfId="20605"/>
    <cellStyle name="ШАУ 13 3 3" xfId="20606"/>
    <cellStyle name="ШАУ 13 3 3 2" xfId="20607"/>
    <cellStyle name="ШАУ 13 3 4" xfId="20608"/>
    <cellStyle name="ШАУ 13 4" xfId="20609"/>
    <cellStyle name="ШАУ 13 4 2" xfId="20610"/>
    <cellStyle name="ШАУ 13 5" xfId="20611"/>
    <cellStyle name="ШАУ 13 5 2" xfId="20612"/>
    <cellStyle name="ШАУ 13 6" xfId="20613"/>
    <cellStyle name="ШАУ 14" xfId="20614"/>
    <cellStyle name="ШАУ 14 2" xfId="20615"/>
    <cellStyle name="ШАУ 14 2 2" xfId="20616"/>
    <cellStyle name="ШАУ 14 2 2 2" xfId="20617"/>
    <cellStyle name="ШАУ 14 2 3" xfId="20618"/>
    <cellStyle name="ШАУ 14 2 3 2" xfId="20619"/>
    <cellStyle name="ШАУ 14 2 4" xfId="20620"/>
    <cellStyle name="ШАУ 14 3" xfId="20621"/>
    <cellStyle name="ШАУ 14 3 2" xfId="20622"/>
    <cellStyle name="ШАУ 14 3 2 2" xfId="20623"/>
    <cellStyle name="ШАУ 14 3 3" xfId="20624"/>
    <cellStyle name="ШАУ 14 3 3 2" xfId="20625"/>
    <cellStyle name="ШАУ 14 3 4" xfId="20626"/>
    <cellStyle name="ШАУ 14 4" xfId="20627"/>
    <cellStyle name="ШАУ 14 4 2" xfId="20628"/>
    <cellStyle name="ШАУ 14 5" xfId="20629"/>
    <cellStyle name="ШАУ 14 5 2" xfId="20630"/>
    <cellStyle name="ШАУ 14 6" xfId="20631"/>
    <cellStyle name="ШАУ 15" xfId="20632"/>
    <cellStyle name="ШАУ 15 2" xfId="20633"/>
    <cellStyle name="ШАУ 15 2 2" xfId="20634"/>
    <cellStyle name="ШАУ 15 2 2 2" xfId="20635"/>
    <cellStyle name="ШАУ 15 2 3" xfId="20636"/>
    <cellStyle name="ШАУ 15 2 3 2" xfId="20637"/>
    <cellStyle name="ШАУ 15 2 4" xfId="20638"/>
    <cellStyle name="ШАУ 15 3" xfId="20639"/>
    <cellStyle name="ШАУ 15 3 2" xfId="20640"/>
    <cellStyle name="ШАУ 15 3 2 2" xfId="20641"/>
    <cellStyle name="ШАУ 15 3 3" xfId="20642"/>
    <cellStyle name="ШАУ 15 3 3 2" xfId="20643"/>
    <cellStyle name="ШАУ 15 3 4" xfId="20644"/>
    <cellStyle name="ШАУ 15 4" xfId="20645"/>
    <cellStyle name="ШАУ 15 4 2" xfId="20646"/>
    <cellStyle name="ШАУ 15 5" xfId="20647"/>
    <cellStyle name="ШАУ 15 5 2" xfId="20648"/>
    <cellStyle name="ШАУ 15 6" xfId="20649"/>
    <cellStyle name="ШАУ 16" xfId="20650"/>
    <cellStyle name="ШАУ 16 2" xfId="20651"/>
    <cellStyle name="ШАУ 16 2 2" xfId="20652"/>
    <cellStyle name="ШАУ 16 2 2 2" xfId="20653"/>
    <cellStyle name="ШАУ 16 2 3" xfId="20654"/>
    <cellStyle name="ШАУ 16 2 3 2" xfId="20655"/>
    <cellStyle name="ШАУ 16 2 4" xfId="20656"/>
    <cellStyle name="ШАУ 16 3" xfId="20657"/>
    <cellStyle name="ШАУ 16 3 2" xfId="20658"/>
    <cellStyle name="ШАУ 16 3 2 2" xfId="20659"/>
    <cellStyle name="ШАУ 16 3 3" xfId="20660"/>
    <cellStyle name="ШАУ 16 3 3 2" xfId="20661"/>
    <cellStyle name="ШАУ 16 3 4" xfId="20662"/>
    <cellStyle name="ШАУ 16 4" xfId="20663"/>
    <cellStyle name="ШАУ 16 4 2" xfId="20664"/>
    <cellStyle name="ШАУ 16 5" xfId="20665"/>
    <cellStyle name="ШАУ 16 5 2" xfId="20666"/>
    <cellStyle name="ШАУ 16 6" xfId="20667"/>
    <cellStyle name="ШАУ 17" xfId="20668"/>
    <cellStyle name="ШАУ 17 2" xfId="20669"/>
    <cellStyle name="ШАУ 17 2 2" xfId="20670"/>
    <cellStyle name="ШАУ 17 2 2 2" xfId="20671"/>
    <cellStyle name="ШАУ 17 2 3" xfId="20672"/>
    <cellStyle name="ШАУ 17 2 3 2" xfId="20673"/>
    <cellStyle name="ШАУ 17 2 4" xfId="20674"/>
    <cellStyle name="ШАУ 17 3" xfId="20675"/>
    <cellStyle name="ШАУ 17 3 2" xfId="20676"/>
    <cellStyle name="ШАУ 17 3 2 2" xfId="20677"/>
    <cellStyle name="ШАУ 17 3 3" xfId="20678"/>
    <cellStyle name="ШАУ 17 3 3 2" xfId="20679"/>
    <cellStyle name="ШАУ 17 3 4" xfId="20680"/>
    <cellStyle name="ШАУ 17 4" xfId="20681"/>
    <cellStyle name="ШАУ 17 4 2" xfId="20682"/>
    <cellStyle name="ШАУ 17 5" xfId="20683"/>
    <cellStyle name="ШАУ 17 5 2" xfId="20684"/>
    <cellStyle name="ШАУ 17 6" xfId="20685"/>
    <cellStyle name="ШАУ 18" xfId="20686"/>
    <cellStyle name="ШАУ 18 2" xfId="20687"/>
    <cellStyle name="ШАУ 18 2 2" xfId="20688"/>
    <cellStyle name="ШАУ 18 2 2 2" xfId="20689"/>
    <cellStyle name="ШАУ 18 2 3" xfId="20690"/>
    <cellStyle name="ШАУ 18 2 3 2" xfId="20691"/>
    <cellStyle name="ШАУ 18 2 4" xfId="20692"/>
    <cellStyle name="ШАУ 18 3" xfId="20693"/>
    <cellStyle name="ШАУ 18 3 2" xfId="20694"/>
    <cellStyle name="ШАУ 18 3 2 2" xfId="20695"/>
    <cellStyle name="ШАУ 18 3 3" xfId="20696"/>
    <cellStyle name="ШАУ 18 3 3 2" xfId="20697"/>
    <cellStyle name="ШАУ 18 3 4" xfId="20698"/>
    <cellStyle name="ШАУ 18 4" xfId="20699"/>
    <cellStyle name="ШАУ 18 4 2" xfId="20700"/>
    <cellStyle name="ШАУ 18 5" xfId="20701"/>
    <cellStyle name="ШАУ 18 5 2" xfId="20702"/>
    <cellStyle name="ШАУ 18 6" xfId="20703"/>
    <cellStyle name="ШАУ 19" xfId="20704"/>
    <cellStyle name="ШАУ 19 2" xfId="20705"/>
    <cellStyle name="ШАУ 19 2 2" xfId="20706"/>
    <cellStyle name="ШАУ 19 2 2 2" xfId="20707"/>
    <cellStyle name="ШАУ 19 2 3" xfId="20708"/>
    <cellStyle name="ШАУ 19 2 3 2" xfId="20709"/>
    <cellStyle name="ШАУ 19 2 4" xfId="20710"/>
    <cellStyle name="ШАУ 19 3" xfId="20711"/>
    <cellStyle name="ШАУ 19 3 2" xfId="20712"/>
    <cellStyle name="ШАУ 19 3 2 2" xfId="20713"/>
    <cellStyle name="ШАУ 19 3 3" xfId="20714"/>
    <cellStyle name="ШАУ 19 3 3 2" xfId="20715"/>
    <cellStyle name="ШАУ 19 3 4" xfId="20716"/>
    <cellStyle name="ШАУ 19 4" xfId="20717"/>
    <cellStyle name="ШАУ 19 4 2" xfId="20718"/>
    <cellStyle name="ШАУ 19 5" xfId="20719"/>
    <cellStyle name="ШАУ 19 5 2" xfId="20720"/>
    <cellStyle name="ШАУ 19 6" xfId="20721"/>
    <cellStyle name="ШАУ 2" xfId="20722"/>
    <cellStyle name="ШАУ 2 2" xfId="20723"/>
    <cellStyle name="ШАУ 2 2 2" xfId="20724"/>
    <cellStyle name="ШАУ 2 2 2 2" xfId="20725"/>
    <cellStyle name="ШАУ 2 2 3" xfId="20726"/>
    <cellStyle name="ШАУ 2 2 3 2" xfId="20727"/>
    <cellStyle name="ШАУ 2 2 4" xfId="20728"/>
    <cellStyle name="ШАУ 2 3" xfId="20729"/>
    <cellStyle name="ШАУ 2 3 2" xfId="20730"/>
    <cellStyle name="ШАУ 2 3 2 2" xfId="20731"/>
    <cellStyle name="ШАУ 2 3 3" xfId="20732"/>
    <cellStyle name="ШАУ 2 3 3 2" xfId="20733"/>
    <cellStyle name="ШАУ 2 3 4" xfId="20734"/>
    <cellStyle name="ШАУ 2 4" xfId="20735"/>
    <cellStyle name="ШАУ 2 4 2" xfId="20736"/>
    <cellStyle name="ШАУ 2 5" xfId="20737"/>
    <cellStyle name="ШАУ 2 5 2" xfId="20738"/>
    <cellStyle name="ШАУ 2 6" xfId="20739"/>
    <cellStyle name="ШАУ 20" xfId="20740"/>
    <cellStyle name="ШАУ 20 2" xfId="20741"/>
    <cellStyle name="ШАУ 20 2 2" xfId="20742"/>
    <cellStyle name="ШАУ 20 2 2 2" xfId="20743"/>
    <cellStyle name="ШАУ 20 2 3" xfId="20744"/>
    <cellStyle name="ШАУ 20 2 3 2" xfId="20745"/>
    <cellStyle name="ШАУ 20 2 4" xfId="20746"/>
    <cellStyle name="ШАУ 20 3" xfId="20747"/>
    <cellStyle name="ШАУ 20 3 2" xfId="20748"/>
    <cellStyle name="ШАУ 20 3 2 2" xfId="20749"/>
    <cellStyle name="ШАУ 20 3 3" xfId="20750"/>
    <cellStyle name="ШАУ 20 3 3 2" xfId="20751"/>
    <cellStyle name="ШАУ 20 3 4" xfId="20752"/>
    <cellStyle name="ШАУ 20 4" xfId="20753"/>
    <cellStyle name="ШАУ 20 4 2" xfId="20754"/>
    <cellStyle name="ШАУ 20 5" xfId="20755"/>
    <cellStyle name="ШАУ 20 5 2" xfId="20756"/>
    <cellStyle name="ШАУ 20 6" xfId="20757"/>
    <cellStyle name="ШАУ 21" xfId="20758"/>
    <cellStyle name="ШАУ 21 2" xfId="20759"/>
    <cellStyle name="ШАУ 21 2 2" xfId="20760"/>
    <cellStyle name="ШАУ 21 3" xfId="20761"/>
    <cellStyle name="ШАУ 21 3 2" xfId="20762"/>
    <cellStyle name="ШАУ 21 4" xfId="20763"/>
    <cellStyle name="ШАУ 22" xfId="20764"/>
    <cellStyle name="ШАУ 22 2" xfId="20765"/>
    <cellStyle name="ШАУ 22 2 2" xfId="20766"/>
    <cellStyle name="ШАУ 22 3" xfId="20767"/>
    <cellStyle name="ШАУ 22 3 2" xfId="20768"/>
    <cellStyle name="ШАУ 22 4" xfId="20769"/>
    <cellStyle name="ШАУ 23" xfId="20770"/>
    <cellStyle name="ШАУ 23 2" xfId="20771"/>
    <cellStyle name="ШАУ 24" xfId="20772"/>
    <cellStyle name="ШАУ 24 2" xfId="20773"/>
    <cellStyle name="ШАУ 25" xfId="20774"/>
    <cellStyle name="ШАУ 3" xfId="20775"/>
    <cellStyle name="ШАУ 3 2" xfId="20776"/>
    <cellStyle name="ШАУ 3 2 2" xfId="20777"/>
    <cellStyle name="ШАУ 3 2 2 2" xfId="20778"/>
    <cellStyle name="ШАУ 3 2 3" xfId="20779"/>
    <cellStyle name="ШАУ 3 2 3 2" xfId="20780"/>
    <cellStyle name="ШАУ 3 2 4" xfId="20781"/>
    <cellStyle name="ШАУ 3 3" xfId="20782"/>
    <cellStyle name="ШАУ 3 3 2" xfId="20783"/>
    <cellStyle name="ШАУ 3 3 2 2" xfId="20784"/>
    <cellStyle name="ШАУ 3 3 3" xfId="20785"/>
    <cellStyle name="ШАУ 3 3 3 2" xfId="20786"/>
    <cellStyle name="ШАУ 3 3 4" xfId="20787"/>
    <cellStyle name="ШАУ 3 4" xfId="20788"/>
    <cellStyle name="ШАУ 3 4 2" xfId="20789"/>
    <cellStyle name="ШАУ 3 5" xfId="20790"/>
    <cellStyle name="ШАУ 3 5 2" xfId="20791"/>
    <cellStyle name="ШАУ 3 6" xfId="20792"/>
    <cellStyle name="ШАУ 4" xfId="20793"/>
    <cellStyle name="ШАУ 4 2" xfId="20794"/>
    <cellStyle name="ШАУ 4 2 2" xfId="20795"/>
    <cellStyle name="ШАУ 4 2 2 2" xfId="20796"/>
    <cellStyle name="ШАУ 4 2 3" xfId="20797"/>
    <cellStyle name="ШАУ 4 2 3 2" xfId="20798"/>
    <cellStyle name="ШАУ 4 2 4" xfId="20799"/>
    <cellStyle name="ШАУ 4 3" xfId="20800"/>
    <cellStyle name="ШАУ 4 3 2" xfId="20801"/>
    <cellStyle name="ШАУ 4 3 2 2" xfId="20802"/>
    <cellStyle name="ШАУ 4 3 3" xfId="20803"/>
    <cellStyle name="ШАУ 4 3 3 2" xfId="20804"/>
    <cellStyle name="ШАУ 4 3 4" xfId="20805"/>
    <cellStyle name="ШАУ 4 4" xfId="20806"/>
    <cellStyle name="ШАУ 4 4 2" xfId="20807"/>
    <cellStyle name="ШАУ 4 5" xfId="20808"/>
    <cellStyle name="ШАУ 4 5 2" xfId="20809"/>
    <cellStyle name="ШАУ 4 6" xfId="20810"/>
    <cellStyle name="ШАУ 5" xfId="20811"/>
    <cellStyle name="ШАУ 5 2" xfId="20812"/>
    <cellStyle name="ШАУ 5 2 2" xfId="20813"/>
    <cellStyle name="ШАУ 5 2 2 2" xfId="20814"/>
    <cellStyle name="ШАУ 5 2 3" xfId="20815"/>
    <cellStyle name="ШАУ 5 2 3 2" xfId="20816"/>
    <cellStyle name="ШАУ 5 2 4" xfId="20817"/>
    <cellStyle name="ШАУ 5 3" xfId="20818"/>
    <cellStyle name="ШАУ 5 3 2" xfId="20819"/>
    <cellStyle name="ШАУ 5 3 2 2" xfId="20820"/>
    <cellStyle name="ШАУ 5 3 3" xfId="20821"/>
    <cellStyle name="ШАУ 5 3 3 2" xfId="20822"/>
    <cellStyle name="ШАУ 5 3 4" xfId="20823"/>
    <cellStyle name="ШАУ 5 4" xfId="20824"/>
    <cellStyle name="ШАУ 5 4 2" xfId="20825"/>
    <cellStyle name="ШАУ 5 5" xfId="20826"/>
    <cellStyle name="ШАУ 5 5 2" xfId="20827"/>
    <cellStyle name="ШАУ 5 6" xfId="20828"/>
    <cellStyle name="ШАУ 6" xfId="20829"/>
    <cellStyle name="ШАУ 6 2" xfId="20830"/>
    <cellStyle name="ШАУ 6 2 2" xfId="20831"/>
    <cellStyle name="ШАУ 6 2 2 2" xfId="20832"/>
    <cellStyle name="ШАУ 6 2 3" xfId="20833"/>
    <cellStyle name="ШАУ 6 2 3 2" xfId="20834"/>
    <cellStyle name="ШАУ 6 2 4" xfId="20835"/>
    <cellStyle name="ШАУ 6 3" xfId="20836"/>
    <cellStyle name="ШАУ 6 3 2" xfId="20837"/>
    <cellStyle name="ШАУ 6 3 2 2" xfId="20838"/>
    <cellStyle name="ШАУ 6 3 3" xfId="20839"/>
    <cellStyle name="ШАУ 6 3 3 2" xfId="20840"/>
    <cellStyle name="ШАУ 6 3 4" xfId="20841"/>
    <cellStyle name="ШАУ 6 4" xfId="20842"/>
    <cellStyle name="ШАУ 6 4 2" xfId="20843"/>
    <cellStyle name="ШАУ 6 5" xfId="20844"/>
    <cellStyle name="ШАУ 6 5 2" xfId="20845"/>
    <cellStyle name="ШАУ 6 6" xfId="20846"/>
    <cellStyle name="ШАУ 7" xfId="20847"/>
    <cellStyle name="ШАУ 7 2" xfId="20848"/>
    <cellStyle name="ШАУ 7 2 2" xfId="20849"/>
    <cellStyle name="ШАУ 7 2 2 2" xfId="20850"/>
    <cellStyle name="ШАУ 7 2 3" xfId="20851"/>
    <cellStyle name="ШАУ 7 2 3 2" xfId="20852"/>
    <cellStyle name="ШАУ 7 2 4" xfId="20853"/>
    <cellStyle name="ШАУ 7 3" xfId="20854"/>
    <cellStyle name="ШАУ 7 3 2" xfId="20855"/>
    <cellStyle name="ШАУ 7 3 2 2" xfId="20856"/>
    <cellStyle name="ШАУ 7 3 3" xfId="20857"/>
    <cellStyle name="ШАУ 7 3 3 2" xfId="20858"/>
    <cellStyle name="ШАУ 7 3 4" xfId="20859"/>
    <cellStyle name="ШАУ 7 4" xfId="20860"/>
    <cellStyle name="ШАУ 7 4 2" xfId="20861"/>
    <cellStyle name="ШАУ 7 5" xfId="20862"/>
    <cellStyle name="ШАУ 7 5 2" xfId="20863"/>
    <cellStyle name="ШАУ 7 6" xfId="20864"/>
    <cellStyle name="ШАУ 8" xfId="20865"/>
    <cellStyle name="ШАУ 8 2" xfId="20866"/>
    <cellStyle name="ШАУ 8 2 2" xfId="20867"/>
    <cellStyle name="ШАУ 8 2 2 2" xfId="20868"/>
    <cellStyle name="ШАУ 8 2 3" xfId="20869"/>
    <cellStyle name="ШАУ 8 2 3 2" xfId="20870"/>
    <cellStyle name="ШАУ 8 2 4" xfId="20871"/>
    <cellStyle name="ШАУ 8 3" xfId="20872"/>
    <cellStyle name="ШАУ 8 3 2" xfId="20873"/>
    <cellStyle name="ШАУ 8 3 2 2" xfId="20874"/>
    <cellStyle name="ШАУ 8 3 3" xfId="20875"/>
    <cellStyle name="ШАУ 8 3 3 2" xfId="20876"/>
    <cellStyle name="ШАУ 8 3 4" xfId="20877"/>
    <cellStyle name="ШАУ 8 4" xfId="20878"/>
    <cellStyle name="ШАУ 8 4 2" xfId="20879"/>
    <cellStyle name="ШАУ 8 5" xfId="20880"/>
    <cellStyle name="ШАУ 8 5 2" xfId="20881"/>
    <cellStyle name="ШАУ 8 6" xfId="20882"/>
    <cellStyle name="ШАУ 9" xfId="20883"/>
    <cellStyle name="ШАУ 9 2" xfId="20884"/>
    <cellStyle name="ШАУ 9 2 2" xfId="20885"/>
    <cellStyle name="ШАУ 9 2 2 2" xfId="20886"/>
    <cellStyle name="ШАУ 9 2 3" xfId="20887"/>
    <cellStyle name="ШАУ 9 2 3 2" xfId="20888"/>
    <cellStyle name="ШАУ 9 2 4" xfId="20889"/>
    <cellStyle name="ШАУ 9 3" xfId="20890"/>
    <cellStyle name="ШАУ 9 3 2" xfId="20891"/>
    <cellStyle name="ШАУ 9 3 2 2" xfId="20892"/>
    <cellStyle name="ШАУ 9 3 3" xfId="20893"/>
    <cellStyle name="ШАУ 9 3 3 2" xfId="20894"/>
    <cellStyle name="ШАУ 9 3 4" xfId="20895"/>
    <cellStyle name="ШАУ 9 4" xfId="20896"/>
    <cellStyle name="ШАУ 9 4 2" xfId="20897"/>
    <cellStyle name="ШАУ 9 5" xfId="20898"/>
    <cellStyle name="ШАУ 9 5 2" xfId="20899"/>
    <cellStyle name="ШАУ 9 6" xfId="20900"/>
    <cellStyle name="Ячейка отчета" xfId="20901"/>
  </cellStyles>
  <dxfs count="27"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numFmt numFmtId="173" formatCode="#,##0.000"/>
    </dxf>
    <dxf>
      <alignment vertical="center" readingOrder="0"/>
    </dxf>
    <dxf>
      <alignment wrapText="1" readingOrder="0"/>
    </dxf>
    <dxf>
      <alignment wrapText="1" readingOrder="0"/>
    </dxf>
    <dxf>
      <numFmt numFmtId="3" formatCode="#,##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wrapText="1" readingOrder="0"/>
    </dxf>
    <dxf>
      <alignment vertical="center" readingOrder="0"/>
    </dxf>
    <dxf>
      <alignment wrapText="1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numFmt numFmtId="173" formatCode="#,##0.000"/>
    </dxf>
    <dxf>
      <numFmt numFmtId="3" formatCode="#,##0"/>
    </dxf>
  </dxfs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5.xml"/><Relationship Id="rId18" Type="http://schemas.openxmlformats.org/officeDocument/2006/relationships/externalLink" Target="externalLinks/externalLink10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openxmlformats.org/officeDocument/2006/relationships/externalLink" Target="externalLinks/externalLink9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8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7.xml"/><Relationship Id="rId23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externalLink" Target="externalLinks/externalLink6.xml"/><Relationship Id="rId22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1082;&#1086;&#1088;&#1088;&#1077;&#1082;&#1090;&#1080;&#1088;&#1086;&#1074;&#1086;&#1082;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KARO~1/AppData/Local/Temp/BW/Analyzer/Workbooks/2.&#1056;&#1077;&#1085;&#1090;&#1072;&#1073;&#1077;&#1083;&#1100;&#1085;&#1086;&#1089;&#1090;&#1100;%20&#1087;&#1086;%20&#1085;&#1072;&#1087;&#1088;&#1072;&#1074;&#1083;&#1077;&#1085;&#1080;&#1103;&#1084;(&#1087;&#1086;&#1083;&#1100;&#1079;.&#1086;&#1090;&#1095;&#1077;&#1090;-&#1082;&#1086;&#1085;&#1089;&#1090;&#1088;&#1091;&#1082;&#1090;&#1086;&#1088;)(AWRLB8LF7PARTB7TSUECCLMDY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56;&#1040;&#1057;&#1063;&#1045;&#1058;&#1067;/&#1073;&#1083;&#1086;&#1082;&#1080;%20&#1088;&#1072;&#1089;&#1095;&#1077;&#1090;&#1086;&#1074;/&#1089;&#1093;&#1077;&#1084;&#1099;%20&#1076;&#1083;&#1103;%20&#1088;&#1072;&#1089;&#1095;&#1077;&#1090;&#1072;%20&#1090;&#1072;&#1088;&#1080;&#1092;&#1072;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rzd-share-01\&#1062;&#1069;&#1050;&#1056;\Users\BoldyrevaAV\Desktop\&#1057;&#1077;&#1083;&#1077;&#1082;&#1090;&#1086;&#1088;\&#1043;&#1054;-10\2013\&#1084;&#1072;&#1088;&#1090;\&#1084;&#1072;&#1088;&#1090;%202013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1-&#1056;&#1040;&#1057;&#1063;&#1045;&#1058;&#1067;\&#1090;&#1072;&#1088;&#1080;&#1092;&#1085;&#1099;&#1077;%20&#1090;&#1072;&#1073;&#1083;&#1080;&#1094;&#1099;\&#1058;&#1072;&#1088;&#1080;&#1092;&#1085;&#1099;&#1077;-2014&#1075;\&#1089;&#1093;&#1077;&#1084;&#1099;%20&#1076;&#1083;&#1103;%20&#1088;&#1072;&#1089;&#1095;&#1077;&#1090;&#1072;%20&#1090;&#1072;&#1088;&#1080;&#1092;&#1072;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&#1052;&#1086;&#1080;%20&#1076;&#1086;&#1082;&#1091;&#1084;&#1077;&#1085;&#1090;&#1099;\&#1055;&#1086;&#1095;&#1090;&#1072;%20&#1076;&#1077;&#1082;&#1072;&#1073;&#1088;&#1100;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Iljinab\2003%20&#1075;&#1086;&#1076;\WINDOWS\TEMP\&#1040;&#1088;&#1093;&#1080;&#1074;%20&#1087;&#1086;%20&#1074;&#1099;&#1088;&#1091;&#1095;&#1082;&#1077;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&#1044;&#1086;&#1082;&#1091;&#1084;&#1077;&#1085;&#1090;&#1099;\&#1087;&#1086;&#1088;&#1086;&#1078;&#1085;&#1103;&#1082;%20&#1040;&#1078;\&#1087;&#1086;&#1088;&#1086;&#1078;&#1085;&#1103;&#1082;%202012\!%20_2012%20&#1087;&#1086;&#1088;&#1086;&#1078;&#1085;%20&#1085;&#1072;%20&#1073;&#1072;&#1079;&#1077;%202011-2&#1084;&#1077;&#1089;2012%20&#1074;&#1089;&#1077;%20&#1089;&#1086;&#1073;\1%20&#1082;&#1083;&#1072;&#1089;&#1089;%20&#1089;%20&#1090;&#1072;&#1088;&#1080;&#1092;&#1072;&#1084;&#1080;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Refservice-iwt\&#1055;&#1072;&#1087;&#1082;&#1080;%20&#1087;&#1086;&#1083;&#1100;&#1079;&#1086;&#1074;&#1072;&#1090;&#1077;&#1083;&#1077;&#1081;\&#1054;&#1090;&#1076;&#1077;&#1083;%20&#1052;&#1072;&#1088;&#1082;&#1077;&#1090;&#1080;&#1085;&#1075;&#1072;%20&#1080;%20&#1088;&#1077;&#1082;&#1083;&#1072;&#1084;&#1099;\RM\&#1054;&#1083;&#1077;&#1075;\&#1052;&#1072;&#1088;&#1082;&#1077;&#1090;&#1080;&#1085;&#1075;&#1086;&#1074;&#1099;&#1077;%20&#1086;&#1090;&#1095;&#1105;&#1090;&#1099;\&#1050;&#1086;&#1085;&#1082;&#1091;&#1088;&#1077;&#1085;&#1090;&#1099;\&#1063;&#1072;&#1089;&#1090;&#1085;&#1080;&#1082;\&#1057;&#1087;&#1088;&#1072;&#1074;&#1082;&#1072;%20&#1089;&#1086;&#1073;&#1089;&#1090;_10_02_04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89;%20&#1076;&#1080;&#1089;&#1082;&#1072;%20D/2_&#1042;&#1057;&#1045;%20&#1043;&#1056;&#1059;&#1047;&#1067;/2020_&#1074;&#1089;&#1077;%20&#1075;&#1088;&#1091;&#1079;&#1099;%20&#1062;&#1052;&#1058;&#1055;/3_&#1059;&#1043;&#1054;&#1051;&#1068;%202020/3_&#1041;&#1072;&#1083;&#1072;&#1085;&#1089;&#1080;&#1088;&#1086;&#1074;&#1082;&#1072;%20&#1090;&#1072;&#1088;&#1080;&#1092;&#1086;&#1074;/1_&#1041;&#1072;&#1083;&#1072;&#1085;&#1089;&#1080;&#1088;&#1086;&#1074;&#1082;&#1072;%20%20&#1047;&#1057;&#1041;%20&#1082;%20&#1070;&#1075;&#1091;/17_1_&#1086;&#1090;&#1084;&#1077;&#1085;&#1072;%200,4_&#1085;&#1072;%20&#1074;&#1077;&#1089;&#1100;%20&#1042;&#1086;&#1089;&#1090;&#1086;&#1082;_&#1064;&#1040;&#1043;&#1048;%20&#1090;&#1072;&#1088;&#1080;&#1092;%202020/1_&#1057;&#1095;&#1080;&#1090;&#1072;&#1083;&#1082;&#1072;_&#1091;&#1075;&#1086;&#1083;&#1100;%200,4%20&#1085;&#1072;%200,6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корректировок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BExRepositorySheet"/>
      <sheetName val="Отчет"/>
      <sheetName val="Graph"/>
      <sheetName val="История корректировок"/>
      <sheetName val="Лист1"/>
    </sheetNames>
    <sheetDataSet>
      <sheetData sheetId="0"/>
      <sheetData sheetId="1"/>
      <sheetData sheetId="2"/>
      <sheetData sheetId="3"/>
      <sheetData sheetId="4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общий свод"/>
      <sheetName val="итоги гр-2р."/>
      <sheetName val="Лист1"/>
      <sheetName val="Прил5,т.10"/>
      <sheetName val="Прил5,т.12"/>
      <sheetName val="Прил5,т.14"/>
      <sheetName val="Прил5,т.16"/>
      <sheetName val="Прил2,т.1-ЕТСНГ"/>
      <sheetName val="расчет т.5"/>
      <sheetName val="коэф. т. 5"/>
      <sheetName val="Прил3,т.2"/>
      <sheetName val="Прил3,п,2"/>
      <sheetName val="Прил3,т.3"/>
      <sheetName val="Прил3,т.4"/>
      <sheetName val="вагоны"/>
      <sheetName val="универсальные"/>
      <sheetName val="специализированные"/>
      <sheetName val="изотермические"/>
      <sheetName val="цистерны"/>
      <sheetName val="Прил5,т.8"/>
      <sheetName val="сх И 1"/>
      <sheetName val="сх И2-И7"/>
      <sheetName val="сх 8"/>
      <sheetName val="сх9-13"/>
      <sheetName val="схИ14-И18"/>
      <sheetName val="сх19-24"/>
      <sheetName val="сх25-29"/>
      <sheetName val="схВ1-В15"/>
      <sheetName val="сх30-31"/>
      <sheetName val="сх32"/>
      <sheetName val="сх34-38"/>
      <sheetName val="сх39-43"/>
      <sheetName val="сх44-48"/>
      <sheetName val="сх49-53"/>
      <sheetName val="сх54-58"/>
      <sheetName val="сх59-63"/>
      <sheetName val="сх64-68"/>
      <sheetName val="сх69-73"/>
      <sheetName val="сх74-78"/>
      <sheetName val="сх79-83"/>
      <sheetName val="сх84"/>
      <sheetName val="сх85-89"/>
      <sheetName val="сх90-94"/>
      <sheetName val="сх95-99"/>
      <sheetName val="сх100"/>
      <sheetName val="сх101"/>
      <sheetName val="сх102-105"/>
      <sheetName val="сх106-109"/>
      <sheetName val="сх110-115"/>
      <sheetName val="сх116"/>
      <sheetName val="сх117-118"/>
      <sheetName val="сх119-123"/>
      <sheetName val="сх124-125"/>
      <sheetName val="сх126-128"/>
      <sheetName val="сх129"/>
      <sheetName val="сх130"/>
      <sheetName val="сх131"/>
      <sheetName val="сх132"/>
      <sheetName val="сх133"/>
      <sheetName val="Прил10,т.34"/>
      <sheetName val="Прил9,т.31"/>
      <sheetName val="Прил8,т.30"/>
      <sheetName val="табл. №2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дор нар"/>
      <sheetName val="дор"/>
      <sheetName val="гр"/>
      <sheetName val="гр нар"/>
      <sheetName val="дороги мес Кунаевой"/>
      <sheetName val="дороги нар Кунаевой"/>
      <sheetName val="дороги"/>
      <sheetName val="грузы"/>
      <sheetName val="грузы нар"/>
      <sheetName val="динамика грузы Кунаевой"/>
    </sheetNames>
    <sheetDataSet>
      <sheetData sheetId="0">
        <row r="6">
          <cell r="H6">
            <v>23296</v>
          </cell>
        </row>
      </sheetData>
      <sheetData sheetId="1">
        <row r="1">
          <cell r="AB1">
            <v>2006</v>
          </cell>
          <cell r="AE1" t="str">
            <v>январь</v>
          </cell>
        </row>
        <row r="2">
          <cell r="AE2" t="str">
            <v>февраль</v>
          </cell>
        </row>
        <row r="3">
          <cell r="AE3" t="str">
            <v>март</v>
          </cell>
        </row>
        <row r="4">
          <cell r="AB4">
            <v>0</v>
          </cell>
          <cell r="AE4" t="str">
            <v>апрель</v>
          </cell>
        </row>
        <row r="5">
          <cell r="AD5" t="str">
            <v>февраля</v>
          </cell>
          <cell r="AE5" t="str">
            <v>май</v>
          </cell>
        </row>
        <row r="6">
          <cell r="AE6" t="str">
            <v>июнь</v>
          </cell>
        </row>
        <row r="7">
          <cell r="AE7" t="str">
            <v>июль</v>
          </cell>
        </row>
        <row r="8">
          <cell r="AB8" t="str">
            <v>Груз: Все грузы</v>
          </cell>
          <cell r="AE8" t="str">
            <v>август</v>
          </cell>
        </row>
        <row r="9">
          <cell r="AE9" t="str">
            <v>сентябрь</v>
          </cell>
        </row>
        <row r="10">
          <cell r="AE10" t="str">
            <v>октябрь</v>
          </cell>
        </row>
        <row r="11">
          <cell r="AE11" t="str">
            <v>ноябрь</v>
          </cell>
        </row>
        <row r="12">
          <cell r="AE12" t="str">
            <v>декабрь</v>
          </cell>
        </row>
        <row r="13">
          <cell r="AE13" t="str">
            <v>января</v>
          </cell>
        </row>
        <row r="14">
          <cell r="AE14" t="str">
            <v>февраля</v>
          </cell>
        </row>
        <row r="15">
          <cell r="AE15" t="str">
            <v>марта</v>
          </cell>
        </row>
        <row r="16">
          <cell r="AE16" t="str">
            <v>апреля</v>
          </cell>
        </row>
        <row r="17">
          <cell r="AE17" t="str">
            <v>мая</v>
          </cell>
        </row>
        <row r="18">
          <cell r="AE18" t="str">
            <v>июня</v>
          </cell>
        </row>
        <row r="19">
          <cell r="AE19" t="str">
            <v>июля</v>
          </cell>
        </row>
        <row r="20">
          <cell r="AE20" t="str">
            <v>августа</v>
          </cell>
        </row>
        <row r="21">
          <cell r="AE21" t="str">
            <v>сентября</v>
          </cell>
        </row>
        <row r="22">
          <cell r="AE22" t="str">
            <v>ноября</v>
          </cell>
        </row>
        <row r="23">
          <cell r="AE23" t="str">
            <v>декабря</v>
          </cell>
        </row>
      </sheetData>
      <sheetData sheetId="2">
        <row r="7">
          <cell r="H7">
            <v>26658.822</v>
          </cell>
        </row>
      </sheetData>
      <sheetData sheetId="3">
        <row r="7">
          <cell r="H7">
            <v>78345.827999999994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общий свод"/>
      <sheetName val="итоги гр-2р."/>
      <sheetName val="Лист1"/>
      <sheetName val="Прил5,т.10"/>
      <sheetName val="Прил5,т.12"/>
      <sheetName val="Прил5,т.14"/>
      <sheetName val="Прил5,т.16"/>
      <sheetName val="Прил2,т.1-ЕТСНГ"/>
      <sheetName val="расчет т.5"/>
      <sheetName val="коэф. т. 5"/>
      <sheetName val="Прил3,т.2"/>
      <sheetName val="Прил3,п,2"/>
      <sheetName val="Прил3,т.3"/>
      <sheetName val="Прил3,т.4"/>
      <sheetName val="вагоны"/>
      <sheetName val="универсальные"/>
      <sheetName val="специализированные"/>
      <sheetName val="изотермические"/>
      <sheetName val="цистерны"/>
      <sheetName val="Прил5,т.8"/>
      <sheetName val="сх И 1"/>
      <sheetName val="сх И2-И7"/>
      <sheetName val="сх 8"/>
      <sheetName val="сх9-13"/>
      <sheetName val="схИ14-И18"/>
      <sheetName val="сх19-24"/>
      <sheetName val="сх25-29"/>
      <sheetName val="схВ1-В15"/>
      <sheetName val="сх30-31"/>
      <sheetName val="сх32"/>
      <sheetName val="сх34-38"/>
      <sheetName val="сх39-43"/>
      <sheetName val="сх44-48"/>
      <sheetName val="сх49-53"/>
      <sheetName val="сх54-58"/>
      <sheetName val="сх59-63"/>
      <sheetName val="сх64-68"/>
      <sheetName val="сх69-73"/>
      <sheetName val="сх74-78"/>
      <sheetName val="сх79-83"/>
      <sheetName val="сх84"/>
      <sheetName val="сх85-89"/>
      <sheetName val="сх90-94"/>
      <sheetName val="сх95-99"/>
      <sheetName val="сх100"/>
      <sheetName val="сх101"/>
      <sheetName val="сх102-105"/>
      <sheetName val="сх106-109"/>
      <sheetName val="сх110-115"/>
      <sheetName val="сх116"/>
      <sheetName val="сх117-118"/>
      <sheetName val="сх119-123"/>
      <sheetName val="сх124-125"/>
      <sheetName val="сх126-128"/>
      <sheetName val="сх129"/>
      <sheetName val="сх130"/>
      <sheetName val="сх131"/>
      <sheetName val="сх132"/>
      <sheetName val="сх133"/>
      <sheetName val="Прил10,т.34"/>
      <sheetName val="Прил9,т.31"/>
      <sheetName val="Прил8,т.30"/>
      <sheetName val="табл. №2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</sheetDataSet>
  </externalBook>
</externalLink>
</file>

<file path=xl/externalLinks/externalLink6.xml><?xml version="1.0" encoding="utf-8"?>
<externalLink xmlns="http://schemas.openxmlformats.org/spreadsheetml/2006/main">
  <externalBook xmlns:r="http://schemas.openxmlformats.org/officeDocument/2006/relationships" r:id="rId1">
    <sheetNames>
      <sheetName val="плат бал"/>
      <sheetName val="гр вед"/>
      <sheetName val="декабрьден"/>
      <sheetName val="декабрьзач"/>
      <sheetName val="лимит"/>
      <sheetName val="выручка"/>
      <sheetName val="телеграмма"/>
      <sheetName val="Спр"/>
      <sheetName val="02.02"/>
      <sheetName val="03.02"/>
      <sheetName val="04.02"/>
      <sheetName val="07.02"/>
      <sheetName val="08.02"/>
      <sheetName val="09.02"/>
      <sheetName val="10.02"/>
      <sheetName val="11.02"/>
      <sheetName val="14.02"/>
      <sheetName val="15.02"/>
      <sheetName val="16.02"/>
      <sheetName val="17.02"/>
      <sheetName val="18.02"/>
      <sheetName val="21.02"/>
      <sheetName val="22.02"/>
      <sheetName val="24.02"/>
      <sheetName val="25.02"/>
      <sheetName val="28.02"/>
      <sheetName val="за февраль"/>
      <sheetName val="январь"/>
      <sheetName val="февраль"/>
      <sheetName val="март"/>
      <sheetName val="1кв."/>
      <sheetName val="эксплуатация"/>
      <sheetName val="ПВД"/>
      <sheetName val="ИТОГО"/>
      <sheetName val="план"/>
      <sheetName val="Disclosures"/>
      <sheetName val="inputs"/>
      <sheetName val="Форма 4.1"/>
      <sheetName val="Почта декабрь"/>
      <sheetName val="плат_бал"/>
      <sheetName val="гр_вед"/>
      <sheetName val="02_02"/>
      <sheetName val="03_02"/>
      <sheetName val="04_02"/>
      <sheetName val="07_02"/>
      <sheetName val="08_02"/>
      <sheetName val="09_02"/>
      <sheetName val="10_02"/>
      <sheetName val="11_02"/>
      <sheetName val="14_02"/>
      <sheetName val="15_02"/>
      <sheetName val="16_02"/>
      <sheetName val="17_02"/>
      <sheetName val="18_02"/>
      <sheetName val="21_02"/>
      <sheetName val="22_02"/>
      <sheetName val="24_02"/>
      <sheetName val="25_02"/>
      <sheetName val="28_02"/>
      <sheetName val="за_февраль"/>
      <sheetName val="1кв_"/>
      <sheetName val="Форма_4_1"/>
      <sheetName val="Почта_декабрь"/>
      <sheetName val="Макро"/>
      <sheetName val="пла__б__окт"/>
      <sheetName val="налоги"/>
      <sheetName val="плат_бал1"/>
      <sheetName val="гр_вед1"/>
      <sheetName val="02_021"/>
      <sheetName val="03_021"/>
      <sheetName val="04_021"/>
      <sheetName val="07_021"/>
      <sheetName val="08_021"/>
      <sheetName val="09_021"/>
      <sheetName val="10_021"/>
      <sheetName val="11_021"/>
      <sheetName val="14_021"/>
      <sheetName val="15_021"/>
      <sheetName val="16_021"/>
      <sheetName val="17_021"/>
      <sheetName val="18_021"/>
      <sheetName val="21_021"/>
      <sheetName val="22_021"/>
      <sheetName val="24_021"/>
      <sheetName val="25_021"/>
      <sheetName val="28_021"/>
      <sheetName val="за_февраль1"/>
      <sheetName val="1кв_1"/>
      <sheetName val="Форма_4_11"/>
      <sheetName val="Почта_декабрь1"/>
      <sheetName val="плат_бал2"/>
      <sheetName val="гр_вед2"/>
      <sheetName val="02_022"/>
      <sheetName val="03_022"/>
      <sheetName val="04_022"/>
      <sheetName val="07_022"/>
      <sheetName val="08_022"/>
      <sheetName val="09_022"/>
      <sheetName val="10_022"/>
      <sheetName val="11_022"/>
      <sheetName val="14_022"/>
      <sheetName val="15_022"/>
      <sheetName val="16_022"/>
      <sheetName val="17_022"/>
      <sheetName val="18_022"/>
      <sheetName val="21_022"/>
      <sheetName val="22_022"/>
      <sheetName val="24_022"/>
      <sheetName val="25_022"/>
      <sheetName val="28_022"/>
      <sheetName val="за_февраль2"/>
      <sheetName val="1кв_2"/>
      <sheetName val="Форма_4_12"/>
      <sheetName val="Почта_декабрь2"/>
      <sheetName val="2017 уточ гр-от ЦЭКР 01.03.2017"/>
      <sheetName val="плат_бал3"/>
      <sheetName val="гр_вед3"/>
      <sheetName val="02_023"/>
      <sheetName val="03_023"/>
      <sheetName val="04_023"/>
      <sheetName val="07_023"/>
      <sheetName val="08_023"/>
      <sheetName val="09_023"/>
      <sheetName val="10_023"/>
      <sheetName val="11_023"/>
      <sheetName val="14_023"/>
      <sheetName val="15_023"/>
      <sheetName val="16_023"/>
      <sheetName val="17_023"/>
      <sheetName val="18_023"/>
      <sheetName val="21_023"/>
      <sheetName val="22_023"/>
      <sheetName val="24_023"/>
      <sheetName val="25_023"/>
      <sheetName val="28_023"/>
      <sheetName val="за_февраль3"/>
      <sheetName val="1кв_3"/>
      <sheetName val="Форма_4_13"/>
      <sheetName val="Почта_декабрь3"/>
      <sheetName val="Controls"/>
      <sheetName val="с испр"/>
      <sheetName val="Баланс"/>
      <sheetName val="плат_бал4"/>
      <sheetName val="гр_вед4"/>
      <sheetName val="02_024"/>
      <sheetName val="03_024"/>
      <sheetName val="04_024"/>
      <sheetName val="07_024"/>
      <sheetName val="08_024"/>
      <sheetName val="09_024"/>
      <sheetName val="10_024"/>
      <sheetName val="11_024"/>
      <sheetName val="14_024"/>
      <sheetName val="15_024"/>
      <sheetName val="16_024"/>
      <sheetName val="17_024"/>
      <sheetName val="18_024"/>
      <sheetName val="21_024"/>
      <sheetName val="22_024"/>
      <sheetName val="24_024"/>
      <sheetName val="25_024"/>
      <sheetName val="28_024"/>
      <sheetName val="за_февраль4"/>
      <sheetName val="1кв_4"/>
      <sheetName val="Форма_4_14"/>
      <sheetName val="Почта_декабрь4"/>
      <sheetName val="2017_уточ_гр-от_ЦЭКР_01_03_2017"/>
      <sheetName val="списки по кредиторам"/>
      <sheetName val="пла__б__окт2"/>
      <sheetName val="сокращения"/>
      <sheetName val="Для списков"/>
      <sheetName val="списки"/>
      <sheetName val="Ìàêðî"/>
      <sheetName val="плат_бал5"/>
      <sheetName val="гр_вед5"/>
      <sheetName val="02_025"/>
      <sheetName val="03_025"/>
      <sheetName val="04_025"/>
      <sheetName val="07_025"/>
      <sheetName val="08_025"/>
      <sheetName val="09_025"/>
      <sheetName val="10_025"/>
      <sheetName val="11_025"/>
      <sheetName val="14_025"/>
      <sheetName val="15_025"/>
      <sheetName val="16_025"/>
      <sheetName val="17_025"/>
      <sheetName val="18_025"/>
      <sheetName val="21_025"/>
      <sheetName val="22_025"/>
      <sheetName val="24_025"/>
      <sheetName val="25_025"/>
      <sheetName val="28_025"/>
      <sheetName val="за_февраль5"/>
      <sheetName val="1кв_5"/>
      <sheetName val="Форма_4_15"/>
      <sheetName val="Почта_декабрь5"/>
      <sheetName val="2017_уточ_гр-от_ЦЭКР_01_03_2011"/>
      <sheetName val="с_испр"/>
      <sheetName val="списки_по_кредиторам"/>
      <sheetName val="плат_бал8"/>
      <sheetName val="гр_вед8"/>
      <sheetName val="02_028"/>
      <sheetName val="03_028"/>
      <sheetName val="04_028"/>
      <sheetName val="07_028"/>
      <sheetName val="08_028"/>
      <sheetName val="09_028"/>
      <sheetName val="10_028"/>
      <sheetName val="11_028"/>
      <sheetName val="14_028"/>
      <sheetName val="15_028"/>
      <sheetName val="16_028"/>
      <sheetName val="17_028"/>
      <sheetName val="18_028"/>
      <sheetName val="21_028"/>
      <sheetName val="22_028"/>
      <sheetName val="24_028"/>
      <sheetName val="25_028"/>
      <sheetName val="28_028"/>
      <sheetName val="за_февраль8"/>
      <sheetName val="1кв_8"/>
      <sheetName val="Форма_4_18"/>
      <sheetName val="Почта_декабрь8"/>
      <sheetName val="2017_уточ_гр-от_ЦЭКР_01_03_2014"/>
      <sheetName val="с_испр3"/>
      <sheetName val="списки_по_кредиторам3"/>
      <sheetName val="Для_списков3"/>
      <sheetName val="плат_бал6"/>
      <sheetName val="гр_вед6"/>
      <sheetName val="02_026"/>
      <sheetName val="03_026"/>
      <sheetName val="04_026"/>
      <sheetName val="07_026"/>
      <sheetName val="08_026"/>
      <sheetName val="09_026"/>
      <sheetName val="10_026"/>
      <sheetName val="11_026"/>
      <sheetName val="14_026"/>
      <sheetName val="15_026"/>
      <sheetName val="16_026"/>
      <sheetName val="17_026"/>
      <sheetName val="18_026"/>
      <sheetName val="21_026"/>
      <sheetName val="22_026"/>
      <sheetName val="24_026"/>
      <sheetName val="25_026"/>
      <sheetName val="28_026"/>
      <sheetName val="за_февраль6"/>
      <sheetName val="1кв_6"/>
      <sheetName val="Форма_4_16"/>
      <sheetName val="Почта_декабрь6"/>
      <sheetName val="2017_уточ_гр-от_ЦЭКР_01_03_2012"/>
      <sheetName val="с_испр1"/>
      <sheetName val="списки_по_кредиторам1"/>
      <sheetName val="Для_списков1"/>
      <sheetName val="Для_списков"/>
      <sheetName val="пла__б__окт4"/>
      <sheetName val="плат_бал7"/>
      <sheetName val="гр_вед7"/>
      <sheetName val="02_027"/>
      <sheetName val="03_027"/>
      <sheetName val="04_027"/>
      <sheetName val="07_027"/>
      <sheetName val="08_027"/>
      <sheetName val="09_027"/>
      <sheetName val="10_027"/>
      <sheetName val="11_027"/>
      <sheetName val="14_027"/>
      <sheetName val="15_027"/>
      <sheetName val="16_027"/>
      <sheetName val="17_027"/>
      <sheetName val="18_027"/>
      <sheetName val="21_027"/>
      <sheetName val="22_027"/>
      <sheetName val="24_027"/>
      <sheetName val="25_027"/>
      <sheetName val="28_027"/>
      <sheetName val="за_февраль7"/>
      <sheetName val="1кв_7"/>
      <sheetName val="Форма_4_17"/>
      <sheetName val="Почта_декабрь7"/>
      <sheetName val="2017_уточ_гр-от_ЦЭКР_01_03_2013"/>
      <sheetName val="с_испр2"/>
      <sheetName val="списки_по_кредиторам2"/>
      <sheetName val="Для_списков2"/>
      <sheetName val="плат_бал9"/>
      <sheetName val="гр_вед9"/>
      <sheetName val="02_029"/>
      <sheetName val="03_029"/>
      <sheetName val="04_029"/>
      <sheetName val="07_029"/>
      <sheetName val="08_029"/>
      <sheetName val="09_029"/>
      <sheetName val="10_029"/>
      <sheetName val="11_029"/>
      <sheetName val="14_029"/>
      <sheetName val="15_029"/>
      <sheetName val="16_029"/>
      <sheetName val="17_029"/>
      <sheetName val="18_029"/>
      <sheetName val="21_029"/>
      <sheetName val="22_029"/>
      <sheetName val="24_029"/>
      <sheetName val="25_029"/>
      <sheetName val="28_029"/>
      <sheetName val="за_февраль9"/>
      <sheetName val="1кв_9"/>
      <sheetName val="Форма_4_19"/>
      <sheetName val="Почта_декабрь9"/>
      <sheetName val="2017_уточ_гр-от_ЦЭКР_01_03_2015"/>
      <sheetName val="с_испр4"/>
      <sheetName val="списки_по_кредиторам4"/>
      <sheetName val="Для_списков4"/>
      <sheetName val="Настройки"/>
      <sheetName val=""/>
      <sheetName val="плат_бал10"/>
      <sheetName val="гр_вед10"/>
      <sheetName val="02_0210"/>
      <sheetName val="03_0210"/>
      <sheetName val="04_0210"/>
      <sheetName val="07_0210"/>
      <sheetName val="08_0210"/>
      <sheetName val="09_0210"/>
      <sheetName val="10_0210"/>
      <sheetName val="11_0210"/>
      <sheetName val="14_0210"/>
      <sheetName val="15_0210"/>
      <sheetName val="16_0210"/>
      <sheetName val="17_0210"/>
      <sheetName val="18_0210"/>
      <sheetName val="21_0210"/>
      <sheetName val="22_0210"/>
      <sheetName val="24_0210"/>
      <sheetName val="25_0210"/>
      <sheetName val="28_0210"/>
      <sheetName val="за_февраль10"/>
      <sheetName val="1кв_10"/>
      <sheetName val="Форма_4_110"/>
      <sheetName val="Почта_декабрь10"/>
      <sheetName val="2017_уточ_гр-от_ЦЭКР_01_03_2016"/>
      <sheetName val="с_испр5"/>
      <sheetName val="списки_по_кредиторам5"/>
      <sheetName val="Для_списков5"/>
      <sheetName val="эл"/>
      <sheetName val="плат_бал11"/>
      <sheetName val="гр_вед11"/>
      <sheetName val="02_0211"/>
      <sheetName val="03_0211"/>
      <sheetName val="04_0211"/>
      <sheetName val="07_0211"/>
      <sheetName val="08_0211"/>
      <sheetName val="09_0211"/>
      <sheetName val="10_0211"/>
      <sheetName val="11_0211"/>
      <sheetName val="14_0211"/>
      <sheetName val="15_0211"/>
      <sheetName val="16_0211"/>
      <sheetName val="17_0211"/>
      <sheetName val="18_0211"/>
      <sheetName val="21_0211"/>
      <sheetName val="22_0211"/>
      <sheetName val="24_0211"/>
      <sheetName val="25_0211"/>
      <sheetName val="28_0211"/>
      <sheetName val="за_февраль11"/>
      <sheetName val="1кв_11"/>
      <sheetName val="Форма_4_111"/>
      <sheetName val="Почта_декабрь11"/>
      <sheetName val="2017_уточ_гр-от_ЦЭКР_01_03_2018"/>
      <sheetName val="с_испр6"/>
      <sheetName val="списки_по_кредиторам6"/>
      <sheetName val="Для_списков6"/>
      <sheetName val="Смета ПДР"/>
      <sheetName val="плат_бал12"/>
      <sheetName val="гр_вед12"/>
      <sheetName val="02_0212"/>
      <sheetName val="03_0212"/>
      <sheetName val="04_0212"/>
      <sheetName val="07_0212"/>
      <sheetName val="08_0212"/>
      <sheetName val="09_0212"/>
      <sheetName val="10_0212"/>
      <sheetName val="11_0212"/>
      <sheetName val="14_0212"/>
      <sheetName val="15_0212"/>
      <sheetName val="16_0212"/>
      <sheetName val="17_0212"/>
      <sheetName val="18_0212"/>
      <sheetName val="21_0212"/>
      <sheetName val="22_0212"/>
      <sheetName val="24_0212"/>
      <sheetName val="25_0212"/>
      <sheetName val="28_0212"/>
      <sheetName val="за_февраль12"/>
      <sheetName val="1кв_12"/>
      <sheetName val="Форма_4_112"/>
      <sheetName val="Почта_декабрь12"/>
      <sheetName val="2017_уточ_гр-от_ЦЭКР_01_03_2019"/>
      <sheetName val="с_испр7"/>
      <sheetName val="списки_по_кредиторам7"/>
      <sheetName val="Для_списков7"/>
      <sheetName val="Смета_ПДР"/>
      <sheetName val="Switches"/>
      <sheetName val="10"/>
      <sheetName val="плат_бал13"/>
      <sheetName val="гр_вед13"/>
      <sheetName val="02_0213"/>
      <sheetName val="03_0213"/>
      <sheetName val="04_0213"/>
      <sheetName val="07_0213"/>
      <sheetName val="08_0213"/>
      <sheetName val="09_0213"/>
      <sheetName val="10_0213"/>
      <sheetName val="11_0213"/>
      <sheetName val="14_0213"/>
      <sheetName val="15_0213"/>
      <sheetName val="16_0213"/>
      <sheetName val="17_0213"/>
      <sheetName val="18_0213"/>
      <sheetName val="21_0213"/>
      <sheetName val="22_0213"/>
      <sheetName val="24_0213"/>
      <sheetName val="25_0213"/>
      <sheetName val="28_0213"/>
      <sheetName val="за_февраль13"/>
      <sheetName val="1кв_13"/>
      <sheetName val="Форма_4_113"/>
      <sheetName val="Почта_декабрь13"/>
      <sheetName val="2017_уточ_гр-от_ЦЭКР_01_03_2010"/>
      <sheetName val="с_испр8"/>
      <sheetName val="списки_по_кредиторам8"/>
      <sheetName val="Для_списков8"/>
      <sheetName val="Смета_ПДР1"/>
      <sheetName val="рабочая"/>
      <sheetName val="плат_бал14"/>
      <sheetName val="гр_вед14"/>
      <sheetName val="02_0214"/>
      <sheetName val="03_0214"/>
      <sheetName val="04_0214"/>
      <sheetName val="07_0214"/>
      <sheetName val="08_0214"/>
      <sheetName val="09_0214"/>
      <sheetName val="10_0214"/>
      <sheetName val="11_0214"/>
      <sheetName val="14_0214"/>
      <sheetName val="15_0214"/>
      <sheetName val="16_0214"/>
      <sheetName val="17_0214"/>
      <sheetName val="18_0214"/>
      <sheetName val="21_0214"/>
      <sheetName val="22_0214"/>
      <sheetName val="24_0214"/>
      <sheetName val="25_0214"/>
      <sheetName val="28_0214"/>
      <sheetName val="за_февраль14"/>
      <sheetName val="1кв_14"/>
      <sheetName val="Форма_4_114"/>
      <sheetName val="Почта_декабрь14"/>
      <sheetName val="2017_уточ_гр-от_ЦЭКР_01_03_2020"/>
      <sheetName val="с_испр9"/>
      <sheetName val="списки_по_кредиторам9"/>
      <sheetName val="Для_списков9"/>
      <sheetName val="Смета_ПДР2"/>
      <sheetName val="Лист2"/>
      <sheetName val="Лист3"/>
      <sheetName val="Лист4"/>
      <sheetName val="лист1"/>
      <sheetName val="A"/>
      <sheetName val="плат_бал15"/>
      <sheetName val="гр_вед15"/>
      <sheetName val="02_0215"/>
      <sheetName val="03_0215"/>
      <sheetName val="04_0215"/>
      <sheetName val="07_0215"/>
      <sheetName val="08_0215"/>
      <sheetName val="09_0215"/>
      <sheetName val="10_0215"/>
      <sheetName val="11_0215"/>
      <sheetName val="14_0215"/>
      <sheetName val="15_0215"/>
      <sheetName val="16_0215"/>
      <sheetName val="17_0215"/>
      <sheetName val="18_0215"/>
      <sheetName val="21_0215"/>
      <sheetName val="22_0215"/>
      <sheetName val="24_0215"/>
      <sheetName val="25_0215"/>
      <sheetName val="28_0215"/>
      <sheetName val="за_февраль15"/>
      <sheetName val="1кв_15"/>
      <sheetName val="Форма_4_115"/>
      <sheetName val="Почта_декабрь15"/>
      <sheetName val="2017_уточ_гр-от_ЦЭКР_01_03_2021"/>
      <sheetName val="с_испр10"/>
      <sheetName val="списки_по_кредиторам10"/>
      <sheetName val="Для_списков10"/>
      <sheetName val="Смета_ПДР3"/>
      <sheetName val="МАТЕР.433,452"/>
      <sheetName val="титул.лист "/>
      <sheetName val="Parameters"/>
      <sheetName val="sheet1"/>
      <sheetName val="плат_бал16"/>
      <sheetName val="гр_вед16"/>
      <sheetName val="02_0216"/>
      <sheetName val="03_0216"/>
      <sheetName val="04_0216"/>
      <sheetName val="07_0216"/>
      <sheetName val="08_0216"/>
      <sheetName val="09_0216"/>
      <sheetName val="10_0216"/>
      <sheetName val="11_0216"/>
      <sheetName val="14_0216"/>
      <sheetName val="15_0216"/>
      <sheetName val="16_0216"/>
      <sheetName val="17_0216"/>
      <sheetName val="18_0216"/>
      <sheetName val="21_0216"/>
      <sheetName val="22_0216"/>
      <sheetName val="24_0216"/>
      <sheetName val="25_0216"/>
      <sheetName val="28_0216"/>
      <sheetName val="за_февраль16"/>
      <sheetName val="1кв_16"/>
      <sheetName val="Форма_4_116"/>
      <sheetName val="Почта_декабрь16"/>
      <sheetName val="2017_уточ_гр-от_ЦЭКР_01_03_2022"/>
      <sheetName val="с_испр11"/>
      <sheetName val="списки_по_кредиторам11"/>
      <sheetName val="Для_списков11"/>
      <sheetName val="Смета_ПДР4"/>
      <sheetName val="МАТЕР_433,452"/>
      <sheetName val="титул_лист_"/>
      <sheetName val="Исх.данные"/>
      <sheetName val="I"/>
      <sheetName val="gd"/>
      <sheetName val="список"/>
      <sheetName val="Исх_данные"/>
      <sheetName val="Параметры"/>
      <sheetName val="Единица"/>
      <sheetName val="плат_бал17"/>
      <sheetName val="гр_вед17"/>
      <sheetName val="02_0217"/>
      <sheetName val="03_0217"/>
      <sheetName val="04_0217"/>
      <sheetName val="07_0217"/>
      <sheetName val="08_0217"/>
      <sheetName val="09_0217"/>
      <sheetName val="10_0217"/>
      <sheetName val="11_0217"/>
      <sheetName val="14_0217"/>
      <sheetName val="15_0217"/>
      <sheetName val="16_0217"/>
      <sheetName val="17_0217"/>
      <sheetName val="18_0217"/>
      <sheetName val="21_0217"/>
      <sheetName val="22_0217"/>
      <sheetName val="24_0217"/>
      <sheetName val="25_0217"/>
      <sheetName val="28_0217"/>
      <sheetName val="за_февраль17"/>
      <sheetName val="1кв_17"/>
      <sheetName val="Форма_4_117"/>
      <sheetName val="Почта_декабрь17"/>
      <sheetName val="2017_уточ_гр-от_ЦЭКР_01_03_2023"/>
      <sheetName val="с_испр12"/>
      <sheetName val="списки_по_кредиторам12"/>
      <sheetName val="Для_списков12"/>
      <sheetName val="Смета_ПДР5"/>
      <sheetName val="МАТЕР_433,4521"/>
      <sheetName val="титул_лист_1"/>
      <sheetName val="Управление"/>
      <sheetName val="Исх_данные1"/>
      <sheetName val="деятельности"/>
      <sheetName val="неэл"/>
      <sheetName val="Расход мат. (пример)"/>
      <sheetName val="7000"/>
      <sheetName val="Расчет себестоимость"/>
      <sheetName val="пла. б .окт"/>
    </sheetNames>
    <sheetDataSet>
      <sheetData sheetId="0">
        <row r="1">
          <cell r="A1" t="str">
            <v>Октябрьской</v>
          </cell>
        </row>
      </sheetData>
      <sheetData sheetId="1">
        <row r="1">
          <cell r="A1" t="str">
            <v>Октябрьской</v>
          </cell>
        </row>
      </sheetData>
      <sheetData sheetId="2">
        <row r="1">
          <cell r="A1" t="str">
            <v>Октябрьской</v>
          </cell>
        </row>
      </sheetData>
      <sheetData sheetId="3">
        <row r="1">
          <cell r="A1" t="str">
            <v>Октябрьской</v>
          </cell>
        </row>
      </sheetData>
      <sheetData sheetId="4">
        <row r="1">
          <cell r="A1" t="str">
            <v>Октябрьской</v>
          </cell>
        </row>
      </sheetData>
      <sheetData sheetId="5">
        <row r="1">
          <cell r="A1" t="str">
            <v>Октябрьской</v>
          </cell>
        </row>
      </sheetData>
      <sheetData sheetId="6">
        <row r="1">
          <cell r="A1" t="str">
            <v>Октябрьской</v>
          </cell>
        </row>
      </sheetData>
      <sheetData sheetId="7" refreshError="1">
        <row r="1">
          <cell r="A1" t="str">
            <v>Октябрьской</v>
          </cell>
          <cell r="C1" t="str">
            <v>январь</v>
          </cell>
          <cell r="D1" t="str">
            <v>1999г.</v>
          </cell>
        </row>
        <row r="2">
          <cell r="A2" t="str">
            <v>Калинингpадской</v>
          </cell>
          <cell r="C2" t="str">
            <v>февраль</v>
          </cell>
          <cell r="D2" t="str">
            <v>2000г.</v>
          </cell>
        </row>
        <row r="3">
          <cell r="A3" t="str">
            <v>Московской</v>
          </cell>
          <cell r="C3" t="str">
            <v>март</v>
          </cell>
          <cell r="D3" t="str">
            <v>2001г.</v>
          </cell>
        </row>
        <row r="4">
          <cell r="A4" t="str">
            <v>Гоpьковской</v>
          </cell>
          <cell r="C4" t="str">
            <v>апрель</v>
          </cell>
        </row>
        <row r="5">
          <cell r="A5" t="str">
            <v>Севеpной</v>
          </cell>
          <cell r="C5" t="str">
            <v>май</v>
          </cell>
        </row>
        <row r="6">
          <cell r="A6" t="str">
            <v>Севеpо-Кавказской</v>
          </cell>
          <cell r="C6" t="str">
            <v>июнь</v>
          </cell>
        </row>
        <row r="7">
          <cell r="A7" t="str">
            <v>Юго-Восточной</v>
          </cell>
          <cell r="C7" t="str">
            <v>июль</v>
          </cell>
        </row>
        <row r="8">
          <cell r="A8" t="str">
            <v>Пpиволжской</v>
          </cell>
          <cell r="C8" t="str">
            <v>август</v>
          </cell>
        </row>
        <row r="9">
          <cell r="A9" t="str">
            <v>Куйбышевской</v>
          </cell>
          <cell r="C9" t="str">
            <v>сентябрь</v>
          </cell>
        </row>
        <row r="10">
          <cell r="A10" t="str">
            <v>Свеpдловской</v>
          </cell>
          <cell r="C10" t="str">
            <v>октябрь</v>
          </cell>
        </row>
        <row r="11">
          <cell r="A11" t="str">
            <v>Южно-Уpальской</v>
          </cell>
          <cell r="C11" t="str">
            <v>ноябрь</v>
          </cell>
        </row>
        <row r="12">
          <cell r="A12" t="str">
            <v>Западно-Сибиpской</v>
          </cell>
          <cell r="C12" t="str">
            <v>декабрь</v>
          </cell>
        </row>
        <row r="13">
          <cell r="A13" t="str">
            <v>Кемеpовской</v>
          </cell>
        </row>
        <row r="14">
          <cell r="A14" t="str">
            <v>Кpаснояpской</v>
          </cell>
        </row>
        <row r="15">
          <cell r="A15" t="str">
            <v>Восточно-Сибиpской</v>
          </cell>
        </row>
        <row r="16">
          <cell r="A16" t="str">
            <v>Забайкальской</v>
          </cell>
        </row>
        <row r="17">
          <cell r="A17" t="str">
            <v>Дальневосточной</v>
          </cell>
        </row>
        <row r="18">
          <cell r="A18" t="str">
            <v>Сахалинской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>
        <row r="1">
          <cell r="A1" t="str">
            <v>СПРАВКА О ПОСТУПЛЕНИИ И ИСПОЛЬЗОВАНИИ ДЕНЕЖНЫХ СРЕДСТВ</v>
          </cell>
        </row>
      </sheetData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/>
      <sheetData sheetId="65" refreshError="1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>
        <row r="1">
          <cell r="A1" t="str">
            <v>СПРАВКА О ПОСТУПЛЕНИИ И ИСПОЛЬЗОВАНИИ ДЕНЕЖНЫХ СРЕДСТВ</v>
          </cell>
        </row>
      </sheetData>
      <sheetData sheetId="143">
        <row r="1">
          <cell r="A1" t="str">
            <v>СПРАВКА О ПОСТУПЛЕНИИ И ИСПОЛЬЗОВАНИИ ДЕНЕЖНЫХ СРЕДСТВ</v>
          </cell>
        </row>
      </sheetData>
      <sheetData sheetId="144">
        <row r="1">
          <cell r="A1" t="str">
            <v>СПРАВКА О ПОСТУПЛЕНИИ И ИСПОЛЬЗОВАНИИ ДЕНЕЖНЫХ СРЕДСТВ</v>
          </cell>
        </row>
      </sheetData>
      <sheetData sheetId="145">
        <row r="1">
          <cell r="A1" t="str">
            <v>СПРАВКА О ПОСТУПЛЕНИИ И ИСПОЛЬЗОВАНИИ ДЕНЕЖНЫХ СРЕДСТВ</v>
          </cell>
        </row>
      </sheetData>
      <sheetData sheetId="146">
        <row r="1">
          <cell r="A1" t="str">
            <v>СПРАВКА О ПОСТУПЛЕНИИ И ИСПОЛЬЗОВАНИИ ДЕНЕЖНЫХ СРЕДСТВ</v>
          </cell>
        </row>
      </sheetData>
      <sheetData sheetId="147">
        <row r="1">
          <cell r="A1" t="str">
            <v>СПРАВКА О ПОСТУПЛЕНИИ И ИСПОЛЬЗОВАНИИ ДЕНЕЖНЫХ СРЕДСТВ</v>
          </cell>
        </row>
      </sheetData>
      <sheetData sheetId="148">
        <row r="1">
          <cell r="A1" t="str">
            <v>СПРАВКА О ПОСТУПЛЕНИИ И ИСПОЛЬЗОВАНИИ ДЕНЕЖНЫХ СРЕДСТВ</v>
          </cell>
        </row>
      </sheetData>
      <sheetData sheetId="149">
        <row r="1">
          <cell r="A1" t="str">
            <v>СПРАВКА О ПОСТУПЛЕНИИ И ИСПОЛЬЗОВАНИИ ДЕНЕЖНЫХ СРЕДСТВ</v>
          </cell>
        </row>
      </sheetData>
      <sheetData sheetId="150">
        <row r="1">
          <cell r="A1" t="str">
            <v>СПРАВКА О ПОСТУПЛЕНИИ И ИСПОЛЬЗОВАНИИ ДЕНЕЖНЫХ СРЕДСТВ</v>
          </cell>
        </row>
      </sheetData>
      <sheetData sheetId="151">
        <row r="1">
          <cell r="A1" t="str">
            <v>СПРАВКА О ПОСТУПЛЕНИИ И ИСПОЛЬЗОВАНИИ ДЕНЕЖНЫХ СРЕДСТВ</v>
          </cell>
        </row>
      </sheetData>
      <sheetData sheetId="152">
        <row r="1">
          <cell r="A1" t="str">
            <v>СПРАВКА О ПОСТУПЛЕНИИ И ИСПОЛЬЗОВАНИИ ДЕНЕЖНЫХ СРЕДСТВ</v>
          </cell>
        </row>
      </sheetData>
      <sheetData sheetId="153">
        <row r="1">
          <cell r="A1" t="str">
            <v>СПРАВКА О ПОСТУПЛЕНИИ И ИСПОЛЬЗОВАНИИ ДЕНЕЖНЫХ СРЕДСТВ</v>
          </cell>
        </row>
      </sheetData>
      <sheetData sheetId="154">
        <row r="1">
          <cell r="A1" t="str">
            <v>СПРАВКА О ПОСТУПЛЕНИИ И ИСПОЛЬЗОВАНИИ ДЕНЕЖНЫХ СРЕДСТВ</v>
          </cell>
        </row>
      </sheetData>
      <sheetData sheetId="155">
        <row r="1">
          <cell r="A1" t="str">
            <v>СПРАВКА О ПОСТУПЛЕНИИ И ИСПОЛЬЗОВАНИИ ДЕНЕЖНЫХ СРЕДСТВ</v>
          </cell>
        </row>
      </sheetData>
      <sheetData sheetId="156">
        <row r="1">
          <cell r="A1" t="str">
            <v>СПРАВКА О ПОСТУПЛЕНИИ И ИСПОЛЬЗОВАНИИ ДЕНЕЖНЫХ СРЕДСТВ</v>
          </cell>
        </row>
      </sheetData>
      <sheetData sheetId="157">
        <row r="1">
          <cell r="A1" t="str">
            <v>СПРАВКА О ПОСТУПЛЕНИИ И ИСПОЛЬЗОВАНИИ ДЕНЕЖНЫХ СРЕДСТВ</v>
          </cell>
        </row>
      </sheetData>
      <sheetData sheetId="158">
        <row r="1">
          <cell r="A1" t="str">
            <v>СПРАВКА О ПОСТУПЛЕНИИ И ИСПОЛЬЗОВАНИИ ДЕНЕЖНЫХ СРЕДСТВ</v>
          </cell>
        </row>
      </sheetData>
      <sheetData sheetId="159">
        <row r="1">
          <cell r="A1" t="str">
            <v>СПРАВКА О ПОСТУПЛЕНИИ И ИСПОЛЬЗОВАНИИ ДЕНЕЖНЫХ СРЕДСТВ</v>
          </cell>
        </row>
      </sheetData>
      <sheetData sheetId="160">
        <row r="1">
          <cell r="A1" t="str">
            <v>СПРАВКА О ПОСТУПЛЕНИИ И ИСПОЛЬЗОВАНИИ ДЕНЕЖНЫХ СРЕДСТВ</v>
          </cell>
        </row>
      </sheetData>
      <sheetData sheetId="161">
        <row r="1">
          <cell r="A1" t="str">
            <v>СПРАВКА О ПОСТУПЛЕНИИ И ИСПОЛЬЗОВАНИИ ДЕНЕЖНЫХ СРЕДСТВ</v>
          </cell>
        </row>
      </sheetData>
      <sheetData sheetId="162">
        <row r="1">
          <cell r="A1" t="str">
            <v>СПРАВКА О ПОСТУПЛЕНИИ И ИСПОЛЬЗОВАНИИ ДЕНЕЖНЫХ СРЕДСТВ</v>
          </cell>
        </row>
      </sheetData>
      <sheetData sheetId="163">
        <row r="1">
          <cell r="A1" t="str">
            <v>СПРАВКА О ПОСТУПЛЕНИИ И ИСПОЛЬЗОВАНИИ ДЕНЕЖНЫХ СРЕДСТВ</v>
          </cell>
        </row>
      </sheetData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</sheetDataSet>
  </externalBook>
</externalLink>
</file>

<file path=xl/externalLinks/externalLink7.xml><?xml version="1.0" encoding="utf-8"?>
<externalLink xmlns="http://schemas.openxmlformats.org/spreadsheetml/2006/main">
  <externalBook xmlns:r="http://schemas.openxmlformats.org/officeDocument/2006/relationships" r:id="rId1">
    <sheetNames>
      <sheetName val="пла. б .окт"/>
      <sheetName val="пла_ б _окт"/>
      <sheetName val="эксплуатация"/>
      <sheetName val="ПВД"/>
      <sheetName val="ЖКХ"/>
      <sheetName val="ИТОГО"/>
      <sheetName val="ПВД 1"/>
      <sheetName val="ИТОГО)"/>
      <sheetName val="Лист1"/>
      <sheetName val="Лист2"/>
      <sheetName val="Лист3"/>
      <sheetName val="Tier1"/>
      <sheetName val="Client"/>
      <sheetName val="списки по кредиторам"/>
      <sheetName val="справочники "/>
      <sheetName val="Макро"/>
      <sheetName val="пла__б__окт"/>
      <sheetName val="пла__б__окт1"/>
      <sheetName val="ПВД_1"/>
      <sheetName val="списки_по_кредиторам"/>
      <sheetName val="справочники_"/>
      <sheetName val=""/>
      <sheetName val="апрель"/>
      <sheetName val="май"/>
      <sheetName val="июнь"/>
      <sheetName val="2кв."/>
      <sheetName val="2кв_"/>
      <sheetName val="пла__б__окт2"/>
      <sheetName val="пла__б__окт3"/>
      <sheetName val="ПВД_11"/>
      <sheetName val="списки_по_кредиторам1"/>
      <sheetName val="справочники_1"/>
      <sheetName val="2кв_1"/>
      <sheetName val="Спр"/>
      <sheetName val="налоги"/>
      <sheetName val="УПРАВЛЕНИЕ11"/>
      <sheetName val="пла__б__окт4"/>
      <sheetName val="пла__б__окт5"/>
      <sheetName val="ПВД_12"/>
      <sheetName val="списки_по_кредиторам2"/>
      <sheetName val="справочники_2"/>
      <sheetName val="2кв_2"/>
      <sheetName val="прогноз_1"/>
      <sheetName val="vec"/>
      <sheetName val="ìàêðî"/>
      <sheetName val="ПиУгод1"/>
      <sheetName val="Данные"/>
      <sheetName val="путей"/>
      <sheetName val="OMS"/>
      <sheetName val="SENS"/>
      <sheetName val="НП"/>
      <sheetName val="аренда"/>
      <sheetName val="Расходы реклама"/>
      <sheetName val="Дин. Выр."/>
      <sheetName val="ФОТ"/>
      <sheetName val="охрана"/>
      <sheetName val="Хоз.расх."/>
      <sheetName val="&quot;Чистая вода&quot;"/>
      <sheetName val="Тов.бал9"/>
      <sheetName val="СЗ"/>
      <sheetName val="деятельности"/>
      <sheetName val="with project"/>
      <sheetName val="SENSITIVITY"/>
      <sheetName val="Архив по выручке"/>
    </sheetNames>
    <sheetDataSet>
      <sheetData sheetId="0" refreshError="1">
        <row r="13">
          <cell r="A13" t="str">
            <v>1.2.</v>
          </cell>
          <cell r="B13" t="str">
            <v>Выручка за перевозки пассажиров</v>
          </cell>
          <cell r="C13">
            <v>126</v>
          </cell>
          <cell r="D13">
            <v>126</v>
          </cell>
          <cell r="E13">
            <v>0</v>
          </cell>
          <cell r="F13">
            <v>126.1</v>
          </cell>
          <cell r="G13">
            <v>126.1</v>
          </cell>
          <cell r="H13">
            <v>0</v>
          </cell>
          <cell r="I13">
            <v>308.39999999999998</v>
          </cell>
          <cell r="J13">
            <v>112</v>
          </cell>
          <cell r="K13">
            <v>196.4</v>
          </cell>
        </row>
        <row r="14">
          <cell r="B14" t="str">
            <v>из них :</v>
          </cell>
        </row>
        <row r="15">
          <cell r="A15" t="str">
            <v>1.2.1.</v>
          </cell>
          <cell r="B15" t="str">
            <v>дальнее следование</v>
          </cell>
          <cell r="C15">
            <v>96</v>
          </cell>
          <cell r="D15">
            <v>96</v>
          </cell>
          <cell r="E15">
            <v>0</v>
          </cell>
          <cell r="F15">
            <v>96</v>
          </cell>
          <cell r="G15">
            <v>96</v>
          </cell>
          <cell r="H15">
            <v>0</v>
          </cell>
          <cell r="I15">
            <v>93.7</v>
          </cell>
          <cell r="J15">
            <v>93.3</v>
          </cell>
          <cell r="K15">
            <v>0.40000000000000568</v>
          </cell>
        </row>
        <row r="16">
          <cell r="A16" t="str">
            <v>1.2.2.</v>
          </cell>
          <cell r="B16" t="str">
            <v>пригородное сообщение</v>
          </cell>
          <cell r="C16">
            <v>30</v>
          </cell>
          <cell r="D16">
            <v>30</v>
          </cell>
          <cell r="E16">
            <v>0</v>
          </cell>
          <cell r="F16">
            <v>30.1</v>
          </cell>
          <cell r="G16">
            <v>30.1</v>
          </cell>
          <cell r="H16">
            <v>0</v>
          </cell>
          <cell r="I16">
            <v>18.7</v>
          </cell>
          <cell r="J16">
            <v>18.7</v>
          </cell>
          <cell r="K16">
            <v>0</v>
          </cell>
        </row>
        <row r="17">
          <cell r="A17" t="str">
            <v>1.2.3.</v>
          </cell>
          <cell r="B17" t="str">
            <v>воинские перевозки</v>
          </cell>
          <cell r="E17">
            <v>0</v>
          </cell>
          <cell r="H17">
            <v>0</v>
          </cell>
          <cell r="I17">
            <v>196</v>
          </cell>
          <cell r="K17">
            <v>196</v>
          </cell>
        </row>
      </sheetData>
      <sheetData sheetId="1"/>
      <sheetData sheetId="2"/>
      <sheetData sheetId="3" refreshError="1"/>
      <sheetData sheetId="4" refreshError="1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/>
      <sheetData sheetId="20"/>
      <sheetData sheetId="21" refreshError="1"/>
      <sheetData sheetId="22"/>
      <sheetData sheetId="23"/>
      <sheetData sheetId="24"/>
      <sheetData sheetId="25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/>
      <sheetData sheetId="62"/>
      <sheetData sheetId="63" refreshError="1"/>
    </sheetDataSet>
  </externalBook>
</externalLink>
</file>

<file path=xl/externalLinks/externalLink8.xml><?xml version="1.0" encoding="utf-8"?>
<externalLink xmlns="http://schemas.openxmlformats.org/spreadsheetml/2006/main">
  <externalBook xmlns:r="http://schemas.openxmlformats.org/officeDocument/2006/relationships" r:id="rId1">
    <sheetNames>
      <sheetName val="спис дальн"/>
      <sheetName val="свод общ"/>
      <sheetName val="разл варианты"/>
      <sheetName val="свод 1кл"/>
      <sheetName val="коэфф"/>
      <sheetName val="табл 4"/>
      <sheetName val="за расст"/>
      <sheetName val="график"/>
      <sheetName val="уголь"/>
      <sheetName val="уголь кокс"/>
      <sheetName val="мин-стр"/>
      <sheetName val="кокс"/>
      <sheetName val="291"/>
      <sheetName val="271,301,304"/>
      <sheetName val="341"/>
      <sheetName val="141"/>
      <sheetName val="142"/>
      <sheetName val="ост 151"/>
      <sheetName val="глинозем"/>
      <sheetName val="руды нефел"/>
      <sheetName val="81 пв"/>
      <sheetName val="91пв"/>
      <sheetName val="сера"/>
      <sheetName val="ост 1кл"/>
      <sheetName val="сх 25"/>
      <sheetName val="Лист1"/>
      <sheetName val="дальн"/>
      <sheetName val="униф 25 сх"/>
      <sheetName val="база пв соб гр"/>
      <sheetName val="база пв соб пор"/>
      <sheetName val="база пв инв"/>
      <sheetName val="В привл"/>
      <sheetName val="Лист2"/>
    </sheetNames>
    <sheetDataSet>
      <sheetData sheetId="0" refreshError="1"/>
      <sheetData sheetId="1" refreshError="1"/>
      <sheetData sheetId="2" refreshError="1"/>
      <sheetData sheetId="3" refreshError="1"/>
      <sheetData sheetId="4">
        <row r="4">
          <cell r="D4">
            <v>1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/>
    </sheetDataSet>
  </externalBook>
</externalLink>
</file>

<file path=xl/externalLinks/externalLink9.xml><?xml version="1.0" encoding="utf-8"?>
<externalLink xmlns="http://schemas.openxmlformats.org/spreadsheetml/2006/main">
  <externalBook xmlns:r="http://schemas.openxmlformats.org/officeDocument/2006/relationships" r:id="rId1">
    <sheetNames>
      <sheetName val="REF"/>
      <sheetName val="REF (2)"/>
      <sheetName val="Лист2"/>
    </sheetNames>
    <sheetDataSet>
      <sheetData sheetId="0">
        <row r="4">
          <cell r="A4" t="str">
            <v>по состоянию АБД ПВ ГВЦ на 10.02.2004 г.</v>
          </cell>
        </row>
        <row r="6">
          <cell r="A6" t="str">
            <v>Список отсортирован по предприятиям-собственникам</v>
          </cell>
          <cell r="E6" t="str">
            <v>Общее кол-во вагонов - 1734</v>
          </cell>
        </row>
        <row r="7">
          <cell r="A7" t="str">
            <v>Номер</v>
          </cell>
          <cell r="B7" t="str">
            <v>Наименование</v>
          </cell>
          <cell r="C7" t="str">
            <v>Станция (дорога)</v>
          </cell>
          <cell r="D7" t="str">
            <v>Дата</v>
          </cell>
          <cell r="E7" t="str">
            <v>Последн.деп. рем.</v>
          </cell>
          <cell r="G7" t="str">
            <v>Последний кап. ремонт</v>
          </cell>
          <cell r="I7" t="str">
            <v>Вид план.</v>
          </cell>
          <cell r="J7" t="str">
            <v>Дата план.</v>
          </cell>
        </row>
        <row r="8">
          <cell r="A8" t="str">
            <v>вагона</v>
          </cell>
          <cell r="B8" t="str">
            <v>предприятия</v>
          </cell>
          <cell r="C8" t="str">
            <v>приписки</v>
          </cell>
          <cell r="D8" t="str">
            <v>постр.</v>
          </cell>
          <cell r="E8" t="str">
            <v>Дата</v>
          </cell>
          <cell r="F8" t="str">
            <v>Депо</v>
          </cell>
          <cell r="G8" t="str">
            <v>Дата</v>
          </cell>
          <cell r="H8" t="str">
            <v>Депо</v>
          </cell>
          <cell r="I8" t="str">
            <v>ремонта</v>
          </cell>
          <cell r="J8" t="str">
            <v>ремонта</v>
          </cell>
        </row>
        <row r="9">
          <cell r="A9">
            <v>58742420</v>
          </cell>
          <cell r="B9" t="str">
            <v>4К КОМПАНИЯ ЖТЭ</v>
          </cell>
          <cell r="C9" t="str">
            <v>ВОЛОКОЛАМСК  (МСK)</v>
          </cell>
          <cell r="D9">
            <v>32509</v>
          </cell>
          <cell r="F9">
            <v>0</v>
          </cell>
          <cell r="G9">
            <v>37959</v>
          </cell>
          <cell r="H9">
            <v>886</v>
          </cell>
          <cell r="I9" t="str">
            <v>деп</v>
          </cell>
          <cell r="J9">
            <v>38507</v>
          </cell>
        </row>
        <row r="10">
          <cell r="A10">
            <v>58742438</v>
          </cell>
          <cell r="B10" t="str">
            <v>4К КОМПАНИЯ ЖТЭ</v>
          </cell>
          <cell r="C10" t="str">
            <v>ВОЛОКОЛАМСК  (МСK)</v>
          </cell>
          <cell r="D10">
            <v>32509</v>
          </cell>
          <cell r="F10">
            <v>0</v>
          </cell>
          <cell r="G10">
            <v>37959</v>
          </cell>
          <cell r="H10">
            <v>886</v>
          </cell>
          <cell r="I10" t="str">
            <v>деп</v>
          </cell>
          <cell r="J10">
            <v>38507</v>
          </cell>
        </row>
        <row r="11">
          <cell r="A11">
            <v>58742446</v>
          </cell>
          <cell r="B11" t="str">
            <v>4К КОМПАНИЯ ЖТЭ</v>
          </cell>
          <cell r="C11" t="str">
            <v>ВОЛОКОЛАМСК  (МСK)</v>
          </cell>
          <cell r="D11">
            <v>32509</v>
          </cell>
          <cell r="F11">
            <v>0</v>
          </cell>
          <cell r="G11">
            <v>37959</v>
          </cell>
          <cell r="H11">
            <v>886</v>
          </cell>
          <cell r="I11" t="str">
            <v>деп</v>
          </cell>
          <cell r="J11">
            <v>38507</v>
          </cell>
        </row>
        <row r="12">
          <cell r="B12" t="str">
            <v>4К КОМПАНИЯ ЖТЭ Количество</v>
          </cell>
          <cell r="D12">
            <v>3</v>
          </cell>
        </row>
        <row r="13">
          <cell r="A13">
            <v>53400552</v>
          </cell>
          <cell r="B13" t="str">
            <v>АВАНГАРД-ЛИЗИНГ</v>
          </cell>
          <cell r="C13" t="str">
            <v>ХОВРИНО      (ОКТ)</v>
          </cell>
          <cell r="D13">
            <v>32660</v>
          </cell>
          <cell r="E13">
            <v>37905</v>
          </cell>
          <cell r="F13">
            <v>492</v>
          </cell>
          <cell r="H13">
            <v>0</v>
          </cell>
          <cell r="I13" t="str">
            <v>деп</v>
          </cell>
          <cell r="J13">
            <v>38453</v>
          </cell>
        </row>
        <row r="14">
          <cell r="A14">
            <v>53400560</v>
          </cell>
          <cell r="B14" t="str">
            <v>АВАНГАРД-ЛИЗИНГ</v>
          </cell>
          <cell r="C14" t="str">
            <v>ХОВРИНО      (ОКТ)</v>
          </cell>
          <cell r="D14">
            <v>32660</v>
          </cell>
          <cell r="E14">
            <v>37809</v>
          </cell>
          <cell r="F14">
            <v>492</v>
          </cell>
          <cell r="H14">
            <v>0</v>
          </cell>
          <cell r="I14" t="str">
            <v>деп</v>
          </cell>
          <cell r="J14">
            <v>38359</v>
          </cell>
        </row>
        <row r="15">
          <cell r="A15">
            <v>53400578</v>
          </cell>
          <cell r="B15" t="str">
            <v>АВАНГАРД-ЛИЗИНГ</v>
          </cell>
          <cell r="C15" t="str">
            <v>ХОВРИНО      (ОКТ)</v>
          </cell>
          <cell r="D15">
            <v>32660</v>
          </cell>
          <cell r="E15">
            <v>37753</v>
          </cell>
          <cell r="F15">
            <v>492</v>
          </cell>
          <cell r="H15">
            <v>0</v>
          </cell>
          <cell r="I15" t="str">
            <v>деп</v>
          </cell>
          <cell r="J15">
            <v>38303</v>
          </cell>
        </row>
        <row r="16">
          <cell r="A16">
            <v>53400602</v>
          </cell>
          <cell r="B16" t="str">
            <v>АВАНГАРД-ЛИЗИНГ</v>
          </cell>
          <cell r="C16" t="str">
            <v>ХОВРИНО      (ОКТ)</v>
          </cell>
          <cell r="D16">
            <v>32660</v>
          </cell>
          <cell r="E16">
            <v>37848</v>
          </cell>
          <cell r="F16">
            <v>492</v>
          </cell>
          <cell r="H16">
            <v>0</v>
          </cell>
          <cell r="I16" t="str">
            <v>деп</v>
          </cell>
          <cell r="J16">
            <v>38398</v>
          </cell>
        </row>
        <row r="17">
          <cell r="A17">
            <v>53400610</v>
          </cell>
          <cell r="B17" t="str">
            <v>АВАНГАРД-ЛИЗИНГ</v>
          </cell>
          <cell r="C17" t="str">
            <v>ХОВРИНО      (ОКТ)</v>
          </cell>
          <cell r="D17">
            <v>32660</v>
          </cell>
          <cell r="E17">
            <v>37965</v>
          </cell>
          <cell r="F17">
            <v>492</v>
          </cell>
          <cell r="H17">
            <v>0</v>
          </cell>
          <cell r="I17" t="str">
            <v>кап</v>
          </cell>
          <cell r="J17">
            <v>38513</v>
          </cell>
        </row>
        <row r="18">
          <cell r="A18">
            <v>53400669</v>
          </cell>
          <cell r="B18" t="str">
            <v>АВАНГАРД-ЛИЗИНГ</v>
          </cell>
          <cell r="C18" t="str">
            <v>ХОВРИНО      (ОКТ)</v>
          </cell>
          <cell r="D18">
            <v>32629</v>
          </cell>
          <cell r="E18">
            <v>37885</v>
          </cell>
          <cell r="F18">
            <v>492</v>
          </cell>
          <cell r="H18">
            <v>0</v>
          </cell>
          <cell r="I18" t="str">
            <v>деп</v>
          </cell>
          <cell r="J18">
            <v>38432</v>
          </cell>
        </row>
        <row r="19">
          <cell r="A19">
            <v>53400677</v>
          </cell>
          <cell r="B19" t="str">
            <v>АВАНГАРД-ЛИЗИНГ</v>
          </cell>
          <cell r="C19" t="str">
            <v>ХОВРИНО      (ОКТ)</v>
          </cell>
          <cell r="D19">
            <v>32660</v>
          </cell>
          <cell r="E19">
            <v>37982</v>
          </cell>
          <cell r="F19">
            <v>557</v>
          </cell>
          <cell r="H19">
            <v>0</v>
          </cell>
          <cell r="I19" t="str">
            <v>кап</v>
          </cell>
          <cell r="J19">
            <v>38530</v>
          </cell>
        </row>
        <row r="20">
          <cell r="A20">
            <v>53400685</v>
          </cell>
          <cell r="B20" t="str">
            <v>АВАНГАРД-ЛИЗИНГ</v>
          </cell>
          <cell r="C20" t="str">
            <v>ХОВРИНО      (ОКТ)</v>
          </cell>
          <cell r="D20">
            <v>32660</v>
          </cell>
          <cell r="E20">
            <v>37864</v>
          </cell>
          <cell r="F20">
            <v>492</v>
          </cell>
          <cell r="H20">
            <v>0</v>
          </cell>
          <cell r="I20" t="str">
            <v>деп</v>
          </cell>
          <cell r="J20">
            <v>38411</v>
          </cell>
        </row>
        <row r="21">
          <cell r="A21">
            <v>53400727</v>
          </cell>
          <cell r="B21" t="str">
            <v>АВАНГАРД-ЛИЗИНГ</v>
          </cell>
          <cell r="C21" t="str">
            <v>ХОВРИНО      (ОКТ)</v>
          </cell>
          <cell r="D21">
            <v>32690</v>
          </cell>
          <cell r="E21">
            <v>37819</v>
          </cell>
          <cell r="F21">
            <v>492</v>
          </cell>
          <cell r="H21">
            <v>0</v>
          </cell>
          <cell r="I21" t="str">
            <v>деп</v>
          </cell>
          <cell r="J21">
            <v>38369</v>
          </cell>
        </row>
        <row r="22">
          <cell r="A22">
            <v>53400735</v>
          </cell>
          <cell r="B22" t="str">
            <v>АВАНГАРД-ЛИЗИНГ</v>
          </cell>
          <cell r="C22" t="str">
            <v>ХОВРИНО      (ОКТ)</v>
          </cell>
          <cell r="D22">
            <v>32660</v>
          </cell>
          <cell r="E22">
            <v>37928</v>
          </cell>
          <cell r="F22">
            <v>492</v>
          </cell>
          <cell r="H22">
            <v>0</v>
          </cell>
          <cell r="I22" t="str">
            <v>деп</v>
          </cell>
          <cell r="J22">
            <v>38475</v>
          </cell>
        </row>
        <row r="23">
          <cell r="A23">
            <v>53705943</v>
          </cell>
          <cell r="B23" t="str">
            <v>АВАНГАРД-ЛИЗИНГ</v>
          </cell>
          <cell r="C23" t="str">
            <v>ХОВРИНО      (ОКТ)</v>
          </cell>
          <cell r="D23">
            <v>32540</v>
          </cell>
          <cell r="E23">
            <v>37839</v>
          </cell>
          <cell r="F23">
            <v>886</v>
          </cell>
          <cell r="H23">
            <v>0</v>
          </cell>
          <cell r="I23" t="str">
            <v>кап</v>
          </cell>
          <cell r="J23">
            <v>38389</v>
          </cell>
        </row>
        <row r="24">
          <cell r="A24">
            <v>53705950</v>
          </cell>
          <cell r="B24" t="str">
            <v>АВАНГАРД-ЛИЗИНГ</v>
          </cell>
          <cell r="C24" t="str">
            <v>ХОВРИНО      (ОКТ)</v>
          </cell>
          <cell r="D24">
            <v>32629</v>
          </cell>
          <cell r="E24">
            <v>37809</v>
          </cell>
          <cell r="F24">
            <v>163</v>
          </cell>
          <cell r="H24">
            <v>0</v>
          </cell>
          <cell r="I24" t="str">
            <v>деп</v>
          </cell>
          <cell r="J24">
            <v>38359</v>
          </cell>
        </row>
        <row r="25">
          <cell r="A25">
            <v>53706081</v>
          </cell>
          <cell r="B25" t="str">
            <v>АВАНГАРД-ЛИЗИНГ</v>
          </cell>
          <cell r="C25" t="str">
            <v>ХОВРИНО      (ОКТ)</v>
          </cell>
          <cell r="D25">
            <v>32721</v>
          </cell>
          <cell r="E25">
            <v>38013</v>
          </cell>
          <cell r="F25">
            <v>163</v>
          </cell>
          <cell r="H25">
            <v>0</v>
          </cell>
          <cell r="I25" t="str">
            <v>деп</v>
          </cell>
          <cell r="J25">
            <v>38560</v>
          </cell>
        </row>
        <row r="26">
          <cell r="A26">
            <v>53706123</v>
          </cell>
          <cell r="B26" t="str">
            <v>АВАНГАРД-ЛИЗИНГ</v>
          </cell>
          <cell r="C26" t="str">
            <v>ХОВРИНО      (ОКТ)</v>
          </cell>
          <cell r="D26">
            <v>32721</v>
          </cell>
          <cell r="E26">
            <v>37887</v>
          </cell>
          <cell r="F26">
            <v>557</v>
          </cell>
          <cell r="H26">
            <v>0</v>
          </cell>
          <cell r="I26" t="str">
            <v>деп</v>
          </cell>
          <cell r="J26">
            <v>38434</v>
          </cell>
        </row>
        <row r="27">
          <cell r="A27">
            <v>53706149</v>
          </cell>
          <cell r="B27" t="str">
            <v>АВАНГАРД-ЛИЗИНГ</v>
          </cell>
          <cell r="C27" t="str">
            <v>ХОВРИНО      (ОКТ)</v>
          </cell>
          <cell r="D27">
            <v>32721</v>
          </cell>
          <cell r="E27">
            <v>37927</v>
          </cell>
          <cell r="F27">
            <v>886</v>
          </cell>
          <cell r="H27">
            <v>0</v>
          </cell>
          <cell r="I27" t="str">
            <v>деп</v>
          </cell>
          <cell r="J27">
            <v>38474</v>
          </cell>
        </row>
        <row r="28">
          <cell r="A28">
            <v>58721499</v>
          </cell>
          <cell r="B28" t="str">
            <v>АВАНГАРД-ЛИЗИНГ</v>
          </cell>
          <cell r="C28" t="str">
            <v>ХОВРИНО      (ОКТ)</v>
          </cell>
          <cell r="D28">
            <v>32721</v>
          </cell>
          <cell r="E28">
            <v>37927</v>
          </cell>
          <cell r="F28">
            <v>557</v>
          </cell>
          <cell r="H28">
            <v>0</v>
          </cell>
          <cell r="I28" t="str">
            <v>деп</v>
          </cell>
          <cell r="J28">
            <v>38474</v>
          </cell>
        </row>
        <row r="29">
          <cell r="A29">
            <v>58721598</v>
          </cell>
          <cell r="B29" t="str">
            <v>АВАНГАРД-ЛИЗИНГ</v>
          </cell>
          <cell r="C29" t="str">
            <v>ХОВРИНО      (ОКТ)</v>
          </cell>
          <cell r="D29">
            <v>32721</v>
          </cell>
          <cell r="E29">
            <v>37927</v>
          </cell>
          <cell r="F29">
            <v>557</v>
          </cell>
          <cell r="H29">
            <v>0</v>
          </cell>
          <cell r="I29" t="str">
            <v>деп</v>
          </cell>
          <cell r="J29">
            <v>38474</v>
          </cell>
        </row>
        <row r="30">
          <cell r="A30">
            <v>58721697</v>
          </cell>
          <cell r="B30" t="str">
            <v>АВАНГАРД-ЛИЗИНГ</v>
          </cell>
          <cell r="C30" t="str">
            <v>ХОВРИНО      (ОКТ)</v>
          </cell>
          <cell r="D30">
            <v>32721</v>
          </cell>
          <cell r="E30">
            <v>37927</v>
          </cell>
          <cell r="F30">
            <v>557</v>
          </cell>
          <cell r="H30">
            <v>0</v>
          </cell>
          <cell r="I30" t="str">
            <v>деп</v>
          </cell>
          <cell r="J30">
            <v>38474</v>
          </cell>
        </row>
        <row r="31">
          <cell r="A31">
            <v>58721796</v>
          </cell>
          <cell r="B31" t="str">
            <v>АВАНГАРД-ЛИЗИНГ</v>
          </cell>
          <cell r="C31" t="str">
            <v>ХОВРИНО      (ОКТ)</v>
          </cell>
          <cell r="D31">
            <v>32721</v>
          </cell>
          <cell r="E31">
            <v>37927</v>
          </cell>
          <cell r="F31">
            <v>557</v>
          </cell>
          <cell r="H31">
            <v>0</v>
          </cell>
          <cell r="I31" t="str">
            <v>деп</v>
          </cell>
          <cell r="J31">
            <v>38474</v>
          </cell>
        </row>
        <row r="32">
          <cell r="A32">
            <v>58722299</v>
          </cell>
          <cell r="B32" t="str">
            <v>АВАНГАРД-ЛИЗИНГ</v>
          </cell>
          <cell r="C32" t="str">
            <v>ХОВРИНО      (ОКТ)</v>
          </cell>
          <cell r="D32">
            <v>32721</v>
          </cell>
          <cell r="E32">
            <v>37890</v>
          </cell>
          <cell r="F32">
            <v>557</v>
          </cell>
          <cell r="H32">
            <v>0</v>
          </cell>
          <cell r="I32" t="str">
            <v>деп</v>
          </cell>
          <cell r="J32">
            <v>38437</v>
          </cell>
        </row>
        <row r="33">
          <cell r="A33">
            <v>58722398</v>
          </cell>
          <cell r="B33" t="str">
            <v>АВАНГАРД-ЛИЗИНГ</v>
          </cell>
          <cell r="C33" t="str">
            <v>ХОВРИНО      (ОКТ)</v>
          </cell>
          <cell r="D33">
            <v>32721</v>
          </cell>
          <cell r="E33">
            <v>37887</v>
          </cell>
          <cell r="F33">
            <v>557</v>
          </cell>
          <cell r="H33">
            <v>0</v>
          </cell>
          <cell r="I33" t="str">
            <v>деп</v>
          </cell>
          <cell r="J33">
            <v>38434</v>
          </cell>
        </row>
        <row r="34">
          <cell r="A34">
            <v>58722497</v>
          </cell>
          <cell r="B34" t="str">
            <v>АВАНГАРД-ЛИЗИНГ</v>
          </cell>
          <cell r="C34" t="str">
            <v>ХОВРИНО      (ОКТ)</v>
          </cell>
          <cell r="D34">
            <v>32721</v>
          </cell>
          <cell r="E34">
            <v>37890</v>
          </cell>
          <cell r="F34">
            <v>557</v>
          </cell>
          <cell r="H34">
            <v>0</v>
          </cell>
          <cell r="I34" t="str">
            <v>деп</v>
          </cell>
          <cell r="J34">
            <v>38437</v>
          </cell>
        </row>
        <row r="35">
          <cell r="A35">
            <v>58722596</v>
          </cell>
          <cell r="B35" t="str">
            <v>АВАНГАРД-ЛИЗИНГ</v>
          </cell>
          <cell r="C35" t="str">
            <v>ХОВРИНО      (ОКТ)</v>
          </cell>
          <cell r="D35">
            <v>32721</v>
          </cell>
          <cell r="E35">
            <v>37890</v>
          </cell>
          <cell r="F35">
            <v>557</v>
          </cell>
          <cell r="H35">
            <v>0</v>
          </cell>
          <cell r="I35" t="str">
            <v>деп</v>
          </cell>
          <cell r="J35">
            <v>38437</v>
          </cell>
        </row>
        <row r="36">
          <cell r="A36">
            <v>58723099</v>
          </cell>
          <cell r="B36" t="str">
            <v>АВАНГАРД-ЛИЗИНГ</v>
          </cell>
          <cell r="C36" t="str">
            <v>ХОВРИНО      (ОКТ)</v>
          </cell>
          <cell r="D36">
            <v>32721</v>
          </cell>
          <cell r="E36">
            <v>37927</v>
          </cell>
          <cell r="F36">
            <v>886</v>
          </cell>
          <cell r="H36">
            <v>0</v>
          </cell>
          <cell r="I36" t="str">
            <v>деп</v>
          </cell>
          <cell r="J36">
            <v>38474</v>
          </cell>
        </row>
        <row r="37">
          <cell r="A37">
            <v>58723198</v>
          </cell>
          <cell r="B37" t="str">
            <v>АВАНГАРД-ЛИЗИНГ</v>
          </cell>
          <cell r="C37" t="str">
            <v>ХОВРИНО      (ОКТ)</v>
          </cell>
          <cell r="D37">
            <v>32721</v>
          </cell>
          <cell r="E37">
            <v>37927</v>
          </cell>
          <cell r="F37">
            <v>886</v>
          </cell>
          <cell r="H37">
            <v>0</v>
          </cell>
          <cell r="I37" t="str">
            <v>деп</v>
          </cell>
          <cell r="J37">
            <v>38474</v>
          </cell>
        </row>
        <row r="38">
          <cell r="A38">
            <v>58723297</v>
          </cell>
          <cell r="B38" t="str">
            <v>АВАНГАРД-ЛИЗИНГ</v>
          </cell>
          <cell r="C38" t="str">
            <v>ХОВРИНО      (ОКТ)</v>
          </cell>
          <cell r="D38">
            <v>32721</v>
          </cell>
          <cell r="E38">
            <v>37885</v>
          </cell>
          <cell r="F38">
            <v>557</v>
          </cell>
          <cell r="H38">
            <v>0</v>
          </cell>
          <cell r="I38" t="str">
            <v>деп</v>
          </cell>
          <cell r="J38">
            <v>38432</v>
          </cell>
        </row>
        <row r="39">
          <cell r="A39">
            <v>58723396</v>
          </cell>
          <cell r="B39" t="str">
            <v>АВАНГАРД-ЛИЗИНГ</v>
          </cell>
          <cell r="C39" t="str">
            <v>ХОВРИНО      (ОКТ)</v>
          </cell>
          <cell r="D39">
            <v>32721</v>
          </cell>
          <cell r="E39">
            <v>37927</v>
          </cell>
          <cell r="F39">
            <v>886</v>
          </cell>
          <cell r="H39">
            <v>0</v>
          </cell>
          <cell r="I39" t="str">
            <v>деп</v>
          </cell>
          <cell r="J39">
            <v>38474</v>
          </cell>
        </row>
        <row r="40">
          <cell r="A40">
            <v>58729583</v>
          </cell>
          <cell r="B40" t="str">
            <v>АВАНГАРД-ЛИЗИНГ</v>
          </cell>
          <cell r="C40" t="str">
            <v>ХОВРИНО      (ОКТ)</v>
          </cell>
          <cell r="D40">
            <v>32540</v>
          </cell>
          <cell r="E40">
            <v>37839</v>
          </cell>
          <cell r="F40">
            <v>886</v>
          </cell>
          <cell r="H40">
            <v>0</v>
          </cell>
          <cell r="I40" t="str">
            <v>кап</v>
          </cell>
          <cell r="J40">
            <v>38389</v>
          </cell>
        </row>
        <row r="41">
          <cell r="A41">
            <v>58729609</v>
          </cell>
          <cell r="B41" t="str">
            <v>АВАНГАРД-ЛИЗИНГ</v>
          </cell>
          <cell r="C41" t="str">
            <v>ХОВРИНО      (ОКТ)</v>
          </cell>
          <cell r="D41">
            <v>32540</v>
          </cell>
          <cell r="E41">
            <v>37839</v>
          </cell>
          <cell r="F41">
            <v>886</v>
          </cell>
          <cell r="H41">
            <v>0</v>
          </cell>
          <cell r="I41" t="str">
            <v>кап</v>
          </cell>
          <cell r="J41">
            <v>38389</v>
          </cell>
        </row>
        <row r="42">
          <cell r="A42">
            <v>58729617</v>
          </cell>
          <cell r="B42" t="str">
            <v>АВАНГАРД-ЛИЗИНГ</v>
          </cell>
          <cell r="C42" t="str">
            <v>ХОВРИНО      (ОКТ)</v>
          </cell>
          <cell r="D42">
            <v>32540</v>
          </cell>
          <cell r="E42">
            <v>37839</v>
          </cell>
          <cell r="F42">
            <v>886</v>
          </cell>
          <cell r="H42">
            <v>0</v>
          </cell>
          <cell r="I42" t="str">
            <v>кап</v>
          </cell>
          <cell r="J42">
            <v>38389</v>
          </cell>
        </row>
        <row r="43">
          <cell r="A43">
            <v>58729625</v>
          </cell>
          <cell r="B43" t="str">
            <v>АВАНГАРД-ЛИЗИНГ</v>
          </cell>
          <cell r="C43" t="str">
            <v>ХОВРИНО      (ОКТ)</v>
          </cell>
          <cell r="D43">
            <v>32540</v>
          </cell>
          <cell r="E43">
            <v>37839</v>
          </cell>
          <cell r="F43">
            <v>886</v>
          </cell>
          <cell r="H43">
            <v>0</v>
          </cell>
          <cell r="I43" t="str">
            <v>кап</v>
          </cell>
          <cell r="J43">
            <v>38389</v>
          </cell>
        </row>
        <row r="44">
          <cell r="A44">
            <v>58729633</v>
          </cell>
          <cell r="B44" t="str">
            <v>АВАНГАРД-ЛИЗИНГ</v>
          </cell>
          <cell r="C44" t="str">
            <v>ХОВРИНО      (ОКТ)</v>
          </cell>
          <cell r="D44">
            <v>32629</v>
          </cell>
          <cell r="E44">
            <v>37809</v>
          </cell>
          <cell r="F44">
            <v>163</v>
          </cell>
          <cell r="H44">
            <v>0</v>
          </cell>
          <cell r="I44" t="str">
            <v>деп</v>
          </cell>
          <cell r="J44">
            <v>38359</v>
          </cell>
        </row>
        <row r="45">
          <cell r="A45">
            <v>58729641</v>
          </cell>
          <cell r="B45" t="str">
            <v>АВАНГАРД-ЛИЗИНГ</v>
          </cell>
          <cell r="C45" t="str">
            <v>ХОВРИНО      (ОКТ)</v>
          </cell>
          <cell r="D45">
            <v>32629</v>
          </cell>
          <cell r="E45">
            <v>37809</v>
          </cell>
          <cell r="F45">
            <v>163</v>
          </cell>
          <cell r="H45">
            <v>0</v>
          </cell>
          <cell r="I45" t="str">
            <v>деп</v>
          </cell>
          <cell r="J45">
            <v>38359</v>
          </cell>
        </row>
        <row r="46">
          <cell r="A46">
            <v>58729658</v>
          </cell>
          <cell r="B46" t="str">
            <v>АВАНГАРД-ЛИЗИНГ</v>
          </cell>
          <cell r="C46" t="str">
            <v>ХОВРИНО      (ОКТ)</v>
          </cell>
          <cell r="D46">
            <v>32629</v>
          </cell>
          <cell r="E46">
            <v>37809</v>
          </cell>
          <cell r="F46">
            <v>163</v>
          </cell>
          <cell r="H46">
            <v>0</v>
          </cell>
          <cell r="I46" t="str">
            <v>деп</v>
          </cell>
          <cell r="J46">
            <v>38359</v>
          </cell>
        </row>
        <row r="47">
          <cell r="A47">
            <v>58729666</v>
          </cell>
          <cell r="B47" t="str">
            <v>АВАНГАРД-ЛИЗИНГ</v>
          </cell>
          <cell r="C47" t="str">
            <v>ХОВРИНО      (ОКТ)</v>
          </cell>
          <cell r="D47">
            <v>32629</v>
          </cell>
          <cell r="E47">
            <v>37809</v>
          </cell>
          <cell r="F47">
            <v>163</v>
          </cell>
          <cell r="H47">
            <v>0</v>
          </cell>
          <cell r="I47" t="str">
            <v>деп</v>
          </cell>
          <cell r="J47">
            <v>38359</v>
          </cell>
        </row>
        <row r="48">
          <cell r="A48">
            <v>58731688</v>
          </cell>
          <cell r="B48" t="str">
            <v>АВАНГАРД-ЛИЗИНГ</v>
          </cell>
          <cell r="C48" t="str">
            <v>ХОВРИНО      (ОКТ)</v>
          </cell>
          <cell r="D48">
            <v>32660</v>
          </cell>
          <cell r="E48">
            <v>37905</v>
          </cell>
          <cell r="F48">
            <v>492</v>
          </cell>
          <cell r="H48">
            <v>0</v>
          </cell>
          <cell r="I48" t="str">
            <v>деп</v>
          </cell>
          <cell r="J48">
            <v>38453</v>
          </cell>
        </row>
        <row r="49">
          <cell r="A49">
            <v>58731696</v>
          </cell>
          <cell r="B49" t="str">
            <v>АВАНГАРД-ЛИЗИНГ</v>
          </cell>
          <cell r="C49" t="str">
            <v>ХОВРИНО      (ОКТ)</v>
          </cell>
          <cell r="D49">
            <v>32660</v>
          </cell>
          <cell r="E49">
            <v>37905</v>
          </cell>
          <cell r="F49">
            <v>492</v>
          </cell>
          <cell r="H49">
            <v>0</v>
          </cell>
          <cell r="I49" t="str">
            <v>деп</v>
          </cell>
          <cell r="J49">
            <v>38453</v>
          </cell>
        </row>
        <row r="50">
          <cell r="A50">
            <v>58731704</v>
          </cell>
          <cell r="B50" t="str">
            <v>АВАНГАРД-ЛИЗИНГ</v>
          </cell>
          <cell r="C50" t="str">
            <v>ХОВРИНО      (ОКТ)</v>
          </cell>
          <cell r="D50">
            <v>32660</v>
          </cell>
          <cell r="E50">
            <v>37905</v>
          </cell>
          <cell r="F50">
            <v>492</v>
          </cell>
          <cell r="H50">
            <v>0</v>
          </cell>
          <cell r="I50" t="str">
            <v>деп</v>
          </cell>
          <cell r="J50">
            <v>38453</v>
          </cell>
        </row>
        <row r="51">
          <cell r="A51">
            <v>58731712</v>
          </cell>
          <cell r="B51" t="str">
            <v>АВАНГАРД-ЛИЗИНГ</v>
          </cell>
          <cell r="C51" t="str">
            <v>ХОВРИНО      (ОКТ)</v>
          </cell>
          <cell r="D51">
            <v>32660</v>
          </cell>
          <cell r="E51">
            <v>37905</v>
          </cell>
          <cell r="F51">
            <v>492</v>
          </cell>
          <cell r="H51">
            <v>0</v>
          </cell>
          <cell r="I51" t="str">
            <v>деп</v>
          </cell>
          <cell r="J51">
            <v>38453</v>
          </cell>
        </row>
        <row r="52">
          <cell r="A52">
            <v>58731720</v>
          </cell>
          <cell r="B52" t="str">
            <v>АВАНГАРД-ЛИЗИНГ</v>
          </cell>
          <cell r="C52" t="str">
            <v>ХОВРИНО      (ОКТ)</v>
          </cell>
          <cell r="D52">
            <v>32660</v>
          </cell>
          <cell r="E52">
            <v>37809</v>
          </cell>
          <cell r="F52">
            <v>492</v>
          </cell>
          <cell r="H52">
            <v>0</v>
          </cell>
          <cell r="I52" t="str">
            <v>деп</v>
          </cell>
          <cell r="J52">
            <v>38359</v>
          </cell>
        </row>
        <row r="53">
          <cell r="A53">
            <v>58731738</v>
          </cell>
          <cell r="B53" t="str">
            <v>АВАНГАРД-ЛИЗИНГ</v>
          </cell>
          <cell r="C53" t="str">
            <v>ХОВРИНО      (ОКТ)</v>
          </cell>
          <cell r="D53">
            <v>32660</v>
          </cell>
          <cell r="E53">
            <v>37809</v>
          </cell>
          <cell r="F53">
            <v>492</v>
          </cell>
          <cell r="H53">
            <v>0</v>
          </cell>
          <cell r="I53" t="str">
            <v>деп</v>
          </cell>
          <cell r="J53">
            <v>38359</v>
          </cell>
        </row>
        <row r="54">
          <cell r="A54">
            <v>58731746</v>
          </cell>
          <cell r="B54" t="str">
            <v>АВАНГАРД-ЛИЗИНГ</v>
          </cell>
          <cell r="C54" t="str">
            <v>ХОВРИНО      (ОКТ)</v>
          </cell>
          <cell r="D54">
            <v>32660</v>
          </cell>
          <cell r="E54">
            <v>37809</v>
          </cell>
          <cell r="F54">
            <v>492</v>
          </cell>
          <cell r="H54">
            <v>0</v>
          </cell>
          <cell r="I54" t="str">
            <v>деп</v>
          </cell>
          <cell r="J54">
            <v>38359</v>
          </cell>
        </row>
        <row r="55">
          <cell r="A55">
            <v>58731753</v>
          </cell>
          <cell r="B55" t="str">
            <v>АВАНГАРД-ЛИЗИНГ</v>
          </cell>
          <cell r="C55" t="str">
            <v>ХОВРИНО      (ОКТ)</v>
          </cell>
          <cell r="D55">
            <v>32660</v>
          </cell>
          <cell r="E55">
            <v>37809</v>
          </cell>
          <cell r="F55">
            <v>492</v>
          </cell>
          <cell r="H55">
            <v>0</v>
          </cell>
          <cell r="I55" t="str">
            <v>деп</v>
          </cell>
          <cell r="J55">
            <v>38359</v>
          </cell>
        </row>
        <row r="56">
          <cell r="A56">
            <v>58731761</v>
          </cell>
          <cell r="B56" t="str">
            <v>АВАНГАРД-ЛИЗИНГ</v>
          </cell>
          <cell r="C56" t="str">
            <v>ХОВРИНО      (ОКТ)</v>
          </cell>
          <cell r="D56">
            <v>32660</v>
          </cell>
          <cell r="E56">
            <v>37753</v>
          </cell>
          <cell r="F56">
            <v>492</v>
          </cell>
          <cell r="H56">
            <v>0</v>
          </cell>
          <cell r="I56" t="str">
            <v>деп</v>
          </cell>
          <cell r="J56">
            <v>38303</v>
          </cell>
        </row>
        <row r="57">
          <cell r="A57">
            <v>58731779</v>
          </cell>
          <cell r="B57" t="str">
            <v>АВАНГАРД-ЛИЗИНГ</v>
          </cell>
          <cell r="C57" t="str">
            <v>ХОВРИНО      (ОКТ)</v>
          </cell>
          <cell r="D57">
            <v>32660</v>
          </cell>
          <cell r="E57">
            <v>37753</v>
          </cell>
          <cell r="F57">
            <v>492</v>
          </cell>
          <cell r="H57">
            <v>0</v>
          </cell>
          <cell r="I57" t="str">
            <v>деп</v>
          </cell>
          <cell r="J57">
            <v>38303</v>
          </cell>
        </row>
        <row r="58">
          <cell r="A58">
            <v>58731787</v>
          </cell>
          <cell r="B58" t="str">
            <v>АВАНГАРД-ЛИЗИНГ</v>
          </cell>
          <cell r="C58" t="str">
            <v>ХОВРИНО      (ОКТ)</v>
          </cell>
          <cell r="D58">
            <v>32660</v>
          </cell>
          <cell r="E58">
            <v>37753</v>
          </cell>
          <cell r="F58">
            <v>492</v>
          </cell>
          <cell r="H58">
            <v>0</v>
          </cell>
          <cell r="I58" t="str">
            <v>деп</v>
          </cell>
          <cell r="J58">
            <v>38303</v>
          </cell>
        </row>
        <row r="59">
          <cell r="A59">
            <v>58731795</v>
          </cell>
          <cell r="B59" t="str">
            <v>АВАНГАРД-ЛИЗИНГ</v>
          </cell>
          <cell r="C59" t="str">
            <v>ХОВРИНО      (ОКТ)</v>
          </cell>
          <cell r="D59">
            <v>32660</v>
          </cell>
          <cell r="E59">
            <v>37753</v>
          </cell>
          <cell r="F59">
            <v>492</v>
          </cell>
          <cell r="H59">
            <v>0</v>
          </cell>
          <cell r="I59" t="str">
            <v>деп</v>
          </cell>
          <cell r="J59">
            <v>38303</v>
          </cell>
        </row>
        <row r="60">
          <cell r="A60">
            <v>58731845</v>
          </cell>
          <cell r="B60" t="str">
            <v>АВАНГАРД-ЛИЗИНГ</v>
          </cell>
          <cell r="C60" t="str">
            <v>ХОВРИНО      (ОКТ)</v>
          </cell>
          <cell r="D60">
            <v>32660</v>
          </cell>
          <cell r="E60">
            <v>37848</v>
          </cell>
          <cell r="F60">
            <v>492</v>
          </cell>
          <cell r="H60">
            <v>0</v>
          </cell>
          <cell r="I60" t="str">
            <v>деп</v>
          </cell>
          <cell r="J60">
            <v>38398</v>
          </cell>
        </row>
        <row r="61">
          <cell r="A61">
            <v>58731852</v>
          </cell>
          <cell r="B61" t="str">
            <v>АВАНГАРД-ЛИЗИНГ</v>
          </cell>
          <cell r="C61" t="str">
            <v>ХОВРИНО      (ОКТ)</v>
          </cell>
          <cell r="D61">
            <v>32660</v>
          </cell>
          <cell r="E61">
            <v>37848</v>
          </cell>
          <cell r="F61">
            <v>492</v>
          </cell>
          <cell r="H61">
            <v>0</v>
          </cell>
          <cell r="I61" t="str">
            <v>деп</v>
          </cell>
          <cell r="J61">
            <v>38398</v>
          </cell>
        </row>
        <row r="62">
          <cell r="A62">
            <v>58731860</v>
          </cell>
          <cell r="B62" t="str">
            <v>АВАНГАРД-ЛИЗИНГ</v>
          </cell>
          <cell r="C62" t="str">
            <v>ХОВРИНО      (ОКТ)</v>
          </cell>
          <cell r="D62">
            <v>32660</v>
          </cell>
          <cell r="E62">
            <v>37848</v>
          </cell>
          <cell r="F62">
            <v>492</v>
          </cell>
          <cell r="H62">
            <v>0</v>
          </cell>
          <cell r="I62" t="str">
            <v>деп</v>
          </cell>
          <cell r="J62">
            <v>38398</v>
          </cell>
        </row>
        <row r="63">
          <cell r="A63">
            <v>58731878</v>
          </cell>
          <cell r="B63" t="str">
            <v>АВАНГАРД-ЛИЗИНГ</v>
          </cell>
          <cell r="C63" t="str">
            <v>ХОВРИНО      (ОКТ)</v>
          </cell>
          <cell r="D63">
            <v>32660</v>
          </cell>
          <cell r="E63">
            <v>37848</v>
          </cell>
          <cell r="F63">
            <v>492</v>
          </cell>
          <cell r="H63">
            <v>0</v>
          </cell>
          <cell r="I63" t="str">
            <v>деп</v>
          </cell>
          <cell r="J63">
            <v>38398</v>
          </cell>
        </row>
        <row r="64">
          <cell r="A64">
            <v>58731886</v>
          </cell>
          <cell r="B64" t="str">
            <v>АВАНГАРД-ЛИЗИНГ</v>
          </cell>
          <cell r="C64" t="str">
            <v>ХОВРИНО      (ОКТ)</v>
          </cell>
          <cell r="D64">
            <v>32660</v>
          </cell>
          <cell r="E64">
            <v>37965</v>
          </cell>
          <cell r="F64">
            <v>492</v>
          </cell>
          <cell r="H64">
            <v>0</v>
          </cell>
          <cell r="I64" t="str">
            <v>кап</v>
          </cell>
          <cell r="J64">
            <v>38513</v>
          </cell>
        </row>
        <row r="65">
          <cell r="A65">
            <v>58731894</v>
          </cell>
          <cell r="B65" t="str">
            <v>АВАНГАРД-ЛИЗИНГ</v>
          </cell>
          <cell r="C65" t="str">
            <v>ХОВРИНО      (ОКТ)</v>
          </cell>
          <cell r="D65">
            <v>32660</v>
          </cell>
          <cell r="E65">
            <v>37965</v>
          </cell>
          <cell r="F65">
            <v>492</v>
          </cell>
          <cell r="H65">
            <v>0</v>
          </cell>
          <cell r="I65" t="str">
            <v>кап</v>
          </cell>
          <cell r="J65">
            <v>38513</v>
          </cell>
        </row>
        <row r="66">
          <cell r="A66">
            <v>58731902</v>
          </cell>
          <cell r="B66" t="str">
            <v>АВАНГАРД-ЛИЗИНГ</v>
          </cell>
          <cell r="C66" t="str">
            <v>ХОВРИНО      (ОКТ)</v>
          </cell>
          <cell r="D66">
            <v>32660</v>
          </cell>
          <cell r="E66">
            <v>37965</v>
          </cell>
          <cell r="F66">
            <v>492</v>
          </cell>
          <cell r="H66">
            <v>0</v>
          </cell>
          <cell r="I66" t="str">
            <v>кап</v>
          </cell>
          <cell r="J66">
            <v>38513</v>
          </cell>
        </row>
        <row r="67">
          <cell r="A67">
            <v>58731910</v>
          </cell>
          <cell r="B67" t="str">
            <v>АВАНГАРД-ЛИЗИНГ</v>
          </cell>
          <cell r="C67" t="str">
            <v>ХОВРИНО      (ОКТ)</v>
          </cell>
          <cell r="D67">
            <v>32660</v>
          </cell>
          <cell r="E67">
            <v>37965</v>
          </cell>
          <cell r="F67">
            <v>492</v>
          </cell>
          <cell r="H67">
            <v>0</v>
          </cell>
          <cell r="I67" t="str">
            <v>кап</v>
          </cell>
          <cell r="J67">
            <v>38513</v>
          </cell>
        </row>
        <row r="68">
          <cell r="A68">
            <v>58732041</v>
          </cell>
          <cell r="B68" t="str">
            <v>АВАНГАРД-ЛИЗИНГ</v>
          </cell>
          <cell r="C68" t="str">
            <v>ХОВРИНО      (ОКТ)</v>
          </cell>
          <cell r="D68">
            <v>32629</v>
          </cell>
          <cell r="E68">
            <v>37885</v>
          </cell>
          <cell r="F68">
            <v>492</v>
          </cell>
          <cell r="H68">
            <v>0</v>
          </cell>
          <cell r="I68" t="str">
            <v>деп</v>
          </cell>
          <cell r="J68">
            <v>38432</v>
          </cell>
        </row>
        <row r="69">
          <cell r="A69">
            <v>58732058</v>
          </cell>
          <cell r="B69" t="str">
            <v>АВАНГАРД-ЛИЗИНГ</v>
          </cell>
          <cell r="C69" t="str">
            <v>ХОВРИНО      (ОКТ)</v>
          </cell>
          <cell r="D69">
            <v>32629</v>
          </cell>
          <cell r="E69">
            <v>37885</v>
          </cell>
          <cell r="F69">
            <v>492</v>
          </cell>
          <cell r="H69">
            <v>0</v>
          </cell>
          <cell r="I69" t="str">
            <v>деп</v>
          </cell>
          <cell r="J69">
            <v>38432</v>
          </cell>
        </row>
        <row r="70">
          <cell r="A70">
            <v>58732066</v>
          </cell>
          <cell r="B70" t="str">
            <v>АВАНГАРД-ЛИЗИНГ</v>
          </cell>
          <cell r="C70" t="str">
            <v>ХОВРИНО      (ОКТ)</v>
          </cell>
          <cell r="D70">
            <v>32629</v>
          </cell>
          <cell r="E70">
            <v>37885</v>
          </cell>
          <cell r="F70">
            <v>492</v>
          </cell>
          <cell r="H70">
            <v>0</v>
          </cell>
          <cell r="I70" t="str">
            <v>деп</v>
          </cell>
          <cell r="J70">
            <v>38432</v>
          </cell>
        </row>
        <row r="71">
          <cell r="A71">
            <v>58732074</v>
          </cell>
          <cell r="B71" t="str">
            <v>АВАНГАРД-ЛИЗИНГ</v>
          </cell>
          <cell r="C71" t="str">
            <v>ХОВРИНО      (ОКТ)</v>
          </cell>
          <cell r="D71">
            <v>32629</v>
          </cell>
          <cell r="E71">
            <v>37885</v>
          </cell>
          <cell r="F71">
            <v>492</v>
          </cell>
          <cell r="H71">
            <v>0</v>
          </cell>
          <cell r="I71" t="str">
            <v>деп</v>
          </cell>
          <cell r="J71">
            <v>38432</v>
          </cell>
        </row>
        <row r="72">
          <cell r="A72">
            <v>58732082</v>
          </cell>
          <cell r="B72" t="str">
            <v>АВАНГАРД-ЛИЗИНГ</v>
          </cell>
          <cell r="C72" t="str">
            <v>ХОВРИНО      (ОКТ)</v>
          </cell>
          <cell r="D72">
            <v>32660</v>
          </cell>
          <cell r="E72">
            <v>37982</v>
          </cell>
          <cell r="F72">
            <v>557</v>
          </cell>
          <cell r="H72">
            <v>0</v>
          </cell>
          <cell r="I72" t="str">
            <v>кап</v>
          </cell>
          <cell r="J72">
            <v>38530</v>
          </cell>
        </row>
        <row r="73">
          <cell r="A73">
            <v>58732090</v>
          </cell>
          <cell r="B73" t="str">
            <v>АВАНГАРД-ЛИЗИНГ</v>
          </cell>
          <cell r="C73" t="str">
            <v>ХОВРИНО      (ОКТ)</v>
          </cell>
          <cell r="D73">
            <v>32660</v>
          </cell>
          <cell r="E73">
            <v>37982</v>
          </cell>
          <cell r="F73">
            <v>557</v>
          </cell>
          <cell r="H73">
            <v>0</v>
          </cell>
          <cell r="I73" t="str">
            <v>кап</v>
          </cell>
          <cell r="J73">
            <v>38530</v>
          </cell>
        </row>
        <row r="74">
          <cell r="A74">
            <v>58732108</v>
          </cell>
          <cell r="B74" t="str">
            <v>АВАНГАРД-ЛИЗИНГ</v>
          </cell>
          <cell r="C74" t="str">
            <v>ХОВРИНО      (ОКТ)</v>
          </cell>
          <cell r="D74">
            <v>32660</v>
          </cell>
          <cell r="E74">
            <v>37982</v>
          </cell>
          <cell r="F74">
            <v>557</v>
          </cell>
          <cell r="H74">
            <v>0</v>
          </cell>
          <cell r="I74" t="str">
            <v>кап</v>
          </cell>
          <cell r="J74">
            <v>38530</v>
          </cell>
        </row>
        <row r="75">
          <cell r="A75">
            <v>58732116</v>
          </cell>
          <cell r="B75" t="str">
            <v>АВАНГАРД-ЛИЗИНГ</v>
          </cell>
          <cell r="C75" t="str">
            <v>ХОВРИНО      (ОКТ)</v>
          </cell>
          <cell r="D75">
            <v>32660</v>
          </cell>
          <cell r="E75">
            <v>37982</v>
          </cell>
          <cell r="F75">
            <v>557</v>
          </cell>
          <cell r="H75">
            <v>0</v>
          </cell>
          <cell r="I75" t="str">
            <v>кап</v>
          </cell>
          <cell r="J75">
            <v>38530</v>
          </cell>
        </row>
        <row r="76">
          <cell r="A76">
            <v>58732124</v>
          </cell>
          <cell r="B76" t="str">
            <v>АВАНГАРД-ЛИЗИНГ</v>
          </cell>
          <cell r="C76" t="str">
            <v>ХОВРИНО      (ОКТ)</v>
          </cell>
          <cell r="D76">
            <v>32660</v>
          </cell>
          <cell r="E76">
            <v>37864</v>
          </cell>
          <cell r="F76">
            <v>492</v>
          </cell>
          <cell r="H76">
            <v>0</v>
          </cell>
          <cell r="I76" t="str">
            <v>деп</v>
          </cell>
          <cell r="J76">
            <v>38411</v>
          </cell>
        </row>
        <row r="77">
          <cell r="A77">
            <v>58732132</v>
          </cell>
          <cell r="B77" t="str">
            <v>АВАНГАРД-ЛИЗИНГ</v>
          </cell>
          <cell r="C77" t="str">
            <v>ХОВРИНО      (ОКТ)</v>
          </cell>
          <cell r="D77">
            <v>32660</v>
          </cell>
          <cell r="E77">
            <v>37864</v>
          </cell>
          <cell r="F77">
            <v>492</v>
          </cell>
          <cell r="H77">
            <v>0</v>
          </cell>
          <cell r="I77" t="str">
            <v>деп</v>
          </cell>
          <cell r="J77">
            <v>38411</v>
          </cell>
        </row>
        <row r="78">
          <cell r="A78">
            <v>58732140</v>
          </cell>
          <cell r="B78" t="str">
            <v>АВАНГАРД-ЛИЗИНГ</v>
          </cell>
          <cell r="C78" t="str">
            <v>ХОВРИНО      (ОКТ)</v>
          </cell>
          <cell r="D78">
            <v>32660</v>
          </cell>
          <cell r="E78">
            <v>37864</v>
          </cell>
          <cell r="F78">
            <v>492</v>
          </cell>
          <cell r="H78">
            <v>0</v>
          </cell>
          <cell r="I78" t="str">
            <v>деп</v>
          </cell>
          <cell r="J78">
            <v>38411</v>
          </cell>
        </row>
        <row r="79">
          <cell r="A79">
            <v>58732157</v>
          </cell>
          <cell r="B79" t="str">
            <v>АВАНГАРД-ЛИЗИНГ</v>
          </cell>
          <cell r="C79" t="str">
            <v>ХОВРИНО      (ОКТ)</v>
          </cell>
          <cell r="D79">
            <v>32660</v>
          </cell>
          <cell r="E79">
            <v>37864</v>
          </cell>
          <cell r="F79">
            <v>492</v>
          </cell>
          <cell r="H79">
            <v>0</v>
          </cell>
          <cell r="I79" t="str">
            <v>деп</v>
          </cell>
          <cell r="J79">
            <v>38411</v>
          </cell>
        </row>
        <row r="80">
          <cell r="A80">
            <v>58732249</v>
          </cell>
          <cell r="B80" t="str">
            <v>АВАНГАРД-ЛИЗИНГ</v>
          </cell>
          <cell r="C80" t="str">
            <v>ХОВРИНО      (ОКТ)</v>
          </cell>
          <cell r="D80">
            <v>32690</v>
          </cell>
          <cell r="E80">
            <v>37819</v>
          </cell>
          <cell r="F80">
            <v>492</v>
          </cell>
          <cell r="H80">
            <v>0</v>
          </cell>
          <cell r="I80" t="str">
            <v>деп</v>
          </cell>
          <cell r="J80">
            <v>38369</v>
          </cell>
        </row>
        <row r="81">
          <cell r="A81">
            <v>58732256</v>
          </cell>
          <cell r="B81" t="str">
            <v>АВАНГАРД-ЛИЗИНГ</v>
          </cell>
          <cell r="C81" t="str">
            <v>ХОВРИНО      (ОКТ)</v>
          </cell>
          <cell r="D81">
            <v>32690</v>
          </cell>
          <cell r="E81">
            <v>37819</v>
          </cell>
          <cell r="F81">
            <v>492</v>
          </cell>
          <cell r="H81">
            <v>0</v>
          </cell>
          <cell r="I81" t="str">
            <v>деп</v>
          </cell>
          <cell r="J81">
            <v>38369</v>
          </cell>
        </row>
        <row r="82">
          <cell r="A82">
            <v>58732264</v>
          </cell>
          <cell r="B82" t="str">
            <v>АВАНГАРД-ЛИЗИНГ</v>
          </cell>
          <cell r="C82" t="str">
            <v>ХОВРИНО      (ОКТ)</v>
          </cell>
          <cell r="D82">
            <v>32690</v>
          </cell>
          <cell r="E82">
            <v>37819</v>
          </cell>
          <cell r="F82">
            <v>492</v>
          </cell>
          <cell r="H82">
            <v>0</v>
          </cell>
          <cell r="I82" t="str">
            <v>деп</v>
          </cell>
          <cell r="J82">
            <v>38369</v>
          </cell>
        </row>
        <row r="83">
          <cell r="A83">
            <v>58732272</v>
          </cell>
          <cell r="B83" t="str">
            <v>АВАНГАРД-ЛИЗИНГ</v>
          </cell>
          <cell r="C83" t="str">
            <v>ХОВРИНО      (ОКТ)</v>
          </cell>
          <cell r="D83">
            <v>32690</v>
          </cell>
          <cell r="E83">
            <v>37819</v>
          </cell>
          <cell r="F83">
            <v>492</v>
          </cell>
          <cell r="H83">
            <v>0</v>
          </cell>
          <cell r="I83" t="str">
            <v>деп</v>
          </cell>
          <cell r="J83">
            <v>38369</v>
          </cell>
        </row>
        <row r="84">
          <cell r="A84">
            <v>58732280</v>
          </cell>
          <cell r="B84" t="str">
            <v>АВАНГАРД-ЛИЗИНГ</v>
          </cell>
          <cell r="C84" t="str">
            <v>ХОВРИНО      (ОКТ)</v>
          </cell>
          <cell r="D84">
            <v>32660</v>
          </cell>
          <cell r="E84">
            <v>37928</v>
          </cell>
          <cell r="F84">
            <v>492</v>
          </cell>
          <cell r="H84">
            <v>0</v>
          </cell>
          <cell r="I84" t="str">
            <v>деп</v>
          </cell>
          <cell r="J84">
            <v>38475</v>
          </cell>
        </row>
        <row r="85">
          <cell r="A85">
            <v>58732298</v>
          </cell>
          <cell r="B85" t="str">
            <v>АВАНГАРД-ЛИЗИНГ</v>
          </cell>
          <cell r="C85" t="str">
            <v>ХОВРИНО      (ОКТ)</v>
          </cell>
          <cell r="D85">
            <v>32660</v>
          </cell>
          <cell r="E85">
            <v>37928</v>
          </cell>
          <cell r="F85">
            <v>492</v>
          </cell>
          <cell r="H85">
            <v>0</v>
          </cell>
          <cell r="I85" t="str">
            <v>деп</v>
          </cell>
          <cell r="J85">
            <v>38475</v>
          </cell>
        </row>
        <row r="86">
          <cell r="A86">
            <v>58732306</v>
          </cell>
          <cell r="B86" t="str">
            <v>АВАНГАРД-ЛИЗИНГ</v>
          </cell>
          <cell r="C86" t="str">
            <v>ХОВРИНО      (ОКТ)</v>
          </cell>
          <cell r="D86">
            <v>32660</v>
          </cell>
          <cell r="E86">
            <v>37928</v>
          </cell>
          <cell r="F86">
            <v>492</v>
          </cell>
          <cell r="H86">
            <v>0</v>
          </cell>
          <cell r="I86" t="str">
            <v>деп</v>
          </cell>
          <cell r="J86">
            <v>38475</v>
          </cell>
        </row>
        <row r="87">
          <cell r="A87">
            <v>58732314</v>
          </cell>
          <cell r="B87" t="str">
            <v>АВАНГАРД-ЛИЗИНГ</v>
          </cell>
          <cell r="C87" t="str">
            <v>ХОВРИНО      (ОКТ)</v>
          </cell>
          <cell r="D87">
            <v>32660</v>
          </cell>
          <cell r="E87">
            <v>37928</v>
          </cell>
          <cell r="F87">
            <v>492</v>
          </cell>
          <cell r="H87">
            <v>0</v>
          </cell>
          <cell r="I87" t="str">
            <v>деп</v>
          </cell>
          <cell r="J87">
            <v>38475</v>
          </cell>
        </row>
        <row r="88">
          <cell r="B88" t="str">
            <v>АВАНГАРД-ЛИЗИНГ Количество</v>
          </cell>
          <cell r="D88">
            <v>75</v>
          </cell>
        </row>
        <row r="89">
          <cell r="A89">
            <v>53706479</v>
          </cell>
          <cell r="B89" t="str">
            <v>АВИРТУС</v>
          </cell>
          <cell r="C89" t="str">
            <v>ЛЮБЛИНО-СОРТ (МСK)</v>
          </cell>
          <cell r="D89">
            <v>29551</v>
          </cell>
          <cell r="E89">
            <v>34759</v>
          </cell>
          <cell r="F89">
            <v>0</v>
          </cell>
          <cell r="G89">
            <v>37652</v>
          </cell>
          <cell r="H89">
            <v>886</v>
          </cell>
          <cell r="I89" t="str">
            <v>деп</v>
          </cell>
          <cell r="J89">
            <v>38199</v>
          </cell>
        </row>
        <row r="90">
          <cell r="A90">
            <v>53706628</v>
          </cell>
          <cell r="B90" t="str">
            <v>АВИРТУС</v>
          </cell>
          <cell r="C90" t="str">
            <v>ЛЮБЛИНО-СОРТ (МСK)</v>
          </cell>
          <cell r="D90">
            <v>28722</v>
          </cell>
          <cell r="E90">
            <v>34516</v>
          </cell>
          <cell r="F90">
            <v>0</v>
          </cell>
          <cell r="G90">
            <v>37875</v>
          </cell>
          <cell r="H90">
            <v>886</v>
          </cell>
          <cell r="I90" t="str">
            <v>деп</v>
          </cell>
          <cell r="J90">
            <v>38422</v>
          </cell>
        </row>
        <row r="91">
          <cell r="A91">
            <v>53706636</v>
          </cell>
          <cell r="B91" t="str">
            <v>АВИРТУС</v>
          </cell>
          <cell r="C91" t="str">
            <v>ЛЮБЛИНО-СОРТ (МСK)</v>
          </cell>
          <cell r="D91">
            <v>28745</v>
          </cell>
          <cell r="E91">
            <v>34516</v>
          </cell>
          <cell r="F91">
            <v>0</v>
          </cell>
          <cell r="G91">
            <v>37929</v>
          </cell>
          <cell r="H91">
            <v>886</v>
          </cell>
          <cell r="I91" t="str">
            <v>деп</v>
          </cell>
          <cell r="J91">
            <v>38476</v>
          </cell>
        </row>
        <row r="92">
          <cell r="A92">
            <v>53706644</v>
          </cell>
          <cell r="B92" t="str">
            <v>АВИРТУС</v>
          </cell>
          <cell r="C92" t="str">
            <v>ЛЮБЛИНО-СОРТ (МСK)</v>
          </cell>
          <cell r="D92">
            <v>28491</v>
          </cell>
          <cell r="E92">
            <v>33878</v>
          </cell>
          <cell r="F92">
            <v>0</v>
          </cell>
          <cell r="G92">
            <v>32874</v>
          </cell>
          <cell r="H92">
            <v>0</v>
          </cell>
          <cell r="I92" t="str">
            <v>деп</v>
          </cell>
          <cell r="J92">
            <v>34425</v>
          </cell>
        </row>
        <row r="93">
          <cell r="A93">
            <v>53706651</v>
          </cell>
          <cell r="B93" t="str">
            <v>АВИРТУС</v>
          </cell>
          <cell r="C93" t="str">
            <v>ЛЮБЛИНО-СОРТ (МСK)</v>
          </cell>
          <cell r="D93">
            <v>29139</v>
          </cell>
          <cell r="E93">
            <v>33970</v>
          </cell>
          <cell r="F93">
            <v>0</v>
          </cell>
          <cell r="G93">
            <v>37875</v>
          </cell>
          <cell r="H93">
            <v>886</v>
          </cell>
          <cell r="I93" t="str">
            <v>деп</v>
          </cell>
          <cell r="J93">
            <v>38422</v>
          </cell>
        </row>
        <row r="94">
          <cell r="A94">
            <v>53706669</v>
          </cell>
          <cell r="B94" t="str">
            <v>АВИРТУС</v>
          </cell>
          <cell r="C94" t="str">
            <v>ЛЮБЛИНО-СОРТ (МСK)</v>
          </cell>
          <cell r="D94">
            <v>28102</v>
          </cell>
          <cell r="E94">
            <v>34700</v>
          </cell>
          <cell r="F94">
            <v>0</v>
          </cell>
          <cell r="G94">
            <v>37921</v>
          </cell>
          <cell r="H94">
            <v>886</v>
          </cell>
          <cell r="I94" t="str">
            <v>деп</v>
          </cell>
          <cell r="J94">
            <v>38469</v>
          </cell>
        </row>
        <row r="95">
          <cell r="A95">
            <v>53706677</v>
          </cell>
          <cell r="B95" t="str">
            <v>АВИРТУС</v>
          </cell>
          <cell r="C95" t="str">
            <v>ЛЮБЛИНО-СОРТ (МСK)</v>
          </cell>
          <cell r="D95">
            <v>27343</v>
          </cell>
          <cell r="E95">
            <v>34151</v>
          </cell>
          <cell r="F95">
            <v>0</v>
          </cell>
          <cell r="G95">
            <v>37921</v>
          </cell>
          <cell r="H95">
            <v>886</v>
          </cell>
          <cell r="I95" t="str">
            <v>деп</v>
          </cell>
          <cell r="J95">
            <v>38469</v>
          </cell>
        </row>
        <row r="96">
          <cell r="A96">
            <v>53706685</v>
          </cell>
          <cell r="B96" t="str">
            <v>АВИРТУС</v>
          </cell>
          <cell r="C96" t="str">
            <v>ЛЮБЛИНО-СОРТ (МСK)</v>
          </cell>
          <cell r="D96">
            <v>29739</v>
          </cell>
          <cell r="E96">
            <v>31594</v>
          </cell>
          <cell r="F96">
            <v>0</v>
          </cell>
          <cell r="G96">
            <v>37921</v>
          </cell>
          <cell r="H96">
            <v>886</v>
          </cell>
          <cell r="I96" t="str">
            <v>деп</v>
          </cell>
          <cell r="J96">
            <v>38469</v>
          </cell>
        </row>
        <row r="97">
          <cell r="A97">
            <v>53706800</v>
          </cell>
          <cell r="B97" t="str">
            <v>АВИРТУС</v>
          </cell>
          <cell r="C97" t="str">
            <v>ЛЮБЛИНО-СОРТ (МСK)</v>
          </cell>
          <cell r="D97">
            <v>29952</v>
          </cell>
          <cell r="E97">
            <v>34455</v>
          </cell>
          <cell r="F97">
            <v>0</v>
          </cell>
          <cell r="H97">
            <v>0</v>
          </cell>
          <cell r="I97" t="str">
            <v>кап</v>
          </cell>
          <cell r="J97">
            <v>35004</v>
          </cell>
        </row>
        <row r="98">
          <cell r="A98">
            <v>53706818</v>
          </cell>
          <cell r="B98" t="str">
            <v>АВИРТУС</v>
          </cell>
          <cell r="C98" t="str">
            <v>ЛЮБЛИНО-СОРТ (МСK)</v>
          </cell>
          <cell r="D98">
            <v>29587</v>
          </cell>
          <cell r="E98">
            <v>34820</v>
          </cell>
          <cell r="F98">
            <v>0</v>
          </cell>
          <cell r="G98">
            <v>33604</v>
          </cell>
          <cell r="H98">
            <v>0</v>
          </cell>
          <cell r="I98" t="str">
            <v>деп</v>
          </cell>
          <cell r="J98">
            <v>35370</v>
          </cell>
        </row>
        <row r="99">
          <cell r="A99">
            <v>53706826</v>
          </cell>
          <cell r="B99" t="str">
            <v>АВИРТУС</v>
          </cell>
          <cell r="C99" t="str">
            <v>ЛЮБЛИНО-СОРТ (МСK)</v>
          </cell>
          <cell r="D99">
            <v>28441</v>
          </cell>
          <cell r="E99">
            <v>34578</v>
          </cell>
          <cell r="F99">
            <v>0</v>
          </cell>
          <cell r="G99">
            <v>32143</v>
          </cell>
          <cell r="H99">
            <v>0</v>
          </cell>
          <cell r="I99" t="str">
            <v>деп</v>
          </cell>
          <cell r="J99">
            <v>35125</v>
          </cell>
        </row>
        <row r="100">
          <cell r="A100">
            <v>53706834</v>
          </cell>
          <cell r="B100" t="str">
            <v>АВИРТУС</v>
          </cell>
          <cell r="C100" t="str">
            <v>ЛЮБЛИНО-СОРТ (МСK)</v>
          </cell>
          <cell r="D100">
            <v>28469</v>
          </cell>
          <cell r="E100">
            <v>31291</v>
          </cell>
          <cell r="F100">
            <v>0</v>
          </cell>
          <cell r="H100">
            <v>0</v>
          </cell>
          <cell r="I100" t="str">
            <v>кап</v>
          </cell>
          <cell r="J100">
            <v>31837</v>
          </cell>
        </row>
        <row r="101">
          <cell r="A101">
            <v>58740655</v>
          </cell>
          <cell r="B101" t="str">
            <v>АВИРТУС</v>
          </cell>
          <cell r="C101" t="str">
            <v>ЛЮБЛИНО-СОРТ (МСK)</v>
          </cell>
          <cell r="D101">
            <v>29551</v>
          </cell>
          <cell r="E101">
            <v>34759</v>
          </cell>
          <cell r="F101">
            <v>0</v>
          </cell>
          <cell r="G101">
            <v>37652</v>
          </cell>
          <cell r="H101">
            <v>886</v>
          </cell>
          <cell r="I101" t="str">
            <v>деп</v>
          </cell>
          <cell r="J101">
            <v>38199</v>
          </cell>
        </row>
        <row r="102">
          <cell r="A102">
            <v>58740663</v>
          </cell>
          <cell r="B102" t="str">
            <v>АВИРТУС</v>
          </cell>
          <cell r="C102" t="str">
            <v>ЛЮБЛИНО-СОРТ (МСK)</v>
          </cell>
          <cell r="D102">
            <v>29551</v>
          </cell>
          <cell r="F102">
            <v>0</v>
          </cell>
          <cell r="G102">
            <v>37652</v>
          </cell>
          <cell r="H102">
            <v>886</v>
          </cell>
          <cell r="I102" t="str">
            <v>деп</v>
          </cell>
          <cell r="J102">
            <v>38199</v>
          </cell>
        </row>
        <row r="103">
          <cell r="A103">
            <v>58740671</v>
          </cell>
          <cell r="B103" t="str">
            <v>АВИРТУС</v>
          </cell>
          <cell r="C103" t="str">
            <v>ЛЮБЛИНО-СОРТ (МСK)</v>
          </cell>
          <cell r="D103">
            <v>29551</v>
          </cell>
          <cell r="E103">
            <v>31107</v>
          </cell>
          <cell r="F103">
            <v>0</v>
          </cell>
          <cell r="G103">
            <v>37652</v>
          </cell>
          <cell r="H103">
            <v>886</v>
          </cell>
          <cell r="I103" t="str">
            <v>деп</v>
          </cell>
          <cell r="J103">
            <v>38199</v>
          </cell>
        </row>
        <row r="104">
          <cell r="A104">
            <v>58740689</v>
          </cell>
          <cell r="B104" t="str">
            <v>АВИРТУС</v>
          </cell>
          <cell r="C104" t="str">
            <v>ЛЮБЛИНО-СОРТ (МСK)</v>
          </cell>
          <cell r="D104">
            <v>29551</v>
          </cell>
          <cell r="E104">
            <v>34759</v>
          </cell>
          <cell r="F104">
            <v>0</v>
          </cell>
          <cell r="G104">
            <v>37652</v>
          </cell>
          <cell r="H104">
            <v>886</v>
          </cell>
          <cell r="I104" t="str">
            <v>деп</v>
          </cell>
          <cell r="J104">
            <v>38199</v>
          </cell>
        </row>
        <row r="105">
          <cell r="A105">
            <v>58741240</v>
          </cell>
          <cell r="B105" t="str">
            <v>АВИРТУС</v>
          </cell>
          <cell r="C105" t="str">
            <v>ЛЮБЛИНО-СОРТ (МСK)</v>
          </cell>
          <cell r="D105">
            <v>28722</v>
          </cell>
          <cell r="E105">
            <v>34516</v>
          </cell>
          <cell r="F105">
            <v>0</v>
          </cell>
          <cell r="G105">
            <v>37875</v>
          </cell>
          <cell r="H105">
            <v>886</v>
          </cell>
          <cell r="I105" t="str">
            <v>деп</v>
          </cell>
          <cell r="J105">
            <v>38422</v>
          </cell>
        </row>
        <row r="106">
          <cell r="A106">
            <v>58741257</v>
          </cell>
          <cell r="B106" t="str">
            <v>АВИРТУС</v>
          </cell>
          <cell r="C106" t="str">
            <v>ЛЮБЛИНО-СОРТ (МСK)</v>
          </cell>
          <cell r="D106">
            <v>28722</v>
          </cell>
          <cell r="E106">
            <v>34516</v>
          </cell>
          <cell r="F106">
            <v>0</v>
          </cell>
          <cell r="G106">
            <v>37875</v>
          </cell>
          <cell r="H106">
            <v>886</v>
          </cell>
          <cell r="I106" t="str">
            <v>деп</v>
          </cell>
          <cell r="J106">
            <v>38422</v>
          </cell>
        </row>
        <row r="107">
          <cell r="A107">
            <v>58741265</v>
          </cell>
          <cell r="B107" t="str">
            <v>АВИРТУС</v>
          </cell>
          <cell r="C107" t="str">
            <v>ЛЮБЛИНО-СОРТ (МСK)</v>
          </cell>
          <cell r="D107">
            <v>28722</v>
          </cell>
          <cell r="E107">
            <v>34516</v>
          </cell>
          <cell r="F107">
            <v>0</v>
          </cell>
          <cell r="G107">
            <v>37875</v>
          </cell>
          <cell r="H107">
            <v>886</v>
          </cell>
          <cell r="I107" t="str">
            <v>деп</v>
          </cell>
          <cell r="J107">
            <v>38422</v>
          </cell>
        </row>
        <row r="108">
          <cell r="A108">
            <v>58741273</v>
          </cell>
          <cell r="B108" t="str">
            <v>АВИРТУС</v>
          </cell>
          <cell r="C108" t="str">
            <v>ЛЮБЛИНО-СОРТ (МСK)</v>
          </cell>
          <cell r="D108">
            <v>28722</v>
          </cell>
          <cell r="E108">
            <v>34516</v>
          </cell>
          <cell r="F108">
            <v>0</v>
          </cell>
          <cell r="G108">
            <v>37875</v>
          </cell>
          <cell r="H108">
            <v>886</v>
          </cell>
          <cell r="I108" t="str">
            <v>деп</v>
          </cell>
          <cell r="J108">
            <v>38422</v>
          </cell>
        </row>
        <row r="109">
          <cell r="A109">
            <v>58741281</v>
          </cell>
          <cell r="B109" t="str">
            <v>АВИРТУС</v>
          </cell>
          <cell r="C109" t="str">
            <v>ЛЮБЛИНО-СОРТ (МСK)</v>
          </cell>
          <cell r="D109">
            <v>28745</v>
          </cell>
          <cell r="E109">
            <v>34516</v>
          </cell>
          <cell r="F109">
            <v>0</v>
          </cell>
          <cell r="G109">
            <v>37929</v>
          </cell>
          <cell r="H109">
            <v>886</v>
          </cell>
          <cell r="I109" t="str">
            <v>деп</v>
          </cell>
          <cell r="J109">
            <v>38476</v>
          </cell>
        </row>
        <row r="110">
          <cell r="A110">
            <v>58741307</v>
          </cell>
          <cell r="B110" t="str">
            <v>АВИРТУС</v>
          </cell>
          <cell r="C110" t="str">
            <v>ЛЮБЛИНО-СОРТ (МСK)</v>
          </cell>
          <cell r="D110">
            <v>28745</v>
          </cell>
          <cell r="E110">
            <v>34516</v>
          </cell>
          <cell r="F110">
            <v>0</v>
          </cell>
          <cell r="G110">
            <v>37929</v>
          </cell>
          <cell r="H110">
            <v>886</v>
          </cell>
          <cell r="I110" t="str">
            <v>деп</v>
          </cell>
          <cell r="J110">
            <v>38476</v>
          </cell>
        </row>
        <row r="111">
          <cell r="A111">
            <v>58741315</v>
          </cell>
          <cell r="B111" t="str">
            <v>АВИРТУС</v>
          </cell>
          <cell r="C111" t="str">
            <v>ЛЮБЛИНО-СОРТ (МСK)</v>
          </cell>
          <cell r="D111">
            <v>28745</v>
          </cell>
          <cell r="E111">
            <v>34516</v>
          </cell>
          <cell r="F111">
            <v>0</v>
          </cell>
          <cell r="G111">
            <v>37929</v>
          </cell>
          <cell r="H111">
            <v>886</v>
          </cell>
          <cell r="I111" t="str">
            <v>деп</v>
          </cell>
          <cell r="J111">
            <v>38476</v>
          </cell>
        </row>
        <row r="112">
          <cell r="A112">
            <v>58741323</v>
          </cell>
          <cell r="B112" t="str">
            <v>АВИРТУС</v>
          </cell>
          <cell r="C112" t="str">
            <v>ЛЮБЛИНО-СОРТ (МСK)</v>
          </cell>
          <cell r="D112">
            <v>28745</v>
          </cell>
          <cell r="E112">
            <v>34516</v>
          </cell>
          <cell r="F112">
            <v>0</v>
          </cell>
          <cell r="G112">
            <v>37929</v>
          </cell>
          <cell r="H112">
            <v>886</v>
          </cell>
          <cell r="I112" t="str">
            <v>деп</v>
          </cell>
          <cell r="J112">
            <v>38476</v>
          </cell>
        </row>
        <row r="113">
          <cell r="A113">
            <v>58741331</v>
          </cell>
          <cell r="B113" t="str">
            <v>АВИРТУС</v>
          </cell>
          <cell r="C113" t="str">
            <v>ЛЮБЛИНО-СОРТ (МСK)</v>
          </cell>
          <cell r="D113">
            <v>28491</v>
          </cell>
          <cell r="E113">
            <v>33878</v>
          </cell>
          <cell r="F113">
            <v>0</v>
          </cell>
          <cell r="G113">
            <v>32874</v>
          </cell>
          <cell r="H113">
            <v>0</v>
          </cell>
          <cell r="I113" t="str">
            <v>деп</v>
          </cell>
          <cell r="J113">
            <v>34425</v>
          </cell>
        </row>
        <row r="114">
          <cell r="A114">
            <v>58741349</v>
          </cell>
          <cell r="B114" t="str">
            <v>АВИРТУС</v>
          </cell>
          <cell r="C114" t="str">
            <v>ЛЮБЛИНО-СОРТ (МСK)</v>
          </cell>
          <cell r="D114">
            <v>28491</v>
          </cell>
          <cell r="E114">
            <v>33878</v>
          </cell>
          <cell r="F114">
            <v>0</v>
          </cell>
          <cell r="G114">
            <v>32874</v>
          </cell>
          <cell r="H114">
            <v>0</v>
          </cell>
          <cell r="I114" t="str">
            <v>деп</v>
          </cell>
          <cell r="J114">
            <v>34425</v>
          </cell>
        </row>
        <row r="115">
          <cell r="A115">
            <v>58741356</v>
          </cell>
          <cell r="B115" t="str">
            <v>АВИРТУС</v>
          </cell>
          <cell r="C115" t="str">
            <v>ЛЮБЛИНО-СОРТ (МСK)</v>
          </cell>
          <cell r="D115">
            <v>28491</v>
          </cell>
          <cell r="E115">
            <v>33878</v>
          </cell>
          <cell r="F115">
            <v>0</v>
          </cell>
          <cell r="G115">
            <v>32874</v>
          </cell>
          <cell r="H115">
            <v>0</v>
          </cell>
          <cell r="I115" t="str">
            <v>деп</v>
          </cell>
          <cell r="J115">
            <v>34425</v>
          </cell>
        </row>
        <row r="116">
          <cell r="A116">
            <v>58741364</v>
          </cell>
          <cell r="B116" t="str">
            <v>АВИРТУС</v>
          </cell>
          <cell r="C116" t="str">
            <v>ЛЮБЛИНО-СОРТ (МСK)</v>
          </cell>
          <cell r="D116">
            <v>28491</v>
          </cell>
          <cell r="E116">
            <v>33878</v>
          </cell>
          <cell r="F116">
            <v>0</v>
          </cell>
          <cell r="G116">
            <v>32874</v>
          </cell>
          <cell r="H116">
            <v>0</v>
          </cell>
          <cell r="I116" t="str">
            <v>деп</v>
          </cell>
          <cell r="J116">
            <v>34425</v>
          </cell>
        </row>
        <row r="117">
          <cell r="A117">
            <v>58741372</v>
          </cell>
          <cell r="B117" t="str">
            <v>АВИРТУС</v>
          </cell>
          <cell r="C117" t="str">
            <v>ЛЮБЛИНО-СОРТ (МСK)</v>
          </cell>
          <cell r="D117">
            <v>29139</v>
          </cell>
          <cell r="E117">
            <v>33970</v>
          </cell>
          <cell r="F117">
            <v>0</v>
          </cell>
          <cell r="G117">
            <v>37875</v>
          </cell>
          <cell r="H117">
            <v>886</v>
          </cell>
          <cell r="I117" t="str">
            <v>деп</v>
          </cell>
          <cell r="J117">
            <v>38422</v>
          </cell>
        </row>
        <row r="118">
          <cell r="A118">
            <v>58741380</v>
          </cell>
          <cell r="B118" t="str">
            <v>АВИРТУС</v>
          </cell>
          <cell r="C118" t="str">
            <v>ЛЮБЛИНО-СОРТ (МСK)</v>
          </cell>
          <cell r="D118">
            <v>29139</v>
          </cell>
          <cell r="E118">
            <v>33970</v>
          </cell>
          <cell r="F118">
            <v>0</v>
          </cell>
          <cell r="G118">
            <v>37875</v>
          </cell>
          <cell r="H118">
            <v>886</v>
          </cell>
          <cell r="I118" t="str">
            <v>деп</v>
          </cell>
          <cell r="J118">
            <v>38422</v>
          </cell>
        </row>
        <row r="119">
          <cell r="A119">
            <v>58741406</v>
          </cell>
          <cell r="B119" t="str">
            <v>АВИРТУС</v>
          </cell>
          <cell r="C119" t="str">
            <v>ЛЮБЛИНО-СОРТ (МСK)</v>
          </cell>
          <cell r="D119">
            <v>29139</v>
          </cell>
          <cell r="E119">
            <v>33970</v>
          </cell>
          <cell r="F119">
            <v>0</v>
          </cell>
          <cell r="G119">
            <v>37875</v>
          </cell>
          <cell r="H119">
            <v>886</v>
          </cell>
          <cell r="I119" t="str">
            <v>деп</v>
          </cell>
          <cell r="J119">
            <v>38422</v>
          </cell>
        </row>
        <row r="120">
          <cell r="A120">
            <v>58741414</v>
          </cell>
          <cell r="B120" t="str">
            <v>АВИРТУС</v>
          </cell>
          <cell r="C120" t="str">
            <v>ЛЮБЛИНО-СОРТ (МСK)</v>
          </cell>
          <cell r="D120">
            <v>29139</v>
          </cell>
          <cell r="E120">
            <v>33970</v>
          </cell>
          <cell r="F120">
            <v>0</v>
          </cell>
          <cell r="G120">
            <v>37875</v>
          </cell>
          <cell r="H120">
            <v>886</v>
          </cell>
          <cell r="I120" t="str">
            <v>деп</v>
          </cell>
          <cell r="J120">
            <v>38422</v>
          </cell>
        </row>
        <row r="121">
          <cell r="A121">
            <v>58741422</v>
          </cell>
          <cell r="B121" t="str">
            <v>АВИРТУС</v>
          </cell>
          <cell r="C121" t="str">
            <v>ЛЮБЛИНО-СОРТ (МСK)</v>
          </cell>
          <cell r="D121">
            <v>28102</v>
          </cell>
          <cell r="E121">
            <v>34700</v>
          </cell>
          <cell r="F121">
            <v>0</v>
          </cell>
          <cell r="G121">
            <v>37921</v>
          </cell>
          <cell r="H121">
            <v>886</v>
          </cell>
          <cell r="I121" t="str">
            <v>деп</v>
          </cell>
          <cell r="J121">
            <v>38469</v>
          </cell>
        </row>
        <row r="122">
          <cell r="A122">
            <v>58741430</v>
          </cell>
          <cell r="B122" t="str">
            <v>АВИРТУС</v>
          </cell>
          <cell r="C122" t="str">
            <v>ЛЮБЛИНО-СОРТ (МСK)</v>
          </cell>
          <cell r="D122">
            <v>28102</v>
          </cell>
          <cell r="E122">
            <v>34700</v>
          </cell>
          <cell r="F122">
            <v>0</v>
          </cell>
          <cell r="G122">
            <v>37921</v>
          </cell>
          <cell r="H122">
            <v>886</v>
          </cell>
          <cell r="I122" t="str">
            <v>деп</v>
          </cell>
          <cell r="J122">
            <v>38469</v>
          </cell>
        </row>
        <row r="123">
          <cell r="A123">
            <v>58741448</v>
          </cell>
          <cell r="B123" t="str">
            <v>АВИРТУС</v>
          </cell>
          <cell r="C123" t="str">
            <v>ЛЮБЛИНО-СОРТ (МСK)</v>
          </cell>
          <cell r="D123">
            <v>28102</v>
          </cell>
          <cell r="E123">
            <v>34700</v>
          </cell>
          <cell r="F123">
            <v>0</v>
          </cell>
          <cell r="G123">
            <v>37921</v>
          </cell>
          <cell r="H123">
            <v>886</v>
          </cell>
          <cell r="I123" t="str">
            <v>деп</v>
          </cell>
          <cell r="J123">
            <v>38469</v>
          </cell>
        </row>
        <row r="124">
          <cell r="A124">
            <v>58741455</v>
          </cell>
          <cell r="B124" t="str">
            <v>АВИРТУС</v>
          </cell>
          <cell r="C124" t="str">
            <v>ЛЮБЛИНО-СОРТ (МСK)</v>
          </cell>
          <cell r="D124">
            <v>28102</v>
          </cell>
          <cell r="E124">
            <v>34700</v>
          </cell>
          <cell r="F124">
            <v>0</v>
          </cell>
          <cell r="G124">
            <v>37921</v>
          </cell>
          <cell r="H124">
            <v>886</v>
          </cell>
          <cell r="I124" t="str">
            <v>деп</v>
          </cell>
          <cell r="J124">
            <v>38469</v>
          </cell>
        </row>
        <row r="125">
          <cell r="A125">
            <v>58741463</v>
          </cell>
          <cell r="B125" t="str">
            <v>АВИРТУС</v>
          </cell>
          <cell r="C125" t="str">
            <v>ЛЮБЛИНО-СОРТ (МСK)</v>
          </cell>
          <cell r="D125">
            <v>27343</v>
          </cell>
          <cell r="E125">
            <v>34151</v>
          </cell>
          <cell r="F125">
            <v>0</v>
          </cell>
          <cell r="G125">
            <v>37921</v>
          </cell>
          <cell r="H125">
            <v>886</v>
          </cell>
          <cell r="I125" t="str">
            <v>деп</v>
          </cell>
          <cell r="J125">
            <v>38469</v>
          </cell>
        </row>
        <row r="126">
          <cell r="A126">
            <v>58741471</v>
          </cell>
          <cell r="B126" t="str">
            <v>АВИРТУС</v>
          </cell>
          <cell r="C126" t="str">
            <v>ЛЮБЛИНО-СОРТ (МСK)</v>
          </cell>
          <cell r="D126">
            <v>27343</v>
          </cell>
          <cell r="E126">
            <v>34151</v>
          </cell>
          <cell r="F126">
            <v>0</v>
          </cell>
          <cell r="G126">
            <v>37921</v>
          </cell>
          <cell r="H126">
            <v>886</v>
          </cell>
          <cell r="I126" t="str">
            <v>деп</v>
          </cell>
          <cell r="J126">
            <v>38469</v>
          </cell>
        </row>
        <row r="127">
          <cell r="A127">
            <v>58741489</v>
          </cell>
          <cell r="B127" t="str">
            <v>АВИРТУС</v>
          </cell>
          <cell r="C127" t="str">
            <v>ЛЮБЛИНО-СОРТ (МСK)</v>
          </cell>
          <cell r="D127">
            <v>27343</v>
          </cell>
          <cell r="E127">
            <v>34151</v>
          </cell>
          <cell r="F127">
            <v>0</v>
          </cell>
          <cell r="G127">
            <v>37921</v>
          </cell>
          <cell r="H127">
            <v>886</v>
          </cell>
          <cell r="I127" t="str">
            <v>деп</v>
          </cell>
          <cell r="J127">
            <v>38469</v>
          </cell>
        </row>
        <row r="128">
          <cell r="A128">
            <v>58741505</v>
          </cell>
          <cell r="B128" t="str">
            <v>АВИРТУС</v>
          </cell>
          <cell r="C128" t="str">
            <v>ЛЮБЛИНО-СОРТ (МСK)</v>
          </cell>
          <cell r="D128">
            <v>27343</v>
          </cell>
          <cell r="E128">
            <v>34151</v>
          </cell>
          <cell r="F128">
            <v>0</v>
          </cell>
          <cell r="G128">
            <v>37921</v>
          </cell>
          <cell r="H128">
            <v>886</v>
          </cell>
          <cell r="I128" t="str">
            <v>деп</v>
          </cell>
          <cell r="J128">
            <v>38469</v>
          </cell>
        </row>
        <row r="129">
          <cell r="A129">
            <v>58741513</v>
          </cell>
          <cell r="B129" t="str">
            <v>АВИРТУС</v>
          </cell>
          <cell r="C129" t="str">
            <v>ЛЮБЛИНО-СОРТ (МСK)</v>
          </cell>
          <cell r="D129">
            <v>29739</v>
          </cell>
          <cell r="E129">
            <v>31594</v>
          </cell>
          <cell r="F129">
            <v>0</v>
          </cell>
          <cell r="G129">
            <v>37921</v>
          </cell>
          <cell r="H129">
            <v>886</v>
          </cell>
          <cell r="I129" t="str">
            <v>деп</v>
          </cell>
          <cell r="J129">
            <v>38469</v>
          </cell>
        </row>
        <row r="130">
          <cell r="A130">
            <v>58741521</v>
          </cell>
          <cell r="B130" t="str">
            <v>АВИРТУС</v>
          </cell>
          <cell r="C130" t="str">
            <v>ЛЮБЛИНО-СОРТ (МСK)</v>
          </cell>
          <cell r="D130">
            <v>29739</v>
          </cell>
          <cell r="E130">
            <v>31594</v>
          </cell>
          <cell r="F130">
            <v>0</v>
          </cell>
          <cell r="G130">
            <v>37921</v>
          </cell>
          <cell r="H130">
            <v>886</v>
          </cell>
          <cell r="I130" t="str">
            <v>деп</v>
          </cell>
          <cell r="J130">
            <v>38469</v>
          </cell>
        </row>
        <row r="131">
          <cell r="A131">
            <v>58741539</v>
          </cell>
          <cell r="B131" t="str">
            <v>АВИРТУС</v>
          </cell>
          <cell r="C131" t="str">
            <v>ЛЮБЛИНО-СОРТ (МСK)</v>
          </cell>
          <cell r="D131">
            <v>29739</v>
          </cell>
          <cell r="E131">
            <v>31594</v>
          </cell>
          <cell r="F131">
            <v>0</v>
          </cell>
          <cell r="G131">
            <v>37921</v>
          </cell>
          <cell r="H131">
            <v>886</v>
          </cell>
          <cell r="I131" t="str">
            <v>деп</v>
          </cell>
          <cell r="J131">
            <v>38469</v>
          </cell>
        </row>
        <row r="132">
          <cell r="A132">
            <v>58741547</v>
          </cell>
          <cell r="B132" t="str">
            <v>АВИРТУС</v>
          </cell>
          <cell r="C132" t="str">
            <v>ЛЮБЛИНО-СОРТ (МСK)</v>
          </cell>
          <cell r="D132">
            <v>29739</v>
          </cell>
          <cell r="E132">
            <v>31594</v>
          </cell>
          <cell r="F132">
            <v>0</v>
          </cell>
          <cell r="G132">
            <v>37921</v>
          </cell>
          <cell r="H132">
            <v>886</v>
          </cell>
          <cell r="I132" t="str">
            <v>деп</v>
          </cell>
          <cell r="J132">
            <v>38469</v>
          </cell>
        </row>
        <row r="133">
          <cell r="A133">
            <v>58742016</v>
          </cell>
          <cell r="B133" t="str">
            <v>АВИРТУС</v>
          </cell>
          <cell r="C133" t="str">
            <v>ЛЮБЛИНО-СОРТ (МСK)</v>
          </cell>
          <cell r="D133">
            <v>29952</v>
          </cell>
          <cell r="E133">
            <v>34455</v>
          </cell>
          <cell r="F133">
            <v>0</v>
          </cell>
          <cell r="H133">
            <v>0</v>
          </cell>
          <cell r="I133" t="str">
            <v>кап</v>
          </cell>
          <cell r="J133">
            <v>35004</v>
          </cell>
        </row>
        <row r="134">
          <cell r="A134">
            <v>58742024</v>
          </cell>
          <cell r="B134" t="str">
            <v>АВИРТУС</v>
          </cell>
          <cell r="C134" t="str">
            <v>ЛЮБЛИНО-СОРТ (МСK)</v>
          </cell>
          <cell r="D134">
            <v>29952</v>
          </cell>
          <cell r="E134">
            <v>34455</v>
          </cell>
          <cell r="F134">
            <v>0</v>
          </cell>
          <cell r="H134">
            <v>0</v>
          </cell>
          <cell r="I134" t="str">
            <v>кап</v>
          </cell>
          <cell r="J134">
            <v>35004</v>
          </cell>
        </row>
        <row r="135">
          <cell r="A135">
            <v>58742032</v>
          </cell>
          <cell r="B135" t="str">
            <v>АВИРТУС</v>
          </cell>
          <cell r="C135" t="str">
            <v>ЛЮБЛИНО-СОРТ (МСK)</v>
          </cell>
          <cell r="D135">
            <v>29952</v>
          </cell>
          <cell r="E135">
            <v>34455</v>
          </cell>
          <cell r="F135">
            <v>0</v>
          </cell>
          <cell r="H135">
            <v>0</v>
          </cell>
          <cell r="I135" t="str">
            <v>кап</v>
          </cell>
          <cell r="J135">
            <v>35004</v>
          </cell>
        </row>
        <row r="136">
          <cell r="A136">
            <v>58742040</v>
          </cell>
          <cell r="B136" t="str">
            <v>АВИРТУС</v>
          </cell>
          <cell r="C136" t="str">
            <v>ЛЮБЛИНО-СОРТ (МСK)</v>
          </cell>
          <cell r="D136">
            <v>29952</v>
          </cell>
          <cell r="E136">
            <v>34455</v>
          </cell>
          <cell r="F136">
            <v>0</v>
          </cell>
          <cell r="H136">
            <v>0</v>
          </cell>
          <cell r="I136" t="str">
            <v>кап</v>
          </cell>
          <cell r="J136">
            <v>35004</v>
          </cell>
        </row>
        <row r="137">
          <cell r="A137">
            <v>58742057</v>
          </cell>
          <cell r="B137" t="str">
            <v>АВИРТУС</v>
          </cell>
          <cell r="C137" t="str">
            <v>ЛЮБЛИНО-СОРТ (МСK)</v>
          </cell>
          <cell r="D137">
            <v>29587</v>
          </cell>
          <cell r="E137">
            <v>34820</v>
          </cell>
          <cell r="F137">
            <v>0</v>
          </cell>
          <cell r="G137">
            <v>33604</v>
          </cell>
          <cell r="H137">
            <v>0</v>
          </cell>
          <cell r="I137" t="str">
            <v>деп</v>
          </cell>
          <cell r="J137">
            <v>35370</v>
          </cell>
        </row>
        <row r="138">
          <cell r="A138">
            <v>58742065</v>
          </cell>
          <cell r="B138" t="str">
            <v>АВИРТУС</v>
          </cell>
          <cell r="C138" t="str">
            <v>ЛЮБЛИНО-СОРТ (МСK)</v>
          </cell>
          <cell r="D138">
            <v>29587</v>
          </cell>
          <cell r="E138">
            <v>34820</v>
          </cell>
          <cell r="F138">
            <v>0</v>
          </cell>
          <cell r="G138">
            <v>33604</v>
          </cell>
          <cell r="H138">
            <v>0</v>
          </cell>
          <cell r="I138" t="str">
            <v>деп</v>
          </cell>
          <cell r="J138">
            <v>35370</v>
          </cell>
        </row>
        <row r="139">
          <cell r="A139">
            <v>58742073</v>
          </cell>
          <cell r="B139" t="str">
            <v>АВИРТУС</v>
          </cell>
          <cell r="C139" t="str">
            <v>ЛЮБЛИНО-СОРТ (МСK)</v>
          </cell>
          <cell r="D139">
            <v>29587</v>
          </cell>
          <cell r="E139">
            <v>34820</v>
          </cell>
          <cell r="F139">
            <v>0</v>
          </cell>
          <cell r="G139">
            <v>33604</v>
          </cell>
          <cell r="H139">
            <v>0</v>
          </cell>
          <cell r="I139" t="str">
            <v>деп</v>
          </cell>
          <cell r="J139">
            <v>35370</v>
          </cell>
        </row>
        <row r="140">
          <cell r="A140">
            <v>58742081</v>
          </cell>
          <cell r="B140" t="str">
            <v>АВИРТУС</v>
          </cell>
          <cell r="C140" t="str">
            <v>ЛЮБЛИНО-СОРТ (МСK)</v>
          </cell>
          <cell r="D140">
            <v>29587</v>
          </cell>
          <cell r="E140">
            <v>34820</v>
          </cell>
          <cell r="F140">
            <v>0</v>
          </cell>
          <cell r="G140">
            <v>33604</v>
          </cell>
          <cell r="H140">
            <v>0</v>
          </cell>
          <cell r="I140" t="str">
            <v>деп</v>
          </cell>
          <cell r="J140">
            <v>35370</v>
          </cell>
        </row>
        <row r="141">
          <cell r="A141">
            <v>58742107</v>
          </cell>
          <cell r="B141" t="str">
            <v>АВИРТУС</v>
          </cell>
          <cell r="C141" t="str">
            <v>ЛЮБЛИНО-СОРТ (МСK)</v>
          </cell>
          <cell r="D141">
            <v>28441</v>
          </cell>
          <cell r="E141">
            <v>34578</v>
          </cell>
          <cell r="F141">
            <v>0</v>
          </cell>
          <cell r="G141">
            <v>32143</v>
          </cell>
          <cell r="H141">
            <v>0</v>
          </cell>
          <cell r="I141" t="str">
            <v>деп</v>
          </cell>
          <cell r="J141">
            <v>35125</v>
          </cell>
        </row>
        <row r="142">
          <cell r="A142">
            <v>58742115</v>
          </cell>
          <cell r="B142" t="str">
            <v>АВИРТУС</v>
          </cell>
          <cell r="C142" t="str">
            <v>ЛЮБЛИНО-СОРТ (МСK)</v>
          </cell>
          <cell r="D142">
            <v>28441</v>
          </cell>
          <cell r="E142">
            <v>34578</v>
          </cell>
          <cell r="F142">
            <v>0</v>
          </cell>
          <cell r="G142">
            <v>32143</v>
          </cell>
          <cell r="H142">
            <v>0</v>
          </cell>
          <cell r="I142" t="str">
            <v>деп</v>
          </cell>
          <cell r="J142">
            <v>35125</v>
          </cell>
        </row>
        <row r="143">
          <cell r="A143">
            <v>58742123</v>
          </cell>
          <cell r="B143" t="str">
            <v>АВИРТУС</v>
          </cell>
          <cell r="C143" t="str">
            <v>ЛЮБЛИНО-СОРТ (МСK)</v>
          </cell>
          <cell r="D143">
            <v>28441</v>
          </cell>
          <cell r="E143">
            <v>34578</v>
          </cell>
          <cell r="F143">
            <v>0</v>
          </cell>
          <cell r="G143">
            <v>32143</v>
          </cell>
          <cell r="H143">
            <v>0</v>
          </cell>
          <cell r="I143" t="str">
            <v>деп</v>
          </cell>
          <cell r="J143">
            <v>35125</v>
          </cell>
        </row>
        <row r="144">
          <cell r="A144">
            <v>58742131</v>
          </cell>
          <cell r="B144" t="str">
            <v>АВИРТУС</v>
          </cell>
          <cell r="C144" t="str">
            <v>ЛЮБЛИНО-СОРТ (МСK)</v>
          </cell>
          <cell r="D144">
            <v>28441</v>
          </cell>
          <cell r="E144">
            <v>34578</v>
          </cell>
          <cell r="F144">
            <v>0</v>
          </cell>
          <cell r="G144">
            <v>32143</v>
          </cell>
          <cell r="H144">
            <v>0</v>
          </cell>
          <cell r="I144" t="str">
            <v>деп</v>
          </cell>
          <cell r="J144">
            <v>35125</v>
          </cell>
        </row>
        <row r="145">
          <cell r="A145">
            <v>58742149</v>
          </cell>
          <cell r="B145" t="str">
            <v>АВИРТУС</v>
          </cell>
          <cell r="C145" t="str">
            <v>ЛЮБЛИНО-СОРТ (МСK)</v>
          </cell>
          <cell r="D145">
            <v>28469</v>
          </cell>
          <cell r="E145">
            <v>31291</v>
          </cell>
          <cell r="F145">
            <v>0</v>
          </cell>
          <cell r="H145">
            <v>0</v>
          </cell>
          <cell r="I145" t="str">
            <v>кап</v>
          </cell>
          <cell r="J145">
            <v>31837</v>
          </cell>
        </row>
        <row r="146">
          <cell r="A146">
            <v>58742156</v>
          </cell>
          <cell r="B146" t="str">
            <v>АВИРТУС</v>
          </cell>
          <cell r="C146" t="str">
            <v>ЛЮБЛИНО-СОРТ (МСK)</v>
          </cell>
          <cell r="D146">
            <v>28469</v>
          </cell>
          <cell r="E146">
            <v>31291</v>
          </cell>
          <cell r="F146">
            <v>0</v>
          </cell>
          <cell r="H146">
            <v>0</v>
          </cell>
          <cell r="I146" t="str">
            <v>кап</v>
          </cell>
          <cell r="J146">
            <v>31837</v>
          </cell>
        </row>
        <row r="147">
          <cell r="A147">
            <v>58742164</v>
          </cell>
          <cell r="B147" t="str">
            <v>АВИРТУС</v>
          </cell>
          <cell r="C147" t="str">
            <v>ЛЮБЛИНО-СОРТ (МСK)</v>
          </cell>
          <cell r="D147">
            <v>28469</v>
          </cell>
          <cell r="E147">
            <v>31291</v>
          </cell>
          <cell r="F147">
            <v>0</v>
          </cell>
          <cell r="H147">
            <v>0</v>
          </cell>
          <cell r="I147" t="str">
            <v>кап</v>
          </cell>
          <cell r="J147">
            <v>31837</v>
          </cell>
        </row>
        <row r="148">
          <cell r="A148">
            <v>58742172</v>
          </cell>
          <cell r="B148" t="str">
            <v>АВИРТУС</v>
          </cell>
          <cell r="C148" t="str">
            <v>ЛЮБЛИНО-СОРТ (МСK)</v>
          </cell>
          <cell r="D148">
            <v>28469</v>
          </cell>
          <cell r="E148">
            <v>31291</v>
          </cell>
          <cell r="F148">
            <v>0</v>
          </cell>
          <cell r="H148">
            <v>0</v>
          </cell>
          <cell r="I148" t="str">
            <v>кап</v>
          </cell>
          <cell r="J148">
            <v>31837</v>
          </cell>
        </row>
        <row r="149">
          <cell r="B149" t="str">
            <v>АВИРТУС Количество</v>
          </cell>
          <cell r="D149">
            <v>60</v>
          </cell>
        </row>
        <row r="150">
          <cell r="A150">
            <v>53703856</v>
          </cell>
          <cell r="B150" t="str">
            <v>АВТОДОРСТРОЙ</v>
          </cell>
          <cell r="C150" t="str">
            <v>БЫКОВО       (МСK)</v>
          </cell>
          <cell r="D150">
            <v>24473</v>
          </cell>
          <cell r="E150">
            <v>38002</v>
          </cell>
          <cell r="F150">
            <v>350</v>
          </cell>
          <cell r="G150">
            <v>35788</v>
          </cell>
          <cell r="H150">
            <v>0</v>
          </cell>
          <cell r="I150" t="str">
            <v>деп</v>
          </cell>
          <cell r="J150">
            <v>39098</v>
          </cell>
        </row>
        <row r="151">
          <cell r="B151" t="str">
            <v>АВТОДОРСТРОЙ Количество</v>
          </cell>
          <cell r="D151">
            <v>1</v>
          </cell>
        </row>
        <row r="152">
          <cell r="A152">
            <v>53703476</v>
          </cell>
          <cell r="B152" t="str">
            <v>АГЕНТСТВО РЕФПЕРЕВОЗКИ</v>
          </cell>
          <cell r="C152" t="str">
            <v>СВЕРДЛВСК-ТВ (СВР)</v>
          </cell>
          <cell r="D152">
            <v>32509</v>
          </cell>
          <cell r="E152">
            <v>37928</v>
          </cell>
          <cell r="F152">
            <v>557</v>
          </cell>
          <cell r="H152">
            <v>0</v>
          </cell>
          <cell r="I152" t="str">
            <v>кап</v>
          </cell>
          <cell r="J152">
            <v>38475</v>
          </cell>
        </row>
        <row r="153">
          <cell r="A153">
            <v>58725078</v>
          </cell>
          <cell r="B153" t="str">
            <v>АГЕНТСТВО РЕФПЕРЕВОЗКИ</v>
          </cell>
          <cell r="C153" t="str">
            <v>СВЕРДЛВСК-ТВ (СВР)</v>
          </cell>
          <cell r="D153">
            <v>32509</v>
          </cell>
          <cell r="E153">
            <v>38013</v>
          </cell>
          <cell r="F153">
            <v>163</v>
          </cell>
          <cell r="H153">
            <v>0</v>
          </cell>
          <cell r="I153" t="str">
            <v>кап</v>
          </cell>
          <cell r="J153">
            <v>38560</v>
          </cell>
        </row>
        <row r="154">
          <cell r="A154">
            <v>58725086</v>
          </cell>
          <cell r="B154" t="str">
            <v>АГЕНТСТВО РЕФПЕРЕВОЗКИ</v>
          </cell>
          <cell r="C154" t="str">
            <v>СВЕРДЛВСК-ТВ (СВР)</v>
          </cell>
          <cell r="D154">
            <v>32509</v>
          </cell>
          <cell r="E154">
            <v>38013</v>
          </cell>
          <cell r="F154">
            <v>163</v>
          </cell>
          <cell r="H154">
            <v>0</v>
          </cell>
          <cell r="I154" t="str">
            <v>кап</v>
          </cell>
          <cell r="J154">
            <v>38560</v>
          </cell>
        </row>
        <row r="155">
          <cell r="A155">
            <v>58725102</v>
          </cell>
          <cell r="B155" t="str">
            <v>АГЕНТСТВО РЕФПЕРЕВОЗКИ</v>
          </cell>
          <cell r="C155" t="str">
            <v>СВЕРДЛВСК-ТВ (СВР)</v>
          </cell>
          <cell r="D155">
            <v>32509</v>
          </cell>
          <cell r="E155">
            <v>38013</v>
          </cell>
          <cell r="F155">
            <v>163</v>
          </cell>
          <cell r="H155">
            <v>0</v>
          </cell>
          <cell r="I155" t="str">
            <v>кап</v>
          </cell>
          <cell r="J155">
            <v>38560</v>
          </cell>
        </row>
        <row r="156">
          <cell r="A156">
            <v>58725110</v>
          </cell>
          <cell r="B156" t="str">
            <v>АГЕНТСТВО РЕФПЕРЕВОЗКИ</v>
          </cell>
          <cell r="C156" t="str">
            <v>СВЕРДЛВСК-ТВ (СВР)</v>
          </cell>
          <cell r="D156">
            <v>32509</v>
          </cell>
          <cell r="E156">
            <v>37885</v>
          </cell>
          <cell r="F156">
            <v>557</v>
          </cell>
          <cell r="H156">
            <v>0</v>
          </cell>
          <cell r="I156" t="str">
            <v>кап</v>
          </cell>
          <cell r="J156">
            <v>38432</v>
          </cell>
        </row>
        <row r="157">
          <cell r="B157" t="str">
            <v>АГЕНТСТВО РЕФПЕРЕВОЗКИ Количество</v>
          </cell>
          <cell r="D157">
            <v>5</v>
          </cell>
        </row>
        <row r="158">
          <cell r="A158">
            <v>53400487</v>
          </cell>
          <cell r="B158" t="str">
            <v>АГЕНТСТВО РЕФПЕРЕВОЗОК</v>
          </cell>
          <cell r="C158" t="str">
            <v>ХОВРИНО      (ОКТ)</v>
          </cell>
          <cell r="D158">
            <v>32660</v>
          </cell>
          <cell r="E158">
            <v>37799</v>
          </cell>
          <cell r="F158">
            <v>492</v>
          </cell>
          <cell r="H158">
            <v>0</v>
          </cell>
          <cell r="I158" t="str">
            <v>деп</v>
          </cell>
          <cell r="J158">
            <v>38348</v>
          </cell>
        </row>
        <row r="159">
          <cell r="A159">
            <v>53400719</v>
          </cell>
          <cell r="B159" t="str">
            <v>АГЕНТСТВО РЕФПЕРЕВОЗОК</v>
          </cell>
          <cell r="C159" t="str">
            <v>ХОВРИНО      (ОКТ)</v>
          </cell>
          <cell r="D159">
            <v>32629</v>
          </cell>
          <cell r="E159">
            <v>37857</v>
          </cell>
          <cell r="F159">
            <v>492</v>
          </cell>
          <cell r="H159">
            <v>0</v>
          </cell>
          <cell r="I159" t="str">
            <v>деп</v>
          </cell>
          <cell r="J159">
            <v>38407</v>
          </cell>
        </row>
        <row r="160">
          <cell r="A160">
            <v>53700803</v>
          </cell>
          <cell r="B160" t="str">
            <v>АГЕНТСТВО РЕФПЕРЕВОЗОК</v>
          </cell>
          <cell r="C160" t="str">
            <v>ХОВРИНО      (ОКТ)</v>
          </cell>
          <cell r="D160">
            <v>33239</v>
          </cell>
          <cell r="E160">
            <v>37615</v>
          </cell>
          <cell r="F160">
            <v>163</v>
          </cell>
          <cell r="H160">
            <v>0</v>
          </cell>
          <cell r="I160" t="str">
            <v>деп</v>
          </cell>
          <cell r="J160">
            <v>38163</v>
          </cell>
        </row>
        <row r="161">
          <cell r="A161">
            <v>53702007</v>
          </cell>
          <cell r="B161" t="str">
            <v>АГЕНТСТВО РЕФПЕРЕВОЗОК</v>
          </cell>
          <cell r="C161" t="str">
            <v>ХОВРИНО      (ОКТ)</v>
          </cell>
          <cell r="D161">
            <v>33604</v>
          </cell>
          <cell r="E161">
            <v>37764</v>
          </cell>
          <cell r="F161">
            <v>350</v>
          </cell>
          <cell r="H161">
            <v>0</v>
          </cell>
          <cell r="I161" t="str">
            <v>деп</v>
          </cell>
          <cell r="J161">
            <v>38314</v>
          </cell>
        </row>
        <row r="162">
          <cell r="A162">
            <v>53702684</v>
          </cell>
          <cell r="B162" t="str">
            <v>АГЕНТСТВО РЕФПЕРЕВОЗОК</v>
          </cell>
          <cell r="C162" t="str">
            <v>ХОВРИНО      (ОКТ)</v>
          </cell>
          <cell r="D162">
            <v>34243</v>
          </cell>
          <cell r="E162">
            <v>37781</v>
          </cell>
          <cell r="F162">
            <v>886</v>
          </cell>
          <cell r="H162">
            <v>0</v>
          </cell>
          <cell r="I162" t="str">
            <v>деп</v>
          </cell>
          <cell r="J162">
            <v>38877</v>
          </cell>
        </row>
        <row r="163">
          <cell r="A163">
            <v>53704656</v>
          </cell>
          <cell r="B163" t="str">
            <v>АГЕНТСТВО РЕФПЕРЕВОЗОК</v>
          </cell>
          <cell r="C163" t="str">
            <v>УССУРИЙСК    (ДВС)</v>
          </cell>
          <cell r="D163">
            <v>30590</v>
          </cell>
          <cell r="E163">
            <v>37404</v>
          </cell>
          <cell r="F163">
            <v>163</v>
          </cell>
          <cell r="G163">
            <v>34790</v>
          </cell>
          <cell r="H163">
            <v>0</v>
          </cell>
          <cell r="I163" t="str">
            <v>деп</v>
          </cell>
          <cell r="J163">
            <v>38500</v>
          </cell>
        </row>
        <row r="164">
          <cell r="A164">
            <v>53704664</v>
          </cell>
          <cell r="B164" t="str">
            <v>АГЕНТСТВО РЕФПЕРЕВОЗОК</v>
          </cell>
          <cell r="C164" t="str">
            <v>УССУРИЙСК    (ДВС)</v>
          </cell>
          <cell r="D164">
            <v>29952</v>
          </cell>
          <cell r="E164">
            <v>37686</v>
          </cell>
          <cell r="F164">
            <v>557</v>
          </cell>
          <cell r="G164">
            <v>34881</v>
          </cell>
          <cell r="H164">
            <v>0</v>
          </cell>
          <cell r="I164" t="str">
            <v>деп</v>
          </cell>
          <cell r="J164">
            <v>38782</v>
          </cell>
        </row>
        <row r="165">
          <cell r="A165">
            <v>53704672</v>
          </cell>
          <cell r="B165" t="str">
            <v>АГЕНТСТВО РЕФПЕРЕВОЗОК</v>
          </cell>
          <cell r="C165" t="str">
            <v>УССУРИЙСК    (ДВС)</v>
          </cell>
          <cell r="D165">
            <v>29952</v>
          </cell>
          <cell r="E165">
            <v>37512</v>
          </cell>
          <cell r="F165">
            <v>163</v>
          </cell>
          <cell r="G165">
            <v>35156</v>
          </cell>
          <cell r="H165">
            <v>0</v>
          </cell>
          <cell r="I165" t="str">
            <v>деп</v>
          </cell>
          <cell r="J165">
            <v>38608</v>
          </cell>
        </row>
        <row r="166">
          <cell r="A166">
            <v>53704680</v>
          </cell>
          <cell r="B166" t="str">
            <v>АГЕНТСТВО РЕФПЕРЕВОЗОК</v>
          </cell>
          <cell r="C166" t="str">
            <v>УССУРИЙСК    (ДВС)</v>
          </cell>
          <cell r="D166">
            <v>29952</v>
          </cell>
          <cell r="E166">
            <v>37721</v>
          </cell>
          <cell r="F166">
            <v>350</v>
          </cell>
          <cell r="G166">
            <v>35034</v>
          </cell>
          <cell r="H166">
            <v>0</v>
          </cell>
          <cell r="I166" t="str">
            <v>деп</v>
          </cell>
          <cell r="J166">
            <v>38817</v>
          </cell>
        </row>
        <row r="167">
          <cell r="A167">
            <v>53704706</v>
          </cell>
          <cell r="B167" t="str">
            <v>АГЕНТСТВО РЕФПЕРЕВОЗОК</v>
          </cell>
          <cell r="C167" t="str">
            <v>УССУРИЙСК    (ДВС)</v>
          </cell>
          <cell r="D167">
            <v>29952</v>
          </cell>
          <cell r="E167">
            <v>37529</v>
          </cell>
          <cell r="F167">
            <v>163</v>
          </cell>
          <cell r="G167">
            <v>34881</v>
          </cell>
          <cell r="H167">
            <v>0</v>
          </cell>
          <cell r="I167" t="str">
            <v>деп</v>
          </cell>
          <cell r="J167">
            <v>38625</v>
          </cell>
        </row>
        <row r="168">
          <cell r="A168">
            <v>53704714</v>
          </cell>
          <cell r="B168" t="str">
            <v>АГЕНТСТВО РЕФПЕРЕВОЗОК</v>
          </cell>
          <cell r="C168" t="str">
            <v>УССУРИЙСК    (ДВС)</v>
          </cell>
          <cell r="D168">
            <v>29983</v>
          </cell>
          <cell r="E168">
            <v>37433</v>
          </cell>
          <cell r="F168">
            <v>163</v>
          </cell>
          <cell r="G168">
            <v>34366</v>
          </cell>
          <cell r="H168">
            <v>0</v>
          </cell>
          <cell r="I168" t="str">
            <v>деп</v>
          </cell>
          <cell r="J168">
            <v>38529</v>
          </cell>
        </row>
        <row r="169">
          <cell r="A169">
            <v>53704722</v>
          </cell>
          <cell r="B169" t="str">
            <v>АГЕНТСТВО РЕФПЕРЕВОЗОК</v>
          </cell>
          <cell r="C169" t="str">
            <v>УССУРИЙСК    (ДВС)</v>
          </cell>
          <cell r="D169">
            <v>30072</v>
          </cell>
          <cell r="E169">
            <v>37370</v>
          </cell>
          <cell r="F169">
            <v>163</v>
          </cell>
          <cell r="G169">
            <v>35186</v>
          </cell>
          <cell r="H169">
            <v>0</v>
          </cell>
          <cell r="I169" t="str">
            <v>деп</v>
          </cell>
          <cell r="J169">
            <v>38466</v>
          </cell>
        </row>
        <row r="170">
          <cell r="A170">
            <v>53704730</v>
          </cell>
          <cell r="B170" t="str">
            <v>АГЕНТСТВО РЕФПЕРЕВОЗОК</v>
          </cell>
          <cell r="C170" t="str">
            <v>УССУРИЙСК    (ДВС)</v>
          </cell>
          <cell r="D170">
            <v>30072</v>
          </cell>
          <cell r="E170">
            <v>37610</v>
          </cell>
          <cell r="F170">
            <v>163</v>
          </cell>
          <cell r="G170">
            <v>35034</v>
          </cell>
          <cell r="H170">
            <v>0</v>
          </cell>
          <cell r="I170" t="str">
            <v>деп</v>
          </cell>
          <cell r="J170">
            <v>38706</v>
          </cell>
        </row>
        <row r="171">
          <cell r="A171">
            <v>53704748</v>
          </cell>
          <cell r="B171" t="str">
            <v>АГЕНТСТВО РЕФПЕРЕВОЗОК</v>
          </cell>
          <cell r="C171" t="str">
            <v>УССУРИЙСК    (ДВС)</v>
          </cell>
          <cell r="D171">
            <v>30133</v>
          </cell>
          <cell r="E171">
            <v>37618</v>
          </cell>
          <cell r="F171">
            <v>163</v>
          </cell>
          <cell r="G171">
            <v>34943</v>
          </cell>
          <cell r="H171">
            <v>0</v>
          </cell>
          <cell r="I171" t="str">
            <v>деп</v>
          </cell>
          <cell r="J171">
            <v>38714</v>
          </cell>
        </row>
        <row r="172">
          <cell r="A172">
            <v>53704755</v>
          </cell>
          <cell r="B172" t="str">
            <v>АГЕНТСТВО РЕФПЕРЕВОЗОК</v>
          </cell>
          <cell r="C172" t="str">
            <v>УССУРИЙСК    (ДВС)</v>
          </cell>
          <cell r="D172">
            <v>30133</v>
          </cell>
          <cell r="E172">
            <v>37315</v>
          </cell>
          <cell r="F172">
            <v>163</v>
          </cell>
          <cell r="G172">
            <v>35186</v>
          </cell>
          <cell r="H172">
            <v>0</v>
          </cell>
          <cell r="I172" t="str">
            <v>деп</v>
          </cell>
          <cell r="J172">
            <v>38411</v>
          </cell>
        </row>
        <row r="173">
          <cell r="A173">
            <v>53706040</v>
          </cell>
          <cell r="B173" t="str">
            <v>АГЕНТСТВО РЕФПЕРЕВОЗОК</v>
          </cell>
          <cell r="C173" t="str">
            <v>ХОВРИНО      (ОКТ)</v>
          </cell>
          <cell r="D173">
            <v>32509</v>
          </cell>
          <cell r="E173">
            <v>37844</v>
          </cell>
          <cell r="F173">
            <v>557</v>
          </cell>
          <cell r="H173">
            <v>0</v>
          </cell>
          <cell r="I173" t="str">
            <v>кап</v>
          </cell>
          <cell r="J173">
            <v>38394</v>
          </cell>
        </row>
        <row r="174">
          <cell r="A174">
            <v>53706057</v>
          </cell>
          <cell r="B174" t="str">
            <v>АГЕНТСТВО РЕФПЕРЕВОЗОК</v>
          </cell>
          <cell r="C174" t="str">
            <v>ХОВРИНО      (ОКТ)</v>
          </cell>
          <cell r="D174">
            <v>32509</v>
          </cell>
          <cell r="E174">
            <v>37859</v>
          </cell>
          <cell r="F174">
            <v>886</v>
          </cell>
          <cell r="H174">
            <v>0</v>
          </cell>
          <cell r="I174" t="str">
            <v>кап</v>
          </cell>
          <cell r="J174">
            <v>38409</v>
          </cell>
        </row>
        <row r="175">
          <cell r="A175">
            <v>53706065</v>
          </cell>
          <cell r="B175" t="str">
            <v>АГЕНТСТВО РЕФПЕРЕВОЗОК</v>
          </cell>
          <cell r="C175" t="str">
            <v>ХОВРИНО      (ОКТ)</v>
          </cell>
          <cell r="D175">
            <v>32509</v>
          </cell>
          <cell r="E175">
            <v>37859</v>
          </cell>
          <cell r="F175">
            <v>886</v>
          </cell>
          <cell r="H175">
            <v>0</v>
          </cell>
          <cell r="I175" t="str">
            <v>кап</v>
          </cell>
          <cell r="J175">
            <v>38409</v>
          </cell>
        </row>
        <row r="176">
          <cell r="A176">
            <v>53706073</v>
          </cell>
          <cell r="B176" t="str">
            <v>АГЕНТСТВО РЕФПЕРЕВОЗОК</v>
          </cell>
          <cell r="C176" t="str">
            <v>ХОВРИНО      (ОКТ)</v>
          </cell>
          <cell r="D176">
            <v>32509</v>
          </cell>
          <cell r="E176">
            <v>37830</v>
          </cell>
          <cell r="F176">
            <v>163</v>
          </cell>
          <cell r="H176">
            <v>0</v>
          </cell>
          <cell r="I176" t="str">
            <v>кап</v>
          </cell>
          <cell r="J176">
            <v>38380</v>
          </cell>
        </row>
        <row r="177">
          <cell r="A177">
            <v>58002205</v>
          </cell>
          <cell r="B177" t="str">
            <v>АГЕНТСТВО РЕФПЕРЕВОЗОК</v>
          </cell>
          <cell r="C177" t="str">
            <v>ХОВРИНО      (ОКТ)</v>
          </cell>
          <cell r="D177">
            <v>30317</v>
          </cell>
          <cell r="E177">
            <v>37673</v>
          </cell>
          <cell r="F177">
            <v>492</v>
          </cell>
          <cell r="G177">
            <v>34179</v>
          </cell>
          <cell r="H177">
            <v>1097</v>
          </cell>
          <cell r="I177" t="str">
            <v>деп</v>
          </cell>
          <cell r="J177">
            <v>38404</v>
          </cell>
        </row>
        <row r="178">
          <cell r="A178">
            <v>58002213</v>
          </cell>
          <cell r="B178" t="str">
            <v>АГЕНТСТВО РЕФПЕРЕВОЗОК</v>
          </cell>
          <cell r="C178" t="str">
            <v>ХОВРИНО      (ОКТ)</v>
          </cell>
          <cell r="D178">
            <v>30317</v>
          </cell>
          <cell r="E178">
            <v>37673</v>
          </cell>
          <cell r="F178">
            <v>492</v>
          </cell>
          <cell r="G178">
            <v>33932</v>
          </cell>
          <cell r="H178">
            <v>1097</v>
          </cell>
          <cell r="I178" t="str">
            <v>деп</v>
          </cell>
          <cell r="J178">
            <v>38404</v>
          </cell>
        </row>
        <row r="179">
          <cell r="A179">
            <v>58002221</v>
          </cell>
          <cell r="B179" t="str">
            <v>АГЕНТСТВО РЕФПЕРЕВОЗОК</v>
          </cell>
          <cell r="C179" t="str">
            <v>ХОВРИНО      (ОКТ)</v>
          </cell>
          <cell r="D179">
            <v>30682</v>
          </cell>
          <cell r="E179">
            <v>37677</v>
          </cell>
          <cell r="F179">
            <v>492</v>
          </cell>
          <cell r="G179">
            <v>34150</v>
          </cell>
          <cell r="H179">
            <v>1097</v>
          </cell>
          <cell r="I179" t="str">
            <v>деп</v>
          </cell>
          <cell r="J179">
            <v>38408</v>
          </cell>
        </row>
        <row r="180">
          <cell r="A180">
            <v>58002239</v>
          </cell>
          <cell r="B180" t="str">
            <v>АГЕНТСТВО РЕФПЕРЕВОЗОК</v>
          </cell>
          <cell r="C180" t="str">
            <v>ХОВРИНО      (ОКТ)</v>
          </cell>
          <cell r="D180">
            <v>30682</v>
          </cell>
          <cell r="E180">
            <v>37673</v>
          </cell>
          <cell r="F180">
            <v>492</v>
          </cell>
          <cell r="G180">
            <v>34242</v>
          </cell>
          <cell r="H180">
            <v>1097</v>
          </cell>
          <cell r="I180" t="str">
            <v>деп</v>
          </cell>
          <cell r="J180">
            <v>38404</v>
          </cell>
        </row>
        <row r="181">
          <cell r="A181">
            <v>58002247</v>
          </cell>
          <cell r="B181" t="str">
            <v>АГЕНТСТВО РЕФПЕРЕВОЗОК</v>
          </cell>
          <cell r="C181" t="str">
            <v>ХОВРИНО      (ОКТ)</v>
          </cell>
          <cell r="D181">
            <v>30317</v>
          </cell>
          <cell r="E181">
            <v>37673</v>
          </cell>
          <cell r="F181">
            <v>492</v>
          </cell>
          <cell r="G181">
            <v>34011</v>
          </cell>
          <cell r="H181">
            <v>1097</v>
          </cell>
          <cell r="I181" t="str">
            <v>деп</v>
          </cell>
          <cell r="J181">
            <v>38404</v>
          </cell>
        </row>
        <row r="182">
          <cell r="A182">
            <v>58002254</v>
          </cell>
          <cell r="B182" t="str">
            <v>АГЕНТСТВО РЕФПЕРЕВОЗОК</v>
          </cell>
          <cell r="C182" t="str">
            <v>ХОВРИНО      (ОКТ)</v>
          </cell>
          <cell r="D182">
            <v>30317</v>
          </cell>
          <cell r="E182">
            <v>37673</v>
          </cell>
          <cell r="F182">
            <v>492</v>
          </cell>
          <cell r="G182">
            <v>34046</v>
          </cell>
          <cell r="H182">
            <v>1097</v>
          </cell>
          <cell r="I182" t="str">
            <v>деп</v>
          </cell>
          <cell r="J182">
            <v>38404</v>
          </cell>
        </row>
        <row r="183">
          <cell r="A183">
            <v>58002262</v>
          </cell>
          <cell r="B183" t="str">
            <v>АГЕНТСТВО РЕФПЕРЕВОЗОК</v>
          </cell>
          <cell r="C183" t="str">
            <v>ХОВРИНО      (ОКТ)</v>
          </cell>
          <cell r="D183">
            <v>30317</v>
          </cell>
          <cell r="E183">
            <v>37677</v>
          </cell>
          <cell r="F183">
            <v>492</v>
          </cell>
          <cell r="G183">
            <v>33984</v>
          </cell>
          <cell r="H183">
            <v>1097</v>
          </cell>
          <cell r="I183" t="str">
            <v>деп</v>
          </cell>
          <cell r="J183">
            <v>38408</v>
          </cell>
        </row>
        <row r="184">
          <cell r="A184">
            <v>58002270</v>
          </cell>
          <cell r="B184" t="str">
            <v>АГЕНТСТВО РЕФПЕРЕВОЗОК</v>
          </cell>
          <cell r="C184" t="str">
            <v>ХОВРИНО      (ОКТ)</v>
          </cell>
          <cell r="D184">
            <v>30682</v>
          </cell>
          <cell r="E184">
            <v>37678</v>
          </cell>
          <cell r="F184">
            <v>492</v>
          </cell>
          <cell r="G184">
            <v>34131</v>
          </cell>
          <cell r="H184">
            <v>1097</v>
          </cell>
          <cell r="I184" t="str">
            <v>деп</v>
          </cell>
          <cell r="J184">
            <v>38409</v>
          </cell>
        </row>
        <row r="185">
          <cell r="A185">
            <v>58002288</v>
          </cell>
          <cell r="B185" t="str">
            <v>АГЕНТСТВО РЕФПЕРЕВОЗОК</v>
          </cell>
          <cell r="C185" t="str">
            <v>ХОВРИНО      (ОКТ)</v>
          </cell>
          <cell r="D185">
            <v>30682</v>
          </cell>
          <cell r="E185">
            <v>37673</v>
          </cell>
          <cell r="F185">
            <v>492</v>
          </cell>
          <cell r="G185">
            <v>34130</v>
          </cell>
          <cell r="H185">
            <v>1097</v>
          </cell>
          <cell r="I185" t="str">
            <v>деп</v>
          </cell>
          <cell r="J185">
            <v>38404</v>
          </cell>
        </row>
        <row r="186">
          <cell r="A186">
            <v>58002304</v>
          </cell>
          <cell r="B186" t="str">
            <v>АГЕНТСТВО РЕФПЕРЕВОЗОК</v>
          </cell>
          <cell r="C186" t="str">
            <v>ХОВРИНО      (ОКТ)</v>
          </cell>
          <cell r="D186">
            <v>30317</v>
          </cell>
          <cell r="E186">
            <v>37676</v>
          </cell>
          <cell r="F186">
            <v>492</v>
          </cell>
          <cell r="G186">
            <v>33926</v>
          </cell>
          <cell r="H186">
            <v>1097</v>
          </cell>
          <cell r="I186" t="str">
            <v>деп</v>
          </cell>
          <cell r="J186">
            <v>38407</v>
          </cell>
        </row>
        <row r="187">
          <cell r="A187">
            <v>58002312</v>
          </cell>
          <cell r="B187" t="str">
            <v>АГЕНТСТВО РЕФПЕРЕВОЗОК</v>
          </cell>
          <cell r="C187" t="str">
            <v>ХОВРИНО      (ОКТ)</v>
          </cell>
          <cell r="D187">
            <v>30317</v>
          </cell>
          <cell r="E187">
            <v>37672</v>
          </cell>
          <cell r="F187">
            <v>492</v>
          </cell>
          <cell r="G187">
            <v>34101</v>
          </cell>
          <cell r="H187">
            <v>1097</v>
          </cell>
          <cell r="I187" t="str">
            <v>деп</v>
          </cell>
          <cell r="J187">
            <v>38403</v>
          </cell>
        </row>
        <row r="188">
          <cell r="A188">
            <v>58002320</v>
          </cell>
          <cell r="B188" t="str">
            <v>АГЕНТСТВО РЕФПЕРЕВОЗОК</v>
          </cell>
          <cell r="C188" t="str">
            <v>ХОВРИНО      (ОКТ)</v>
          </cell>
          <cell r="D188">
            <v>30682</v>
          </cell>
          <cell r="E188">
            <v>37684</v>
          </cell>
          <cell r="F188">
            <v>492</v>
          </cell>
          <cell r="G188">
            <v>34141</v>
          </cell>
          <cell r="H188">
            <v>1097</v>
          </cell>
          <cell r="I188" t="str">
            <v>деп</v>
          </cell>
          <cell r="J188">
            <v>38415</v>
          </cell>
        </row>
        <row r="189">
          <cell r="A189">
            <v>58002338</v>
          </cell>
          <cell r="B189" t="str">
            <v>АГЕНТСТВО РЕФПЕРЕВОЗОК</v>
          </cell>
          <cell r="C189" t="str">
            <v>ХОВРИНО      (ОКТ)</v>
          </cell>
          <cell r="D189">
            <v>30317</v>
          </cell>
          <cell r="E189">
            <v>37684</v>
          </cell>
          <cell r="F189">
            <v>492</v>
          </cell>
          <cell r="G189">
            <v>34117</v>
          </cell>
          <cell r="H189">
            <v>1097</v>
          </cell>
          <cell r="I189" t="str">
            <v>деп</v>
          </cell>
          <cell r="J189">
            <v>38415</v>
          </cell>
        </row>
        <row r="190">
          <cell r="A190">
            <v>58002346</v>
          </cell>
          <cell r="B190" t="str">
            <v>АГЕНТСТВО РЕФПЕРЕВОЗОК</v>
          </cell>
          <cell r="C190" t="str">
            <v>ХОВРИНО      (ОКТ)</v>
          </cell>
          <cell r="D190">
            <v>30317</v>
          </cell>
          <cell r="E190">
            <v>37676</v>
          </cell>
          <cell r="F190">
            <v>492</v>
          </cell>
          <cell r="G190">
            <v>34162</v>
          </cell>
          <cell r="H190">
            <v>1097</v>
          </cell>
          <cell r="I190" t="str">
            <v>деп</v>
          </cell>
          <cell r="J190">
            <v>38407</v>
          </cell>
        </row>
        <row r="191">
          <cell r="A191">
            <v>58002353</v>
          </cell>
          <cell r="B191" t="str">
            <v>АГЕНТСТВО РЕФПЕРЕВОЗОК</v>
          </cell>
          <cell r="C191" t="str">
            <v>ХОВРИНО      (ОКТ)</v>
          </cell>
          <cell r="D191">
            <v>30682</v>
          </cell>
          <cell r="E191">
            <v>37672</v>
          </cell>
          <cell r="F191">
            <v>492</v>
          </cell>
          <cell r="G191">
            <v>34212</v>
          </cell>
          <cell r="H191">
            <v>1097</v>
          </cell>
          <cell r="I191" t="str">
            <v>деп</v>
          </cell>
          <cell r="J191">
            <v>38403</v>
          </cell>
        </row>
        <row r="192">
          <cell r="A192">
            <v>58002361</v>
          </cell>
          <cell r="B192" t="str">
            <v>АГЕНТСТВО РЕФПЕРЕВОЗОК</v>
          </cell>
          <cell r="C192" t="str">
            <v>ХОВРИНО      (ОКТ)</v>
          </cell>
          <cell r="D192">
            <v>30682</v>
          </cell>
          <cell r="E192">
            <v>37672</v>
          </cell>
          <cell r="F192">
            <v>492</v>
          </cell>
          <cell r="G192">
            <v>33990</v>
          </cell>
          <cell r="H192">
            <v>1097</v>
          </cell>
          <cell r="I192" t="str">
            <v>деп</v>
          </cell>
          <cell r="J192">
            <v>38403</v>
          </cell>
        </row>
        <row r="193">
          <cell r="A193">
            <v>58002379</v>
          </cell>
          <cell r="B193" t="str">
            <v>АГЕНТСТВО РЕФПЕРЕВОЗОК</v>
          </cell>
          <cell r="C193" t="str">
            <v>ХОВРИНО      (ОКТ)</v>
          </cell>
          <cell r="D193">
            <v>30682</v>
          </cell>
          <cell r="E193">
            <v>37672</v>
          </cell>
          <cell r="F193">
            <v>492</v>
          </cell>
          <cell r="G193">
            <v>34303</v>
          </cell>
          <cell r="H193">
            <v>1097</v>
          </cell>
          <cell r="I193" t="str">
            <v>деп</v>
          </cell>
          <cell r="J193">
            <v>38403</v>
          </cell>
        </row>
        <row r="194">
          <cell r="A194">
            <v>58002387</v>
          </cell>
          <cell r="B194" t="str">
            <v>АГЕНТСТВО РЕФПЕРЕВОЗОК</v>
          </cell>
          <cell r="C194" t="str">
            <v>ХОВРИНО      (ОКТ)</v>
          </cell>
          <cell r="D194">
            <v>30317</v>
          </cell>
          <cell r="E194">
            <v>37684</v>
          </cell>
          <cell r="F194">
            <v>492</v>
          </cell>
          <cell r="G194">
            <v>34022</v>
          </cell>
          <cell r="H194">
            <v>1097</v>
          </cell>
          <cell r="I194" t="str">
            <v>деп</v>
          </cell>
          <cell r="J194">
            <v>38415</v>
          </cell>
        </row>
        <row r="195">
          <cell r="A195">
            <v>58002403</v>
          </cell>
          <cell r="B195" t="str">
            <v>АГЕНТСТВО РЕФПЕРЕВОЗОК</v>
          </cell>
          <cell r="C195" t="str">
            <v>ХОВРИНО      (ОКТ)</v>
          </cell>
          <cell r="D195">
            <v>30317</v>
          </cell>
          <cell r="E195">
            <v>37684</v>
          </cell>
          <cell r="F195">
            <v>492</v>
          </cell>
          <cell r="G195">
            <v>34054</v>
          </cell>
          <cell r="H195">
            <v>1097</v>
          </cell>
          <cell r="I195" t="str">
            <v>деп</v>
          </cell>
          <cell r="J195">
            <v>38415</v>
          </cell>
        </row>
        <row r="196">
          <cell r="A196">
            <v>58002411</v>
          </cell>
          <cell r="B196" t="str">
            <v>АГЕНТСТВО РЕФПЕРЕВОЗОК</v>
          </cell>
          <cell r="C196" t="str">
            <v>ХОВРИНО      (ОКТ)</v>
          </cell>
          <cell r="D196">
            <v>30682</v>
          </cell>
          <cell r="E196">
            <v>37701</v>
          </cell>
          <cell r="F196">
            <v>492</v>
          </cell>
          <cell r="G196">
            <v>34273</v>
          </cell>
          <cell r="H196">
            <v>1097</v>
          </cell>
          <cell r="I196" t="str">
            <v>деп</v>
          </cell>
          <cell r="J196">
            <v>38432</v>
          </cell>
        </row>
        <row r="197">
          <cell r="A197">
            <v>58002429</v>
          </cell>
          <cell r="B197" t="str">
            <v>АГЕНТСТВО РЕФПЕРЕВОЗОК</v>
          </cell>
          <cell r="C197" t="str">
            <v>ХОВРИНО      (ОКТ)</v>
          </cell>
          <cell r="D197">
            <v>30317</v>
          </cell>
          <cell r="E197">
            <v>37702</v>
          </cell>
          <cell r="F197">
            <v>492</v>
          </cell>
          <cell r="G197">
            <v>34212</v>
          </cell>
          <cell r="H197">
            <v>1097</v>
          </cell>
          <cell r="I197" t="str">
            <v>деп</v>
          </cell>
          <cell r="J197">
            <v>38433</v>
          </cell>
        </row>
        <row r="198">
          <cell r="A198">
            <v>58002437</v>
          </cell>
          <cell r="B198" t="str">
            <v>АГЕНТСТВО РЕФПЕРЕВОЗОК</v>
          </cell>
          <cell r="C198" t="str">
            <v>ХОВРИНО      (ОКТ)</v>
          </cell>
          <cell r="D198">
            <v>30317</v>
          </cell>
          <cell r="E198">
            <v>37709</v>
          </cell>
          <cell r="F198">
            <v>492</v>
          </cell>
          <cell r="G198">
            <v>34044</v>
          </cell>
          <cell r="H198">
            <v>1097</v>
          </cell>
          <cell r="I198" t="str">
            <v>деп</v>
          </cell>
          <cell r="J198">
            <v>38440</v>
          </cell>
        </row>
        <row r="199">
          <cell r="A199">
            <v>58002445</v>
          </cell>
          <cell r="B199" t="str">
            <v>АГЕНТСТВО РЕФПЕРЕВОЗОК</v>
          </cell>
          <cell r="C199" t="str">
            <v>ХОВРИНО      (ОКТ)</v>
          </cell>
          <cell r="D199">
            <v>30317</v>
          </cell>
          <cell r="E199">
            <v>37709</v>
          </cell>
          <cell r="F199">
            <v>492</v>
          </cell>
          <cell r="G199">
            <v>33969</v>
          </cell>
          <cell r="H199">
            <v>1097</v>
          </cell>
          <cell r="I199" t="str">
            <v>деп</v>
          </cell>
          <cell r="J199">
            <v>38440</v>
          </cell>
        </row>
        <row r="200">
          <cell r="A200">
            <v>58002452</v>
          </cell>
          <cell r="B200" t="str">
            <v>АГЕНТСТВО РЕФПЕРЕВОЗОК</v>
          </cell>
          <cell r="C200" t="str">
            <v>ХОВРИНО      (ОКТ)</v>
          </cell>
          <cell r="D200">
            <v>30682</v>
          </cell>
          <cell r="E200">
            <v>37705</v>
          </cell>
          <cell r="F200">
            <v>492</v>
          </cell>
          <cell r="G200">
            <v>34172</v>
          </cell>
          <cell r="H200">
            <v>1097</v>
          </cell>
          <cell r="I200" t="str">
            <v>деп</v>
          </cell>
          <cell r="J200">
            <v>38436</v>
          </cell>
        </row>
        <row r="201">
          <cell r="A201">
            <v>58002460</v>
          </cell>
          <cell r="B201" t="str">
            <v>АГЕНТСТВО РЕФПЕРЕВОЗОК</v>
          </cell>
          <cell r="C201" t="str">
            <v>ХОВРИНО      (ОКТ)</v>
          </cell>
          <cell r="D201">
            <v>30682</v>
          </cell>
          <cell r="E201">
            <v>37710</v>
          </cell>
          <cell r="F201">
            <v>492</v>
          </cell>
          <cell r="G201">
            <v>34242</v>
          </cell>
          <cell r="H201">
            <v>1097</v>
          </cell>
          <cell r="I201" t="str">
            <v>деп</v>
          </cell>
          <cell r="J201">
            <v>38441</v>
          </cell>
        </row>
        <row r="202">
          <cell r="A202">
            <v>58002478</v>
          </cell>
          <cell r="B202" t="str">
            <v>АГЕНТСТВО РЕФПЕРЕВОЗОК</v>
          </cell>
          <cell r="C202" t="str">
            <v>ХОВРИНО      (ОКТ)</v>
          </cell>
          <cell r="D202">
            <v>30682</v>
          </cell>
          <cell r="E202">
            <v>37700</v>
          </cell>
          <cell r="F202">
            <v>492</v>
          </cell>
          <cell r="G202">
            <v>34273</v>
          </cell>
          <cell r="H202">
            <v>1097</v>
          </cell>
          <cell r="I202" t="str">
            <v>деп</v>
          </cell>
          <cell r="J202">
            <v>38431</v>
          </cell>
        </row>
        <row r="203">
          <cell r="A203">
            <v>58002486</v>
          </cell>
          <cell r="B203" t="str">
            <v>АГЕНТСТВО РЕФПЕРЕВОЗОК</v>
          </cell>
          <cell r="C203" t="str">
            <v>ХОВРИНО      (ОКТ)</v>
          </cell>
          <cell r="D203">
            <v>30682</v>
          </cell>
          <cell r="E203">
            <v>37703</v>
          </cell>
          <cell r="F203">
            <v>492</v>
          </cell>
          <cell r="G203">
            <v>35039</v>
          </cell>
          <cell r="H203">
            <v>1097</v>
          </cell>
          <cell r="I203" t="str">
            <v>деп</v>
          </cell>
          <cell r="J203">
            <v>38434</v>
          </cell>
        </row>
        <row r="204">
          <cell r="A204">
            <v>58002502</v>
          </cell>
          <cell r="B204" t="str">
            <v>АГЕНТСТВО РЕФПЕРЕВОЗОК</v>
          </cell>
          <cell r="C204" t="str">
            <v>ХОВРИНО      (ОКТ)</v>
          </cell>
          <cell r="D204">
            <v>30682</v>
          </cell>
          <cell r="E204">
            <v>37696</v>
          </cell>
          <cell r="F204">
            <v>492</v>
          </cell>
          <cell r="G204">
            <v>35010</v>
          </cell>
          <cell r="H204">
            <v>1097</v>
          </cell>
          <cell r="I204" t="str">
            <v>деп</v>
          </cell>
          <cell r="J204">
            <v>38427</v>
          </cell>
        </row>
        <row r="205">
          <cell r="A205">
            <v>58002510</v>
          </cell>
          <cell r="B205" t="str">
            <v>АГЕНТСТВО РЕФПЕРЕВОЗОК</v>
          </cell>
          <cell r="C205" t="str">
            <v>ХОВРИНО      (ОКТ)</v>
          </cell>
          <cell r="D205">
            <v>30317</v>
          </cell>
          <cell r="E205">
            <v>37707</v>
          </cell>
          <cell r="F205">
            <v>492</v>
          </cell>
          <cell r="G205">
            <v>34028</v>
          </cell>
          <cell r="H205">
            <v>1097</v>
          </cell>
          <cell r="I205" t="str">
            <v>деп</v>
          </cell>
          <cell r="J205">
            <v>38438</v>
          </cell>
        </row>
        <row r="206">
          <cell r="A206">
            <v>58002528</v>
          </cell>
          <cell r="B206" t="str">
            <v>АГЕНТСТВО РЕФПЕРЕВОЗОК</v>
          </cell>
          <cell r="C206" t="str">
            <v>ХОВРИНО      (ОКТ)</v>
          </cell>
          <cell r="D206">
            <v>30317</v>
          </cell>
          <cell r="E206">
            <v>37696</v>
          </cell>
          <cell r="F206">
            <v>492</v>
          </cell>
          <cell r="G206">
            <v>33984</v>
          </cell>
          <cell r="H206">
            <v>1097</v>
          </cell>
          <cell r="I206" t="str">
            <v>деп</v>
          </cell>
          <cell r="J206">
            <v>38427</v>
          </cell>
        </row>
        <row r="207">
          <cell r="A207">
            <v>58002536</v>
          </cell>
          <cell r="B207" t="str">
            <v>АГЕНТСТВО РЕФПЕРЕВОЗОК</v>
          </cell>
          <cell r="C207" t="str">
            <v>ХОВРИНО      (ОКТ)</v>
          </cell>
          <cell r="D207">
            <v>30317</v>
          </cell>
          <cell r="E207">
            <v>37696</v>
          </cell>
          <cell r="F207">
            <v>492</v>
          </cell>
          <cell r="G207">
            <v>34113</v>
          </cell>
          <cell r="H207">
            <v>1097</v>
          </cell>
          <cell r="I207" t="str">
            <v>деп</v>
          </cell>
          <cell r="J207">
            <v>38427</v>
          </cell>
        </row>
        <row r="208">
          <cell r="A208">
            <v>58002544</v>
          </cell>
          <cell r="B208" t="str">
            <v>АГЕНТСТВО РЕФПЕРЕВОЗОК</v>
          </cell>
          <cell r="C208" t="str">
            <v>ХОВРИНО      (ОКТ)</v>
          </cell>
          <cell r="D208">
            <v>31413</v>
          </cell>
          <cell r="F208">
            <v>0</v>
          </cell>
          <cell r="G208">
            <v>37710</v>
          </cell>
          <cell r="H208">
            <v>492</v>
          </cell>
          <cell r="I208" t="str">
            <v>деп</v>
          </cell>
          <cell r="J208">
            <v>38441</v>
          </cell>
        </row>
        <row r="209">
          <cell r="A209">
            <v>58002551</v>
          </cell>
          <cell r="B209" t="str">
            <v>АГЕНТСТВО РЕФПЕРЕВОЗОК</v>
          </cell>
          <cell r="C209" t="str">
            <v>ХОВРИНО      (ОКТ)</v>
          </cell>
          <cell r="D209">
            <v>31778</v>
          </cell>
          <cell r="F209">
            <v>0</v>
          </cell>
          <cell r="G209">
            <v>37710</v>
          </cell>
          <cell r="H209">
            <v>492</v>
          </cell>
          <cell r="I209" t="str">
            <v>деп</v>
          </cell>
          <cell r="J209">
            <v>38441</v>
          </cell>
        </row>
        <row r="210">
          <cell r="A210">
            <v>58002569</v>
          </cell>
          <cell r="B210" t="str">
            <v>АГЕНТСТВО РЕФПЕРЕВОЗОК</v>
          </cell>
          <cell r="C210" t="str">
            <v>ХОВРИНО      (ОКТ)</v>
          </cell>
          <cell r="D210">
            <v>31778</v>
          </cell>
          <cell r="F210">
            <v>0</v>
          </cell>
          <cell r="G210">
            <v>37707</v>
          </cell>
          <cell r="H210">
            <v>492</v>
          </cell>
          <cell r="I210" t="str">
            <v>деп</v>
          </cell>
          <cell r="J210">
            <v>38438</v>
          </cell>
        </row>
        <row r="211">
          <cell r="A211">
            <v>58002577</v>
          </cell>
          <cell r="B211" t="str">
            <v>АГЕНТСТВО РЕФПЕРЕВОЗОК</v>
          </cell>
          <cell r="C211" t="str">
            <v>ХОВРИНО      (ОКТ)</v>
          </cell>
          <cell r="D211">
            <v>31778</v>
          </cell>
          <cell r="F211">
            <v>0</v>
          </cell>
          <cell r="G211">
            <v>37708</v>
          </cell>
          <cell r="H211">
            <v>492</v>
          </cell>
          <cell r="I211" t="str">
            <v>деп</v>
          </cell>
          <cell r="J211">
            <v>38439</v>
          </cell>
        </row>
        <row r="212">
          <cell r="A212">
            <v>58002585</v>
          </cell>
          <cell r="B212" t="str">
            <v>АГЕНТСТВО РЕФПЕРЕВОЗОК</v>
          </cell>
          <cell r="C212" t="str">
            <v>ХОВРИНО      (ОКТ)</v>
          </cell>
          <cell r="D212">
            <v>31778</v>
          </cell>
          <cell r="F212">
            <v>0</v>
          </cell>
          <cell r="G212">
            <v>37707</v>
          </cell>
          <cell r="H212">
            <v>492</v>
          </cell>
          <cell r="I212" t="str">
            <v>деп</v>
          </cell>
          <cell r="J212">
            <v>38438</v>
          </cell>
        </row>
        <row r="213">
          <cell r="A213">
            <v>58002601</v>
          </cell>
          <cell r="B213" t="str">
            <v>АГЕНТСТВО РЕФПЕРЕВОЗОК</v>
          </cell>
          <cell r="C213" t="str">
            <v>ХОВРИНО      (ОКТ)</v>
          </cell>
          <cell r="D213">
            <v>31778</v>
          </cell>
          <cell r="F213">
            <v>0</v>
          </cell>
          <cell r="G213">
            <v>37708</v>
          </cell>
          <cell r="H213">
            <v>492</v>
          </cell>
          <cell r="I213" t="str">
            <v>деп</v>
          </cell>
          <cell r="J213">
            <v>38439</v>
          </cell>
        </row>
        <row r="214">
          <cell r="A214">
            <v>58338096</v>
          </cell>
          <cell r="B214" t="str">
            <v>АГЕНТСТВО РЕФПЕРЕВОЗОК</v>
          </cell>
          <cell r="C214" t="str">
            <v>ХОВРИНО      (ОКТ)</v>
          </cell>
          <cell r="D214">
            <v>30317</v>
          </cell>
          <cell r="E214">
            <v>37781</v>
          </cell>
          <cell r="F214">
            <v>492</v>
          </cell>
          <cell r="G214">
            <v>33938</v>
          </cell>
          <cell r="H214">
            <v>1097</v>
          </cell>
          <cell r="I214" t="str">
            <v>деп</v>
          </cell>
          <cell r="J214">
            <v>38330</v>
          </cell>
        </row>
        <row r="215">
          <cell r="A215">
            <v>58338591</v>
          </cell>
          <cell r="B215" t="str">
            <v>АГЕНТСТВО РЕФПЕРЕВОЗОК</v>
          </cell>
          <cell r="C215" t="str">
            <v>ХОВРИНО      (ОКТ)</v>
          </cell>
          <cell r="D215">
            <v>30317</v>
          </cell>
          <cell r="E215">
            <v>37941</v>
          </cell>
          <cell r="F215">
            <v>557</v>
          </cell>
          <cell r="G215">
            <v>34137</v>
          </cell>
          <cell r="H215">
            <v>1097</v>
          </cell>
          <cell r="I215" t="str">
            <v>деп</v>
          </cell>
          <cell r="J215">
            <v>38488</v>
          </cell>
        </row>
        <row r="216">
          <cell r="A216">
            <v>58338799</v>
          </cell>
          <cell r="B216" t="str">
            <v>АГЕНТСТВО РЕФПЕРЕВОЗОК</v>
          </cell>
          <cell r="C216" t="str">
            <v>ХОВРИНО      (ОКТ)</v>
          </cell>
          <cell r="D216">
            <v>30317</v>
          </cell>
          <cell r="E216">
            <v>37934</v>
          </cell>
          <cell r="F216">
            <v>557</v>
          </cell>
          <cell r="G216">
            <v>34128</v>
          </cell>
          <cell r="H216">
            <v>1097</v>
          </cell>
          <cell r="I216" t="str">
            <v>деп</v>
          </cell>
          <cell r="J216">
            <v>38481</v>
          </cell>
        </row>
        <row r="217">
          <cell r="A217">
            <v>58338898</v>
          </cell>
          <cell r="B217" t="str">
            <v>АГЕНТСТВО РЕФПЕРЕВОЗОК</v>
          </cell>
          <cell r="C217" t="str">
            <v>ХОВРИНО      (ОКТ)</v>
          </cell>
          <cell r="D217">
            <v>30317</v>
          </cell>
          <cell r="E217">
            <v>37779</v>
          </cell>
          <cell r="F217">
            <v>492</v>
          </cell>
          <cell r="G217">
            <v>34059</v>
          </cell>
          <cell r="H217">
            <v>1097</v>
          </cell>
          <cell r="I217" t="str">
            <v>деп</v>
          </cell>
          <cell r="J217">
            <v>38328</v>
          </cell>
        </row>
        <row r="218">
          <cell r="A218">
            <v>58340449</v>
          </cell>
          <cell r="B218" t="str">
            <v>АГЕНТСТВО РЕФПЕРЕВОЗОК</v>
          </cell>
          <cell r="C218" t="str">
            <v>ХОВРИНО      (ОКТ)</v>
          </cell>
          <cell r="D218">
            <v>30317</v>
          </cell>
          <cell r="E218">
            <v>37788</v>
          </cell>
          <cell r="F218">
            <v>492</v>
          </cell>
          <cell r="G218">
            <v>33997</v>
          </cell>
          <cell r="H218">
            <v>1097</v>
          </cell>
          <cell r="I218" t="str">
            <v>деп</v>
          </cell>
          <cell r="J218">
            <v>38337</v>
          </cell>
        </row>
        <row r="219">
          <cell r="A219">
            <v>58340456</v>
          </cell>
          <cell r="B219" t="str">
            <v>АГЕНТСТВО РЕФПЕРЕВОЗОК</v>
          </cell>
          <cell r="C219" t="str">
            <v>ХОВРИНО      (ОКТ)</v>
          </cell>
          <cell r="D219">
            <v>30317</v>
          </cell>
          <cell r="E219">
            <v>37945</v>
          </cell>
          <cell r="F219">
            <v>557</v>
          </cell>
          <cell r="G219">
            <v>34085</v>
          </cell>
          <cell r="H219">
            <v>1097</v>
          </cell>
          <cell r="I219" t="str">
            <v>деп</v>
          </cell>
          <cell r="J219">
            <v>38492</v>
          </cell>
        </row>
        <row r="220">
          <cell r="A220">
            <v>58340472</v>
          </cell>
          <cell r="B220" t="str">
            <v>АГЕНТСТВО РЕФПЕРЕВОЗОК</v>
          </cell>
          <cell r="C220" t="str">
            <v>ХОВРИНО      (ОКТ)</v>
          </cell>
          <cell r="D220">
            <v>30317</v>
          </cell>
          <cell r="E220">
            <v>37942</v>
          </cell>
          <cell r="F220">
            <v>557</v>
          </cell>
          <cell r="G220">
            <v>33969</v>
          </cell>
          <cell r="H220">
            <v>1097</v>
          </cell>
          <cell r="I220" t="str">
            <v>деп</v>
          </cell>
          <cell r="J220">
            <v>38489</v>
          </cell>
        </row>
        <row r="221">
          <cell r="A221">
            <v>58340506</v>
          </cell>
          <cell r="B221" t="str">
            <v>АГЕНТСТВО РЕФПЕРЕВОЗОК</v>
          </cell>
          <cell r="C221" t="str">
            <v>ХОВРИНО      (ОКТ)</v>
          </cell>
          <cell r="D221">
            <v>30317</v>
          </cell>
          <cell r="F221">
            <v>0</v>
          </cell>
          <cell r="G221">
            <v>33908</v>
          </cell>
          <cell r="H221">
            <v>1097</v>
          </cell>
          <cell r="I221" t="str">
            <v>деп</v>
          </cell>
          <cell r="J221">
            <v>34151</v>
          </cell>
        </row>
        <row r="222">
          <cell r="A222">
            <v>58340514</v>
          </cell>
          <cell r="B222" t="str">
            <v>АГЕНТСТВО РЕФПЕРЕВОЗОК</v>
          </cell>
          <cell r="C222" t="str">
            <v>ХОВРИНО      (ОКТ)</v>
          </cell>
          <cell r="D222">
            <v>30317</v>
          </cell>
          <cell r="E222">
            <v>37788</v>
          </cell>
          <cell r="F222">
            <v>492</v>
          </cell>
          <cell r="G222">
            <v>33969</v>
          </cell>
          <cell r="H222">
            <v>1097</v>
          </cell>
          <cell r="I222" t="str">
            <v>деп</v>
          </cell>
          <cell r="J222">
            <v>38337</v>
          </cell>
        </row>
        <row r="223">
          <cell r="A223">
            <v>58340522</v>
          </cell>
          <cell r="B223" t="str">
            <v>АГЕНТСТВО РЕФПЕРЕВОЗОК</v>
          </cell>
          <cell r="C223" t="str">
            <v>ХОВРИНО      (ОКТ)</v>
          </cell>
          <cell r="D223">
            <v>30317</v>
          </cell>
          <cell r="E223">
            <v>37942</v>
          </cell>
          <cell r="F223">
            <v>557</v>
          </cell>
          <cell r="G223">
            <v>34018</v>
          </cell>
          <cell r="H223">
            <v>1097</v>
          </cell>
          <cell r="I223" t="str">
            <v>деп</v>
          </cell>
          <cell r="J223">
            <v>38489</v>
          </cell>
        </row>
        <row r="224">
          <cell r="A224">
            <v>58340530</v>
          </cell>
          <cell r="B224" t="str">
            <v>АГЕНТСТВО РЕФПЕРЕВОЗОК</v>
          </cell>
          <cell r="C224" t="str">
            <v>ХОВРИНО      (ОКТ)</v>
          </cell>
          <cell r="D224">
            <v>30317</v>
          </cell>
          <cell r="E224">
            <v>37945</v>
          </cell>
          <cell r="F224">
            <v>557</v>
          </cell>
          <cell r="G224">
            <v>33908</v>
          </cell>
          <cell r="H224">
            <v>1097</v>
          </cell>
          <cell r="I224" t="str">
            <v>деп</v>
          </cell>
          <cell r="J224">
            <v>38492</v>
          </cell>
        </row>
        <row r="225">
          <cell r="A225">
            <v>58340548</v>
          </cell>
          <cell r="B225" t="str">
            <v>АГЕНТСТВО РЕФПЕРЕВОЗОК</v>
          </cell>
          <cell r="C225" t="str">
            <v>ХОВРИНО      (ОКТ)</v>
          </cell>
          <cell r="D225">
            <v>30317</v>
          </cell>
          <cell r="E225">
            <v>37936</v>
          </cell>
          <cell r="F225">
            <v>557</v>
          </cell>
          <cell r="G225">
            <v>34047</v>
          </cell>
          <cell r="H225">
            <v>1097</v>
          </cell>
          <cell r="I225" t="str">
            <v>деп</v>
          </cell>
          <cell r="J225">
            <v>38483</v>
          </cell>
        </row>
        <row r="226">
          <cell r="A226">
            <v>58340555</v>
          </cell>
          <cell r="B226" t="str">
            <v>АГЕНТСТВО РЕФПЕРЕВОЗОК</v>
          </cell>
          <cell r="C226" t="str">
            <v>ХОВРИНО      (ОКТ)</v>
          </cell>
          <cell r="D226">
            <v>30317</v>
          </cell>
          <cell r="F226">
            <v>0</v>
          </cell>
          <cell r="G226">
            <v>33991</v>
          </cell>
          <cell r="H226">
            <v>1097</v>
          </cell>
          <cell r="I226" t="str">
            <v>кап</v>
          </cell>
          <cell r="J226">
            <v>31686</v>
          </cell>
        </row>
        <row r="227">
          <cell r="A227">
            <v>58340589</v>
          </cell>
          <cell r="B227" t="str">
            <v>АГЕНТСТВО РЕФПЕРЕВОЗОК</v>
          </cell>
          <cell r="C227" t="str">
            <v>ХОВРИНО      (ОКТ)</v>
          </cell>
          <cell r="D227">
            <v>30317</v>
          </cell>
          <cell r="E227">
            <v>37778</v>
          </cell>
          <cell r="F227">
            <v>492</v>
          </cell>
          <cell r="G227">
            <v>33926</v>
          </cell>
          <cell r="H227">
            <v>1097</v>
          </cell>
          <cell r="I227" t="str">
            <v>кап</v>
          </cell>
          <cell r="J227">
            <v>38327</v>
          </cell>
        </row>
        <row r="228">
          <cell r="A228">
            <v>58340597</v>
          </cell>
          <cell r="B228" t="str">
            <v>АГЕНТСТВО РЕФПЕРЕВОЗОК</v>
          </cell>
          <cell r="C228" t="str">
            <v>ХОВРИНО      (ОКТ)</v>
          </cell>
          <cell r="D228">
            <v>30317</v>
          </cell>
          <cell r="E228">
            <v>37945</v>
          </cell>
          <cell r="F228">
            <v>557</v>
          </cell>
          <cell r="G228">
            <v>33906</v>
          </cell>
          <cell r="H228">
            <v>1097</v>
          </cell>
          <cell r="I228" t="str">
            <v>деп</v>
          </cell>
          <cell r="J228">
            <v>38492</v>
          </cell>
        </row>
        <row r="229">
          <cell r="A229">
            <v>58340605</v>
          </cell>
          <cell r="B229" t="str">
            <v>АГЕНТСТВО РЕФПЕРЕВОЗОК</v>
          </cell>
          <cell r="C229" t="str">
            <v>ХОВРИНО      (ОКТ)</v>
          </cell>
          <cell r="D229">
            <v>30317</v>
          </cell>
          <cell r="E229">
            <v>37790</v>
          </cell>
          <cell r="F229">
            <v>492</v>
          </cell>
          <cell r="G229">
            <v>33928</v>
          </cell>
          <cell r="H229">
            <v>1097</v>
          </cell>
          <cell r="I229" t="str">
            <v>деп</v>
          </cell>
          <cell r="J229">
            <v>38339</v>
          </cell>
        </row>
        <row r="230">
          <cell r="A230">
            <v>58340613</v>
          </cell>
          <cell r="B230" t="str">
            <v>АГЕНТСТВО РЕФПЕРЕВОЗОК</v>
          </cell>
          <cell r="C230" t="str">
            <v>ХОВРИНО      (ОКТ)</v>
          </cell>
          <cell r="D230">
            <v>30317</v>
          </cell>
          <cell r="E230">
            <v>37770</v>
          </cell>
          <cell r="F230">
            <v>492</v>
          </cell>
          <cell r="G230">
            <v>34242</v>
          </cell>
          <cell r="H230">
            <v>1097</v>
          </cell>
          <cell r="I230" t="str">
            <v>деп</v>
          </cell>
          <cell r="J230">
            <v>38320</v>
          </cell>
        </row>
        <row r="231">
          <cell r="A231">
            <v>58340621</v>
          </cell>
          <cell r="B231" t="str">
            <v>АГЕНТСТВО РЕФПЕРЕВОЗОК</v>
          </cell>
          <cell r="C231" t="str">
            <v>ХОВРИНО      (ОКТ)</v>
          </cell>
          <cell r="D231">
            <v>30317</v>
          </cell>
          <cell r="E231">
            <v>37959</v>
          </cell>
          <cell r="F231">
            <v>492</v>
          </cell>
          <cell r="H231">
            <v>0</v>
          </cell>
          <cell r="I231" t="str">
            <v>деп</v>
          </cell>
          <cell r="J231">
            <v>38507</v>
          </cell>
        </row>
        <row r="232">
          <cell r="A232">
            <v>58340639</v>
          </cell>
          <cell r="B232" t="str">
            <v>АГЕНТСТВО РЕФПЕРЕВОЗОК</v>
          </cell>
          <cell r="C232" t="str">
            <v>ХОВРИНО      (ОКТ)</v>
          </cell>
          <cell r="D232">
            <v>30317</v>
          </cell>
          <cell r="E232">
            <v>37938</v>
          </cell>
          <cell r="F232">
            <v>557</v>
          </cell>
          <cell r="G232">
            <v>34120</v>
          </cell>
          <cell r="H232">
            <v>1097</v>
          </cell>
          <cell r="I232" t="str">
            <v>деп</v>
          </cell>
          <cell r="J232">
            <v>38485</v>
          </cell>
        </row>
        <row r="233">
          <cell r="A233">
            <v>58340654</v>
          </cell>
          <cell r="B233" t="str">
            <v>АГЕНТСТВО РЕФПЕРЕВОЗОК</v>
          </cell>
          <cell r="C233" t="str">
            <v>ХОВРИНО      (ОКТ)</v>
          </cell>
          <cell r="D233">
            <v>30317</v>
          </cell>
          <cell r="F233">
            <v>0</v>
          </cell>
          <cell r="G233">
            <v>33938</v>
          </cell>
          <cell r="H233">
            <v>1097</v>
          </cell>
          <cell r="I233" t="str">
            <v>деп</v>
          </cell>
          <cell r="J233">
            <v>35400</v>
          </cell>
        </row>
        <row r="234">
          <cell r="A234">
            <v>58340670</v>
          </cell>
          <cell r="B234" t="str">
            <v>АГЕНТСТВО РЕФПЕРЕВОЗОК</v>
          </cell>
          <cell r="C234" t="str">
            <v>ХОВРИНО      (ОКТ)</v>
          </cell>
          <cell r="D234">
            <v>30317</v>
          </cell>
          <cell r="F234">
            <v>0</v>
          </cell>
          <cell r="G234">
            <v>34165</v>
          </cell>
          <cell r="H234">
            <v>1097</v>
          </cell>
          <cell r="I234" t="str">
            <v>деп</v>
          </cell>
          <cell r="J234">
            <v>34516</v>
          </cell>
        </row>
        <row r="235">
          <cell r="A235">
            <v>58340704</v>
          </cell>
          <cell r="B235" t="str">
            <v>АГЕНТСТВО РЕФПЕРЕВОЗОК</v>
          </cell>
          <cell r="C235" t="str">
            <v>ХОВРИНО      (ОКТ)</v>
          </cell>
          <cell r="D235">
            <v>30317</v>
          </cell>
          <cell r="E235">
            <v>37772</v>
          </cell>
          <cell r="F235">
            <v>492</v>
          </cell>
          <cell r="G235">
            <v>34039</v>
          </cell>
          <cell r="H235">
            <v>1097</v>
          </cell>
          <cell r="I235" t="str">
            <v>деп</v>
          </cell>
          <cell r="J235">
            <v>38321</v>
          </cell>
        </row>
        <row r="236">
          <cell r="A236">
            <v>58340720</v>
          </cell>
          <cell r="B236" t="str">
            <v>АГЕНТСТВО РЕФПЕРЕВОЗОК</v>
          </cell>
          <cell r="C236" t="str">
            <v>ХОВРИНО      (ОКТ)</v>
          </cell>
          <cell r="D236">
            <v>30317</v>
          </cell>
          <cell r="E236">
            <v>37780</v>
          </cell>
          <cell r="F236">
            <v>492</v>
          </cell>
          <cell r="G236">
            <v>34150</v>
          </cell>
          <cell r="H236">
            <v>1097</v>
          </cell>
          <cell r="I236" t="str">
            <v>деп</v>
          </cell>
          <cell r="J236">
            <v>38329</v>
          </cell>
        </row>
        <row r="237">
          <cell r="A237">
            <v>58340738</v>
          </cell>
          <cell r="B237" t="str">
            <v>АГЕНТСТВО РЕФПЕРЕВОЗОК</v>
          </cell>
          <cell r="C237" t="str">
            <v>ХОВРИНО      (ОКТ)</v>
          </cell>
          <cell r="D237">
            <v>30317</v>
          </cell>
          <cell r="E237">
            <v>37941</v>
          </cell>
          <cell r="F237">
            <v>557</v>
          </cell>
          <cell r="G237">
            <v>33959</v>
          </cell>
          <cell r="H237">
            <v>1097</v>
          </cell>
          <cell r="I237" t="str">
            <v>деп</v>
          </cell>
          <cell r="J237">
            <v>38488</v>
          </cell>
        </row>
        <row r="238">
          <cell r="A238">
            <v>58340753</v>
          </cell>
          <cell r="B238" t="str">
            <v>АГЕНТСТВО РЕФПЕРЕВОЗОК</v>
          </cell>
          <cell r="C238" t="str">
            <v>ХОВРИНО      (ОКТ)</v>
          </cell>
          <cell r="D238">
            <v>30317</v>
          </cell>
          <cell r="E238">
            <v>37786</v>
          </cell>
          <cell r="F238">
            <v>492</v>
          </cell>
          <cell r="G238">
            <v>34101</v>
          </cell>
          <cell r="H238">
            <v>1097</v>
          </cell>
          <cell r="I238" t="str">
            <v>деп</v>
          </cell>
          <cell r="J238">
            <v>38335</v>
          </cell>
        </row>
        <row r="239">
          <cell r="A239">
            <v>58340761</v>
          </cell>
          <cell r="B239" t="str">
            <v>АГЕНТСТВО РЕФПЕРЕВОЗОК</v>
          </cell>
          <cell r="C239" t="str">
            <v>ХОВРИНО      (ОКТ)</v>
          </cell>
          <cell r="D239">
            <v>30317</v>
          </cell>
          <cell r="E239">
            <v>37770</v>
          </cell>
          <cell r="F239">
            <v>492</v>
          </cell>
          <cell r="G239">
            <v>33997</v>
          </cell>
          <cell r="H239">
            <v>1097</v>
          </cell>
          <cell r="I239" t="str">
            <v>деп</v>
          </cell>
          <cell r="J239">
            <v>38320</v>
          </cell>
        </row>
        <row r="240">
          <cell r="A240">
            <v>58340779</v>
          </cell>
          <cell r="B240" t="str">
            <v>АГЕНТСТВО РЕФПЕРЕВОЗОК</v>
          </cell>
          <cell r="C240" t="str">
            <v>ХОВРИНО      (ОКТ)</v>
          </cell>
          <cell r="D240">
            <v>30317</v>
          </cell>
          <cell r="E240">
            <v>37768</v>
          </cell>
          <cell r="F240">
            <v>492</v>
          </cell>
          <cell r="G240">
            <v>34081</v>
          </cell>
          <cell r="H240">
            <v>1097</v>
          </cell>
          <cell r="I240" t="str">
            <v>деп</v>
          </cell>
          <cell r="J240">
            <v>38318</v>
          </cell>
        </row>
        <row r="241">
          <cell r="A241">
            <v>58340845</v>
          </cell>
          <cell r="B241" t="str">
            <v>АГЕНТСТВО РЕФПЕРЕВОЗОК</v>
          </cell>
          <cell r="C241" t="str">
            <v>ХОВРИНО      (ОКТ)</v>
          </cell>
          <cell r="D241">
            <v>30317</v>
          </cell>
          <cell r="F241">
            <v>0</v>
          </cell>
          <cell r="G241">
            <v>33991</v>
          </cell>
          <cell r="H241">
            <v>1097</v>
          </cell>
          <cell r="I241" t="str">
            <v>кап</v>
          </cell>
          <cell r="J241">
            <v>31898</v>
          </cell>
        </row>
        <row r="242">
          <cell r="A242">
            <v>58340852</v>
          </cell>
          <cell r="B242" t="str">
            <v>АГЕНТСТВО РЕФПЕРЕВОЗОК</v>
          </cell>
          <cell r="C242" t="str">
            <v>ХОВРИНО      (ОКТ)</v>
          </cell>
          <cell r="D242">
            <v>30317</v>
          </cell>
          <cell r="E242">
            <v>37937</v>
          </cell>
          <cell r="F242">
            <v>557</v>
          </cell>
          <cell r="G242">
            <v>34144</v>
          </cell>
          <cell r="H242">
            <v>1097</v>
          </cell>
          <cell r="I242" t="str">
            <v>деп</v>
          </cell>
          <cell r="J242">
            <v>38484</v>
          </cell>
        </row>
        <row r="243">
          <cell r="A243">
            <v>58340886</v>
          </cell>
          <cell r="B243" t="str">
            <v>АГЕНТСТВО РЕФПЕРЕВОЗОК</v>
          </cell>
          <cell r="C243" t="str">
            <v>ХОВРИНО      (ОКТ)</v>
          </cell>
          <cell r="D243">
            <v>30682</v>
          </cell>
          <cell r="E243">
            <v>37801</v>
          </cell>
          <cell r="F243">
            <v>492</v>
          </cell>
          <cell r="G243">
            <v>34239</v>
          </cell>
          <cell r="H243">
            <v>1097</v>
          </cell>
          <cell r="I243" t="str">
            <v>деп</v>
          </cell>
          <cell r="J243">
            <v>38350</v>
          </cell>
        </row>
        <row r="244">
          <cell r="A244">
            <v>58340894</v>
          </cell>
          <cell r="B244" t="str">
            <v>АГЕНТСТВО РЕФПЕРЕВОЗОК</v>
          </cell>
          <cell r="C244" t="str">
            <v>ХОВРИНО      (ОКТ)</v>
          </cell>
          <cell r="D244">
            <v>30682</v>
          </cell>
          <cell r="E244">
            <v>37526</v>
          </cell>
          <cell r="F244">
            <v>1097</v>
          </cell>
          <cell r="G244">
            <v>34233</v>
          </cell>
          <cell r="H244">
            <v>1097</v>
          </cell>
          <cell r="I244" t="str">
            <v>деп</v>
          </cell>
          <cell r="J244">
            <v>38073</v>
          </cell>
        </row>
        <row r="245">
          <cell r="A245">
            <v>58340928</v>
          </cell>
          <cell r="B245" t="str">
            <v>АГЕНТСТВО РЕФПЕРЕВОЗОК</v>
          </cell>
          <cell r="C245" t="str">
            <v>ХОВРИНО      (ОКТ)</v>
          </cell>
          <cell r="D245">
            <v>30682</v>
          </cell>
          <cell r="E245">
            <v>37770</v>
          </cell>
          <cell r="F245">
            <v>492</v>
          </cell>
          <cell r="G245">
            <v>34208</v>
          </cell>
          <cell r="H245">
            <v>1097</v>
          </cell>
          <cell r="I245" t="str">
            <v>деп</v>
          </cell>
          <cell r="J245">
            <v>38320</v>
          </cell>
        </row>
        <row r="246">
          <cell r="A246">
            <v>58340944</v>
          </cell>
          <cell r="B246" t="str">
            <v>АГЕНТСТВО РЕФПЕРЕВОЗОК</v>
          </cell>
          <cell r="C246" t="str">
            <v>ХОВРИНО      (ОКТ)</v>
          </cell>
          <cell r="D246">
            <v>30682</v>
          </cell>
          <cell r="E246">
            <v>37937</v>
          </cell>
          <cell r="F246">
            <v>557</v>
          </cell>
          <cell r="G246">
            <v>34208</v>
          </cell>
          <cell r="H246">
            <v>1097</v>
          </cell>
          <cell r="I246" t="str">
            <v>деп</v>
          </cell>
          <cell r="J246">
            <v>38484</v>
          </cell>
        </row>
        <row r="247">
          <cell r="A247">
            <v>58340951</v>
          </cell>
          <cell r="B247" t="str">
            <v>АГЕНТСТВО РЕФПЕРЕВОЗОК</v>
          </cell>
          <cell r="C247" t="str">
            <v>ХОВРИНО      (ОКТ)</v>
          </cell>
          <cell r="D247">
            <v>30682</v>
          </cell>
          <cell r="E247">
            <v>37867</v>
          </cell>
          <cell r="F247">
            <v>492</v>
          </cell>
          <cell r="G247">
            <v>34212</v>
          </cell>
          <cell r="H247">
            <v>1097</v>
          </cell>
          <cell r="I247" t="str">
            <v>деп</v>
          </cell>
          <cell r="J247">
            <v>38414</v>
          </cell>
        </row>
        <row r="248">
          <cell r="A248">
            <v>58340977</v>
          </cell>
          <cell r="B248" t="str">
            <v>АГЕНТСТВО РЕФПЕРЕВОЗОК</v>
          </cell>
          <cell r="C248" t="str">
            <v>ХОВРИНО      (ОКТ)</v>
          </cell>
          <cell r="D248">
            <v>30682</v>
          </cell>
          <cell r="E248">
            <v>37671</v>
          </cell>
          <cell r="F248">
            <v>1097</v>
          </cell>
          <cell r="G248">
            <v>34208</v>
          </cell>
          <cell r="H248">
            <v>1097</v>
          </cell>
          <cell r="I248" t="str">
            <v>деп</v>
          </cell>
          <cell r="J248">
            <v>38218</v>
          </cell>
        </row>
        <row r="249">
          <cell r="A249">
            <v>58340985</v>
          </cell>
          <cell r="B249" t="str">
            <v>АГЕНТСТВО РЕФПЕРЕВОЗОК</v>
          </cell>
          <cell r="C249" t="str">
            <v>ХОВРИНО      (ОКТ)</v>
          </cell>
          <cell r="D249">
            <v>30682</v>
          </cell>
          <cell r="E249">
            <v>37780</v>
          </cell>
          <cell r="F249">
            <v>492</v>
          </cell>
          <cell r="G249">
            <v>34239</v>
          </cell>
          <cell r="H249">
            <v>1097</v>
          </cell>
          <cell r="I249" t="str">
            <v>деп</v>
          </cell>
          <cell r="J249">
            <v>38329</v>
          </cell>
        </row>
        <row r="250">
          <cell r="A250">
            <v>58340993</v>
          </cell>
          <cell r="B250" t="str">
            <v>АГЕНТСТВО РЕФПЕРЕВОЗОК</v>
          </cell>
          <cell r="C250" t="str">
            <v>ХОВРИНО      (ОКТ)</v>
          </cell>
          <cell r="D250">
            <v>30682</v>
          </cell>
          <cell r="E250">
            <v>37945</v>
          </cell>
          <cell r="F250">
            <v>557</v>
          </cell>
          <cell r="G250">
            <v>34212</v>
          </cell>
          <cell r="H250">
            <v>1097</v>
          </cell>
          <cell r="I250" t="str">
            <v>деп</v>
          </cell>
          <cell r="J250">
            <v>38492</v>
          </cell>
        </row>
        <row r="251">
          <cell r="A251">
            <v>58341025</v>
          </cell>
          <cell r="B251" t="str">
            <v>АГЕНТСТВО РЕФПЕРЕВОЗОК</v>
          </cell>
          <cell r="C251" t="str">
            <v>ХОВРИНО      (ОКТ)</v>
          </cell>
          <cell r="D251">
            <v>30682</v>
          </cell>
          <cell r="F251">
            <v>0</v>
          </cell>
          <cell r="G251">
            <v>37568</v>
          </cell>
          <cell r="H251">
            <v>1097</v>
          </cell>
          <cell r="I251" t="str">
            <v>деп</v>
          </cell>
          <cell r="J251">
            <v>38115</v>
          </cell>
        </row>
        <row r="252">
          <cell r="A252">
            <v>58341033</v>
          </cell>
          <cell r="B252" t="str">
            <v>АГЕНТСТВО РЕФПЕРЕВОЗОК</v>
          </cell>
          <cell r="C252" t="str">
            <v>ХОВРИНО      (ОКТ)</v>
          </cell>
          <cell r="D252">
            <v>30682</v>
          </cell>
          <cell r="E252">
            <v>37526</v>
          </cell>
          <cell r="F252">
            <v>1097</v>
          </cell>
          <cell r="G252">
            <v>34212</v>
          </cell>
          <cell r="H252">
            <v>1097</v>
          </cell>
          <cell r="I252" t="str">
            <v>деп</v>
          </cell>
          <cell r="J252">
            <v>38073</v>
          </cell>
        </row>
        <row r="253">
          <cell r="A253">
            <v>58341066</v>
          </cell>
          <cell r="B253" t="str">
            <v>АГЕНТСТВО РЕФПЕРЕВОЗОК</v>
          </cell>
          <cell r="C253" t="str">
            <v>ХОВРИНО      (ОКТ)</v>
          </cell>
          <cell r="D253">
            <v>30682</v>
          </cell>
          <cell r="E253">
            <v>37945</v>
          </cell>
          <cell r="F253">
            <v>557</v>
          </cell>
          <cell r="G253">
            <v>34044</v>
          </cell>
          <cell r="H253">
            <v>1097</v>
          </cell>
          <cell r="I253" t="str">
            <v>деп</v>
          </cell>
          <cell r="J253">
            <v>38492</v>
          </cell>
        </row>
        <row r="254">
          <cell r="A254">
            <v>58341082</v>
          </cell>
          <cell r="B254" t="str">
            <v>АГЕНТСТВО РЕФПЕРЕВОЗОК</v>
          </cell>
          <cell r="C254" t="str">
            <v>ХОВРИНО      (ОКТ)</v>
          </cell>
          <cell r="D254">
            <v>30682</v>
          </cell>
          <cell r="E254">
            <v>37796</v>
          </cell>
          <cell r="F254">
            <v>492</v>
          </cell>
          <cell r="G254">
            <v>34212</v>
          </cell>
          <cell r="H254">
            <v>1097</v>
          </cell>
          <cell r="I254" t="str">
            <v>деп</v>
          </cell>
          <cell r="J254">
            <v>38345</v>
          </cell>
        </row>
        <row r="255">
          <cell r="A255">
            <v>58341090</v>
          </cell>
          <cell r="B255" t="str">
            <v>АГЕНТСТВО РЕФПЕРЕВОЗОК</v>
          </cell>
          <cell r="C255" t="str">
            <v>ХОВРИНО      (ОКТ)</v>
          </cell>
          <cell r="D255">
            <v>30682</v>
          </cell>
          <cell r="E255">
            <v>37770</v>
          </cell>
          <cell r="F255">
            <v>492</v>
          </cell>
          <cell r="G255">
            <v>34198</v>
          </cell>
          <cell r="H255">
            <v>1097</v>
          </cell>
          <cell r="I255" t="str">
            <v>деп</v>
          </cell>
          <cell r="J255">
            <v>38320</v>
          </cell>
        </row>
        <row r="256">
          <cell r="A256">
            <v>58341116</v>
          </cell>
          <cell r="B256" t="str">
            <v>АГЕНТСТВО РЕФПЕРЕВОЗОК</v>
          </cell>
          <cell r="C256" t="str">
            <v>ХОВРИНО      (ОКТ)</v>
          </cell>
          <cell r="D256">
            <v>30682</v>
          </cell>
          <cell r="E256">
            <v>37802</v>
          </cell>
          <cell r="F256">
            <v>492</v>
          </cell>
          <cell r="G256">
            <v>34273</v>
          </cell>
          <cell r="H256">
            <v>1097</v>
          </cell>
          <cell r="I256" t="str">
            <v>деп</v>
          </cell>
          <cell r="J256">
            <v>38351</v>
          </cell>
        </row>
        <row r="257">
          <cell r="A257">
            <v>58341124</v>
          </cell>
          <cell r="B257" t="str">
            <v>АГЕНТСТВО РЕФПЕРЕВОЗОК</v>
          </cell>
          <cell r="C257" t="str">
            <v>ХОВРИНО      (ОКТ)</v>
          </cell>
          <cell r="D257">
            <v>30682</v>
          </cell>
          <cell r="E257">
            <v>37772</v>
          </cell>
          <cell r="F257">
            <v>492</v>
          </cell>
          <cell r="G257">
            <v>34150</v>
          </cell>
          <cell r="H257">
            <v>1097</v>
          </cell>
          <cell r="I257" t="str">
            <v>деп</v>
          </cell>
          <cell r="J257">
            <v>38321</v>
          </cell>
        </row>
        <row r="258">
          <cell r="A258">
            <v>58341132</v>
          </cell>
          <cell r="B258" t="str">
            <v>АГЕНТСТВО РЕФПЕРЕВОЗОК</v>
          </cell>
          <cell r="C258" t="str">
            <v>ХОВРИНО      (ОКТ)</v>
          </cell>
          <cell r="D258">
            <v>30682</v>
          </cell>
          <cell r="E258">
            <v>37770</v>
          </cell>
          <cell r="F258">
            <v>492</v>
          </cell>
          <cell r="G258">
            <v>34212</v>
          </cell>
          <cell r="H258">
            <v>1097</v>
          </cell>
          <cell r="I258" t="str">
            <v>деп</v>
          </cell>
          <cell r="J258">
            <v>38320</v>
          </cell>
        </row>
        <row r="259">
          <cell r="A259">
            <v>58341165</v>
          </cell>
          <cell r="B259" t="str">
            <v>АГЕНТСТВО РЕФПЕРЕВОЗОК</v>
          </cell>
          <cell r="C259" t="str">
            <v>ХОВРИНО      (ОКТ)</v>
          </cell>
          <cell r="D259">
            <v>30682</v>
          </cell>
          <cell r="E259">
            <v>37968</v>
          </cell>
          <cell r="F259">
            <v>492</v>
          </cell>
          <cell r="G259">
            <v>34212</v>
          </cell>
          <cell r="H259">
            <v>1097</v>
          </cell>
          <cell r="I259" t="str">
            <v>деп</v>
          </cell>
          <cell r="J259">
            <v>38516</v>
          </cell>
        </row>
        <row r="260">
          <cell r="A260">
            <v>58341173</v>
          </cell>
          <cell r="B260" t="str">
            <v>АГЕНТСТВО РЕФПЕРЕВОЗОК</v>
          </cell>
          <cell r="C260" t="str">
            <v>ХОВРИНО      (ОКТ)</v>
          </cell>
          <cell r="D260">
            <v>30682</v>
          </cell>
          <cell r="E260">
            <v>37785</v>
          </cell>
          <cell r="F260">
            <v>492</v>
          </cell>
          <cell r="G260">
            <v>34150</v>
          </cell>
          <cell r="H260">
            <v>1097</v>
          </cell>
          <cell r="I260" t="str">
            <v>деп</v>
          </cell>
          <cell r="J260">
            <v>38334</v>
          </cell>
        </row>
        <row r="261">
          <cell r="A261">
            <v>58341181</v>
          </cell>
          <cell r="B261" t="str">
            <v>АГЕНТСТВО РЕФПЕРЕВОЗОК</v>
          </cell>
          <cell r="C261" t="str">
            <v>ХОВРИНО      (ОКТ)</v>
          </cell>
          <cell r="D261">
            <v>30682</v>
          </cell>
          <cell r="E261">
            <v>37770</v>
          </cell>
          <cell r="F261">
            <v>492</v>
          </cell>
          <cell r="G261">
            <v>34239</v>
          </cell>
          <cell r="H261">
            <v>1097</v>
          </cell>
          <cell r="I261" t="str">
            <v>деп</v>
          </cell>
          <cell r="J261">
            <v>38320</v>
          </cell>
        </row>
        <row r="262">
          <cell r="A262">
            <v>58341199</v>
          </cell>
          <cell r="B262" t="str">
            <v>АГЕНТСТВО РЕФПЕРЕВОЗОК</v>
          </cell>
          <cell r="C262" t="str">
            <v>ХОВРИНО      (ОКТ)</v>
          </cell>
          <cell r="D262">
            <v>30682</v>
          </cell>
          <cell r="E262">
            <v>37770</v>
          </cell>
          <cell r="F262">
            <v>492</v>
          </cell>
          <cell r="G262">
            <v>34212</v>
          </cell>
          <cell r="H262">
            <v>1097</v>
          </cell>
          <cell r="I262" t="str">
            <v>деп</v>
          </cell>
          <cell r="J262">
            <v>38320</v>
          </cell>
        </row>
        <row r="263">
          <cell r="A263">
            <v>58341207</v>
          </cell>
          <cell r="B263" t="str">
            <v>АГЕНТСТВО РЕФПЕРЕВОЗОК</v>
          </cell>
          <cell r="C263" t="str">
            <v>ХОВРИНО      (ОКТ)</v>
          </cell>
          <cell r="D263">
            <v>31048</v>
          </cell>
          <cell r="F263">
            <v>0</v>
          </cell>
          <cell r="G263">
            <v>37560</v>
          </cell>
          <cell r="H263">
            <v>1097</v>
          </cell>
          <cell r="I263" t="str">
            <v>деп</v>
          </cell>
          <cell r="J263">
            <v>38107</v>
          </cell>
        </row>
        <row r="264">
          <cell r="A264">
            <v>58341215</v>
          </cell>
          <cell r="B264" t="str">
            <v>АГЕНТСТВО РЕФПЕРЕВОЗОК</v>
          </cell>
          <cell r="C264" t="str">
            <v>ХОВРИНО      (ОКТ)</v>
          </cell>
          <cell r="D264">
            <v>31048</v>
          </cell>
          <cell r="F264">
            <v>0</v>
          </cell>
          <cell r="G264">
            <v>37546</v>
          </cell>
          <cell r="H264">
            <v>1097</v>
          </cell>
          <cell r="I264" t="str">
            <v>деп</v>
          </cell>
          <cell r="J264">
            <v>38094</v>
          </cell>
        </row>
        <row r="265">
          <cell r="A265">
            <v>58341223</v>
          </cell>
          <cell r="B265" t="str">
            <v>АГЕНТСТВО РЕФПЕРЕВОЗОК</v>
          </cell>
          <cell r="C265" t="str">
            <v>ХОВРИНО      (ОКТ)</v>
          </cell>
          <cell r="D265">
            <v>31048</v>
          </cell>
          <cell r="F265">
            <v>0</v>
          </cell>
          <cell r="G265">
            <v>37582</v>
          </cell>
          <cell r="H265">
            <v>1097</v>
          </cell>
          <cell r="I265" t="str">
            <v>деп</v>
          </cell>
          <cell r="J265">
            <v>38129</v>
          </cell>
        </row>
        <row r="266">
          <cell r="A266">
            <v>58341231</v>
          </cell>
          <cell r="B266" t="str">
            <v>АГЕНТСТВО РЕФПЕРЕВОЗОК</v>
          </cell>
          <cell r="C266" t="str">
            <v>ХОВРИНО      (ОКТ)</v>
          </cell>
          <cell r="D266">
            <v>31048</v>
          </cell>
          <cell r="F266">
            <v>0</v>
          </cell>
          <cell r="G266">
            <v>37575</v>
          </cell>
          <cell r="H266">
            <v>1097</v>
          </cell>
          <cell r="I266" t="str">
            <v>деп</v>
          </cell>
          <cell r="J266">
            <v>38122</v>
          </cell>
        </row>
        <row r="267">
          <cell r="A267">
            <v>58341249</v>
          </cell>
          <cell r="B267" t="str">
            <v>АГЕНТСТВО РЕФПЕРЕВОЗОК</v>
          </cell>
          <cell r="C267" t="str">
            <v>ХОВРИНО      (ОКТ)</v>
          </cell>
          <cell r="D267">
            <v>31048</v>
          </cell>
          <cell r="F267">
            <v>0</v>
          </cell>
          <cell r="G267">
            <v>37582</v>
          </cell>
          <cell r="H267">
            <v>1097</v>
          </cell>
          <cell r="I267" t="str">
            <v>деп</v>
          </cell>
          <cell r="J267">
            <v>38129</v>
          </cell>
        </row>
        <row r="268">
          <cell r="A268">
            <v>58341256</v>
          </cell>
          <cell r="B268" t="str">
            <v>АГЕНТСТВО РЕФПЕРЕВОЗОК</v>
          </cell>
          <cell r="C268" t="str">
            <v>ХОВРИНО      (ОКТ)</v>
          </cell>
          <cell r="D268">
            <v>31048</v>
          </cell>
          <cell r="F268">
            <v>0</v>
          </cell>
          <cell r="G268">
            <v>37566</v>
          </cell>
          <cell r="H268">
            <v>1097</v>
          </cell>
          <cell r="I268" t="str">
            <v>деп</v>
          </cell>
          <cell r="J268">
            <v>38113</v>
          </cell>
        </row>
        <row r="269">
          <cell r="A269">
            <v>58341264</v>
          </cell>
          <cell r="B269" t="str">
            <v>АГЕНТСТВО РЕФПЕРЕВОЗОК</v>
          </cell>
          <cell r="C269" t="str">
            <v>ХОВРИНО      (ОКТ)</v>
          </cell>
          <cell r="D269">
            <v>31048</v>
          </cell>
          <cell r="F269">
            <v>0</v>
          </cell>
          <cell r="G269">
            <v>37533</v>
          </cell>
          <cell r="H269">
            <v>1097</v>
          </cell>
          <cell r="I269" t="str">
            <v>деп</v>
          </cell>
          <cell r="J269">
            <v>38081</v>
          </cell>
        </row>
        <row r="270">
          <cell r="A270">
            <v>58341272</v>
          </cell>
          <cell r="B270" t="str">
            <v>АГЕНТСТВО РЕФПЕРЕВОЗОК</v>
          </cell>
          <cell r="C270" t="str">
            <v>ХОВРИНО      (ОКТ)</v>
          </cell>
          <cell r="D270">
            <v>31048</v>
          </cell>
          <cell r="F270">
            <v>0</v>
          </cell>
          <cell r="G270">
            <v>37546</v>
          </cell>
          <cell r="H270">
            <v>1097</v>
          </cell>
          <cell r="I270" t="str">
            <v>деп</v>
          </cell>
          <cell r="J270">
            <v>38094</v>
          </cell>
        </row>
        <row r="271">
          <cell r="A271">
            <v>58341280</v>
          </cell>
          <cell r="B271" t="str">
            <v>АГЕНТСТВО РЕФПЕРЕВОЗОК</v>
          </cell>
          <cell r="C271" t="str">
            <v>ХОВРИНО      (ОКТ)</v>
          </cell>
          <cell r="D271">
            <v>31048</v>
          </cell>
          <cell r="F271">
            <v>0</v>
          </cell>
          <cell r="G271">
            <v>37578</v>
          </cell>
          <cell r="H271">
            <v>1097</v>
          </cell>
          <cell r="I271" t="str">
            <v>деп</v>
          </cell>
          <cell r="J271">
            <v>38125</v>
          </cell>
        </row>
        <row r="272">
          <cell r="A272">
            <v>58341298</v>
          </cell>
          <cell r="B272" t="str">
            <v>АГЕНТСТВО РЕФПЕРЕВОЗОК</v>
          </cell>
          <cell r="C272" t="str">
            <v>ХОВРИНО      (ОКТ)</v>
          </cell>
          <cell r="D272">
            <v>31048</v>
          </cell>
          <cell r="F272">
            <v>0</v>
          </cell>
          <cell r="G272">
            <v>37554</v>
          </cell>
          <cell r="H272">
            <v>1097</v>
          </cell>
          <cell r="I272" t="str">
            <v>деп</v>
          </cell>
          <cell r="J272">
            <v>38102</v>
          </cell>
        </row>
        <row r="273">
          <cell r="A273">
            <v>58341306</v>
          </cell>
          <cell r="B273" t="str">
            <v>АГЕНТСТВО РЕФПЕРЕВОЗОК</v>
          </cell>
          <cell r="C273" t="str">
            <v>ХОВРИНО      (ОКТ)</v>
          </cell>
          <cell r="D273">
            <v>31048</v>
          </cell>
          <cell r="F273">
            <v>0</v>
          </cell>
          <cell r="G273">
            <v>37582</v>
          </cell>
          <cell r="H273">
            <v>1097</v>
          </cell>
          <cell r="I273" t="str">
            <v>деп</v>
          </cell>
          <cell r="J273">
            <v>38129</v>
          </cell>
        </row>
        <row r="274">
          <cell r="A274">
            <v>58341314</v>
          </cell>
          <cell r="B274" t="str">
            <v>АГЕНТСТВО РЕФПЕРЕВОЗОК</v>
          </cell>
          <cell r="C274" t="str">
            <v>ХОВРИНО      (ОКТ)</v>
          </cell>
          <cell r="D274">
            <v>31048</v>
          </cell>
          <cell r="F274">
            <v>0</v>
          </cell>
          <cell r="G274">
            <v>37537</v>
          </cell>
          <cell r="H274">
            <v>1097</v>
          </cell>
          <cell r="I274" t="str">
            <v>деп</v>
          </cell>
          <cell r="J274">
            <v>38085</v>
          </cell>
        </row>
        <row r="275">
          <cell r="A275">
            <v>58341322</v>
          </cell>
          <cell r="B275" t="str">
            <v>АГЕНТСТВО РЕФПЕРЕВОЗОК</v>
          </cell>
          <cell r="C275" t="str">
            <v>ХОВРИНО      (ОКТ)</v>
          </cell>
          <cell r="D275">
            <v>31048</v>
          </cell>
          <cell r="F275">
            <v>0</v>
          </cell>
          <cell r="G275">
            <v>37554</v>
          </cell>
          <cell r="H275">
            <v>1097</v>
          </cell>
          <cell r="I275" t="str">
            <v>деп</v>
          </cell>
          <cell r="J275">
            <v>38102</v>
          </cell>
        </row>
        <row r="276">
          <cell r="A276">
            <v>58341330</v>
          </cell>
          <cell r="B276" t="str">
            <v>АГЕНТСТВО РЕФПЕРЕВОЗОК</v>
          </cell>
          <cell r="C276" t="str">
            <v>ХОВРИНО      (ОКТ)</v>
          </cell>
          <cell r="D276">
            <v>31048</v>
          </cell>
          <cell r="F276">
            <v>0</v>
          </cell>
          <cell r="G276">
            <v>37537</v>
          </cell>
          <cell r="H276">
            <v>1097</v>
          </cell>
          <cell r="I276" t="str">
            <v>деп</v>
          </cell>
          <cell r="J276">
            <v>38085</v>
          </cell>
        </row>
        <row r="277">
          <cell r="A277">
            <v>58341348</v>
          </cell>
          <cell r="B277" t="str">
            <v>АГЕНТСТВО РЕФПЕРЕВОЗОК</v>
          </cell>
          <cell r="C277" t="str">
            <v>ХОВРИНО      (ОКТ)</v>
          </cell>
          <cell r="D277">
            <v>31048</v>
          </cell>
          <cell r="F277">
            <v>0</v>
          </cell>
          <cell r="G277">
            <v>37533</v>
          </cell>
          <cell r="H277">
            <v>1097</v>
          </cell>
          <cell r="I277" t="str">
            <v>деп</v>
          </cell>
          <cell r="J277">
            <v>38081</v>
          </cell>
        </row>
        <row r="278">
          <cell r="A278">
            <v>58341355</v>
          </cell>
          <cell r="B278" t="str">
            <v>АГЕНТСТВО РЕФПЕРЕВОЗОК</v>
          </cell>
          <cell r="C278" t="str">
            <v>ХОВРИНО      (ОКТ)</v>
          </cell>
          <cell r="D278">
            <v>31048</v>
          </cell>
          <cell r="F278">
            <v>0</v>
          </cell>
          <cell r="G278">
            <v>37568</v>
          </cell>
          <cell r="H278">
            <v>1097</v>
          </cell>
          <cell r="I278" t="str">
            <v>деп</v>
          </cell>
          <cell r="J278">
            <v>38115</v>
          </cell>
        </row>
        <row r="279">
          <cell r="A279">
            <v>58341363</v>
          </cell>
          <cell r="B279" t="str">
            <v>АГЕНТСТВО РЕФПЕРЕВОЗОК</v>
          </cell>
          <cell r="C279" t="str">
            <v>ХОВРИНО      (ОКТ)</v>
          </cell>
          <cell r="D279">
            <v>31048</v>
          </cell>
          <cell r="F279">
            <v>0</v>
          </cell>
          <cell r="G279">
            <v>37554</v>
          </cell>
          <cell r="H279">
            <v>1097</v>
          </cell>
          <cell r="I279" t="str">
            <v>деп</v>
          </cell>
          <cell r="J279">
            <v>38102</v>
          </cell>
        </row>
        <row r="280">
          <cell r="A280">
            <v>58341371</v>
          </cell>
          <cell r="B280" t="str">
            <v>АГЕНТСТВО РЕФПЕРЕВОЗОК</v>
          </cell>
          <cell r="C280" t="str">
            <v>ХОВРИНО      (ОКТ)</v>
          </cell>
          <cell r="D280">
            <v>31048</v>
          </cell>
          <cell r="F280">
            <v>0</v>
          </cell>
          <cell r="G280">
            <v>37582</v>
          </cell>
          <cell r="H280">
            <v>1097</v>
          </cell>
          <cell r="I280" t="str">
            <v>деп</v>
          </cell>
          <cell r="J280">
            <v>38129</v>
          </cell>
        </row>
        <row r="281">
          <cell r="A281">
            <v>58341389</v>
          </cell>
          <cell r="B281" t="str">
            <v>АГЕНТСТВО РЕФПЕРЕВОЗОК</v>
          </cell>
          <cell r="C281" t="str">
            <v>ХОВРИНО      (ОКТ)</v>
          </cell>
          <cell r="D281">
            <v>31048</v>
          </cell>
          <cell r="F281">
            <v>0</v>
          </cell>
          <cell r="G281">
            <v>37560</v>
          </cell>
          <cell r="H281">
            <v>1097</v>
          </cell>
          <cell r="I281" t="str">
            <v>деп</v>
          </cell>
          <cell r="J281">
            <v>38107</v>
          </cell>
        </row>
        <row r="282">
          <cell r="A282">
            <v>58341397</v>
          </cell>
          <cell r="B282" t="str">
            <v>АГЕНТСТВО РЕФПЕРЕВОЗОК</v>
          </cell>
          <cell r="C282" t="str">
            <v>ХОВРИНО      (ОКТ)</v>
          </cell>
          <cell r="D282">
            <v>31048</v>
          </cell>
          <cell r="F282">
            <v>0</v>
          </cell>
          <cell r="G282">
            <v>37546</v>
          </cell>
          <cell r="H282">
            <v>1097</v>
          </cell>
          <cell r="I282" t="str">
            <v>деп</v>
          </cell>
          <cell r="J282">
            <v>38094</v>
          </cell>
        </row>
        <row r="283">
          <cell r="A283">
            <v>58341405</v>
          </cell>
          <cell r="B283" t="str">
            <v>АГЕНТСТВО РЕФПЕРЕВОЗОК</v>
          </cell>
          <cell r="C283" t="str">
            <v>ХОВРИНО      (ОКТ)</v>
          </cell>
          <cell r="D283">
            <v>31048</v>
          </cell>
          <cell r="F283">
            <v>0</v>
          </cell>
          <cell r="G283">
            <v>37559</v>
          </cell>
          <cell r="H283">
            <v>1097</v>
          </cell>
          <cell r="I283" t="str">
            <v>деп</v>
          </cell>
          <cell r="J283">
            <v>38107</v>
          </cell>
        </row>
        <row r="284">
          <cell r="A284">
            <v>58341413</v>
          </cell>
          <cell r="B284" t="str">
            <v>АГЕНТСТВО РЕФПЕРЕВОЗОК</v>
          </cell>
          <cell r="C284" t="str">
            <v>ХОВРИНО      (ОКТ)</v>
          </cell>
          <cell r="D284">
            <v>31048</v>
          </cell>
          <cell r="F284">
            <v>0</v>
          </cell>
          <cell r="G284">
            <v>37566</v>
          </cell>
          <cell r="H284">
            <v>1097</v>
          </cell>
          <cell r="I284" t="str">
            <v>деп</v>
          </cell>
          <cell r="J284">
            <v>38113</v>
          </cell>
        </row>
        <row r="285">
          <cell r="A285">
            <v>58341421</v>
          </cell>
          <cell r="B285" t="str">
            <v>АГЕНТСТВО РЕФПЕРЕВОЗОК</v>
          </cell>
          <cell r="C285" t="str">
            <v>ХОВРИНО      (ОКТ)</v>
          </cell>
          <cell r="D285">
            <v>31048</v>
          </cell>
          <cell r="F285">
            <v>0</v>
          </cell>
          <cell r="G285">
            <v>37546</v>
          </cell>
          <cell r="H285">
            <v>1097</v>
          </cell>
          <cell r="I285" t="str">
            <v>деп</v>
          </cell>
          <cell r="J285">
            <v>38094</v>
          </cell>
        </row>
        <row r="286">
          <cell r="A286">
            <v>58341439</v>
          </cell>
          <cell r="B286" t="str">
            <v>АГЕНТСТВО РЕФПЕРЕВОЗОК</v>
          </cell>
          <cell r="C286" t="str">
            <v>ХОВРИНО      (ОКТ)</v>
          </cell>
          <cell r="D286">
            <v>31048</v>
          </cell>
          <cell r="F286">
            <v>0</v>
          </cell>
          <cell r="G286">
            <v>37533</v>
          </cell>
          <cell r="H286">
            <v>1097</v>
          </cell>
          <cell r="I286" t="str">
            <v>деп</v>
          </cell>
          <cell r="J286">
            <v>38081</v>
          </cell>
        </row>
        <row r="287">
          <cell r="A287">
            <v>58341447</v>
          </cell>
          <cell r="B287" t="str">
            <v>АГЕНТСТВО РЕФПЕРЕВОЗОК</v>
          </cell>
          <cell r="C287" t="str">
            <v>ХОВРИНО      (ОКТ)</v>
          </cell>
          <cell r="D287">
            <v>31048</v>
          </cell>
          <cell r="F287">
            <v>0</v>
          </cell>
          <cell r="G287">
            <v>37582</v>
          </cell>
          <cell r="H287">
            <v>1097</v>
          </cell>
          <cell r="I287" t="str">
            <v>деп</v>
          </cell>
          <cell r="J287">
            <v>38129</v>
          </cell>
        </row>
        <row r="288">
          <cell r="A288">
            <v>58341454</v>
          </cell>
          <cell r="B288" t="str">
            <v>АГЕНТСТВО РЕФПЕРЕВОЗОК</v>
          </cell>
          <cell r="C288" t="str">
            <v>ХОВРИНО      (ОКТ)</v>
          </cell>
          <cell r="D288">
            <v>31048</v>
          </cell>
          <cell r="F288">
            <v>0</v>
          </cell>
          <cell r="G288">
            <v>37559</v>
          </cell>
          <cell r="H288">
            <v>1097</v>
          </cell>
          <cell r="I288" t="str">
            <v>деп</v>
          </cell>
          <cell r="J288">
            <v>38107</v>
          </cell>
        </row>
        <row r="289">
          <cell r="A289">
            <v>58341462</v>
          </cell>
          <cell r="B289" t="str">
            <v>АГЕНТСТВО РЕФПЕРЕВОЗОК</v>
          </cell>
          <cell r="C289" t="str">
            <v>ХОВРИНО      (ОКТ)</v>
          </cell>
          <cell r="D289">
            <v>31048</v>
          </cell>
          <cell r="F289">
            <v>0</v>
          </cell>
          <cell r="G289">
            <v>37566</v>
          </cell>
          <cell r="H289">
            <v>1097</v>
          </cell>
          <cell r="I289" t="str">
            <v>деп</v>
          </cell>
          <cell r="J289">
            <v>38113</v>
          </cell>
        </row>
        <row r="290">
          <cell r="A290">
            <v>58341470</v>
          </cell>
          <cell r="B290" t="str">
            <v>АГЕНТСТВО РЕФПЕРЕВОЗОК</v>
          </cell>
          <cell r="C290" t="str">
            <v>ХОВРИНО      (ОКТ)</v>
          </cell>
          <cell r="D290">
            <v>31048</v>
          </cell>
          <cell r="F290">
            <v>0</v>
          </cell>
          <cell r="G290">
            <v>37559</v>
          </cell>
          <cell r="H290">
            <v>1097</v>
          </cell>
          <cell r="I290" t="str">
            <v>деп</v>
          </cell>
          <cell r="J290">
            <v>38107</v>
          </cell>
        </row>
        <row r="291">
          <cell r="A291">
            <v>58341488</v>
          </cell>
          <cell r="B291" t="str">
            <v>АГЕНТСТВО РЕФПЕРЕВОЗОК</v>
          </cell>
          <cell r="C291" t="str">
            <v>ХОВРИНО      (ОКТ)</v>
          </cell>
          <cell r="D291">
            <v>31048</v>
          </cell>
          <cell r="F291">
            <v>0</v>
          </cell>
          <cell r="G291">
            <v>37568</v>
          </cell>
          <cell r="H291">
            <v>1097</v>
          </cell>
          <cell r="I291" t="str">
            <v>деп</v>
          </cell>
          <cell r="J291">
            <v>38115</v>
          </cell>
        </row>
        <row r="292">
          <cell r="A292">
            <v>58341496</v>
          </cell>
          <cell r="B292" t="str">
            <v>АГЕНТСТВО РЕФПЕРЕВОЗОК</v>
          </cell>
          <cell r="C292" t="str">
            <v>ХОВРИНО      (ОКТ)</v>
          </cell>
          <cell r="D292">
            <v>31048</v>
          </cell>
          <cell r="F292">
            <v>0</v>
          </cell>
          <cell r="G292">
            <v>37573</v>
          </cell>
          <cell r="H292">
            <v>1097</v>
          </cell>
          <cell r="I292" t="str">
            <v>деп</v>
          </cell>
          <cell r="J292">
            <v>38120</v>
          </cell>
        </row>
        <row r="293">
          <cell r="A293">
            <v>58341504</v>
          </cell>
          <cell r="B293" t="str">
            <v>АГЕНТСТВО РЕФПЕРЕВОЗОК</v>
          </cell>
          <cell r="C293" t="str">
            <v>ХОВРИНО      (ОКТ)</v>
          </cell>
          <cell r="D293">
            <v>31048</v>
          </cell>
          <cell r="F293">
            <v>0</v>
          </cell>
          <cell r="G293">
            <v>37582</v>
          </cell>
          <cell r="H293">
            <v>1097</v>
          </cell>
          <cell r="I293" t="str">
            <v>деп</v>
          </cell>
          <cell r="J293">
            <v>38129</v>
          </cell>
        </row>
        <row r="294">
          <cell r="A294">
            <v>58341512</v>
          </cell>
          <cell r="B294" t="str">
            <v>АГЕНТСТВО РЕФПЕРЕВОЗОК</v>
          </cell>
          <cell r="C294" t="str">
            <v>ХОВРИНО      (ОКТ)</v>
          </cell>
          <cell r="D294">
            <v>31048</v>
          </cell>
          <cell r="F294">
            <v>0</v>
          </cell>
          <cell r="G294">
            <v>37546</v>
          </cell>
          <cell r="H294">
            <v>1097</v>
          </cell>
          <cell r="I294" t="str">
            <v>деп</v>
          </cell>
          <cell r="J294">
            <v>38094</v>
          </cell>
        </row>
        <row r="295">
          <cell r="A295">
            <v>58341520</v>
          </cell>
          <cell r="B295" t="str">
            <v>АГЕНТСТВО РЕФПЕРЕВОЗОК</v>
          </cell>
          <cell r="C295" t="str">
            <v>ХОВРИНО      (ОКТ)</v>
          </cell>
          <cell r="D295">
            <v>31048</v>
          </cell>
          <cell r="F295">
            <v>0</v>
          </cell>
          <cell r="G295">
            <v>37573</v>
          </cell>
          <cell r="H295">
            <v>1097</v>
          </cell>
          <cell r="I295" t="str">
            <v>деп</v>
          </cell>
          <cell r="J295">
            <v>38120</v>
          </cell>
        </row>
        <row r="296">
          <cell r="A296">
            <v>58341538</v>
          </cell>
          <cell r="B296" t="str">
            <v>АГЕНТСТВО РЕФПЕРЕВОЗОК</v>
          </cell>
          <cell r="C296" t="str">
            <v>ХОВРИНО      (ОКТ)</v>
          </cell>
          <cell r="D296">
            <v>31048</v>
          </cell>
          <cell r="F296">
            <v>0</v>
          </cell>
          <cell r="G296">
            <v>37537</v>
          </cell>
          <cell r="H296">
            <v>1097</v>
          </cell>
          <cell r="I296" t="str">
            <v>деп</v>
          </cell>
          <cell r="J296">
            <v>38085</v>
          </cell>
        </row>
        <row r="297">
          <cell r="A297">
            <v>58341546</v>
          </cell>
          <cell r="B297" t="str">
            <v>АГЕНТСТВО РЕФПЕРЕВОЗОК</v>
          </cell>
          <cell r="C297" t="str">
            <v>ХОВРИНО      (ОКТ)</v>
          </cell>
          <cell r="D297">
            <v>31048</v>
          </cell>
          <cell r="F297">
            <v>0</v>
          </cell>
          <cell r="G297">
            <v>37568</v>
          </cell>
          <cell r="H297">
            <v>1097</v>
          </cell>
          <cell r="I297" t="str">
            <v>деп</v>
          </cell>
          <cell r="J297">
            <v>38115</v>
          </cell>
        </row>
        <row r="298">
          <cell r="A298">
            <v>58341553</v>
          </cell>
          <cell r="B298" t="str">
            <v>АГЕНТСТВО РЕФПЕРЕВОЗОК</v>
          </cell>
          <cell r="C298" t="str">
            <v>ХОВРИНО      (ОКТ)</v>
          </cell>
          <cell r="D298">
            <v>31048</v>
          </cell>
          <cell r="F298">
            <v>0</v>
          </cell>
          <cell r="G298">
            <v>37553</v>
          </cell>
          <cell r="H298">
            <v>1097</v>
          </cell>
          <cell r="I298" t="str">
            <v>деп</v>
          </cell>
          <cell r="J298">
            <v>38101</v>
          </cell>
        </row>
        <row r="299">
          <cell r="A299">
            <v>58341561</v>
          </cell>
          <cell r="B299" t="str">
            <v>АГЕНТСТВО РЕФПЕРЕВОЗОК</v>
          </cell>
          <cell r="C299" t="str">
            <v>ХОВРИНО      (ОКТ)</v>
          </cell>
          <cell r="D299">
            <v>31048</v>
          </cell>
          <cell r="F299">
            <v>0</v>
          </cell>
          <cell r="G299">
            <v>37554</v>
          </cell>
          <cell r="H299">
            <v>1097</v>
          </cell>
          <cell r="I299" t="str">
            <v>деп</v>
          </cell>
          <cell r="J299">
            <v>38102</v>
          </cell>
        </row>
        <row r="300">
          <cell r="A300">
            <v>58341579</v>
          </cell>
          <cell r="B300" t="str">
            <v>АГЕНТСТВО РЕФПЕРЕВОЗОК</v>
          </cell>
          <cell r="C300" t="str">
            <v>ХОВРИНО      (ОКТ)</v>
          </cell>
          <cell r="D300">
            <v>31048</v>
          </cell>
          <cell r="F300">
            <v>0</v>
          </cell>
          <cell r="G300">
            <v>37582</v>
          </cell>
          <cell r="H300">
            <v>1097</v>
          </cell>
          <cell r="I300" t="str">
            <v>деп</v>
          </cell>
          <cell r="J300">
            <v>38129</v>
          </cell>
        </row>
        <row r="301">
          <cell r="A301">
            <v>58341587</v>
          </cell>
          <cell r="B301" t="str">
            <v>АГЕНТСТВО РЕФПЕРЕВОЗОК</v>
          </cell>
          <cell r="C301" t="str">
            <v>ХОВРИНО      (ОКТ)</v>
          </cell>
          <cell r="D301">
            <v>31048</v>
          </cell>
          <cell r="F301">
            <v>0</v>
          </cell>
          <cell r="G301">
            <v>37582</v>
          </cell>
          <cell r="H301">
            <v>1097</v>
          </cell>
          <cell r="I301" t="str">
            <v>деп</v>
          </cell>
          <cell r="J301">
            <v>38129</v>
          </cell>
        </row>
        <row r="302">
          <cell r="A302">
            <v>58341595</v>
          </cell>
          <cell r="B302" t="str">
            <v>АГЕНТСТВО РЕФПЕРЕВОЗОК</v>
          </cell>
          <cell r="C302" t="str">
            <v>ХОВРИНО      (ОКТ)</v>
          </cell>
          <cell r="D302">
            <v>31048</v>
          </cell>
          <cell r="F302">
            <v>0</v>
          </cell>
          <cell r="G302">
            <v>37566</v>
          </cell>
          <cell r="H302">
            <v>1097</v>
          </cell>
          <cell r="I302" t="str">
            <v>деп</v>
          </cell>
          <cell r="J302">
            <v>38113</v>
          </cell>
        </row>
        <row r="303">
          <cell r="A303">
            <v>58341603</v>
          </cell>
          <cell r="B303" t="str">
            <v>АГЕНТСТВО РЕФПЕРЕВОЗОК</v>
          </cell>
          <cell r="C303" t="str">
            <v>ХОВРИНО      (ОКТ)</v>
          </cell>
          <cell r="D303">
            <v>31048</v>
          </cell>
          <cell r="F303">
            <v>0</v>
          </cell>
          <cell r="G303">
            <v>37573</v>
          </cell>
          <cell r="H303">
            <v>1097</v>
          </cell>
          <cell r="I303" t="str">
            <v>деп</v>
          </cell>
          <cell r="J303">
            <v>38120</v>
          </cell>
        </row>
        <row r="304">
          <cell r="A304">
            <v>58341611</v>
          </cell>
          <cell r="B304" t="str">
            <v>АГЕНТСТВО РЕФПЕРЕВОЗОК</v>
          </cell>
          <cell r="C304" t="str">
            <v>ХОВРИНО      (ОКТ)</v>
          </cell>
          <cell r="D304">
            <v>31048</v>
          </cell>
          <cell r="F304">
            <v>0</v>
          </cell>
          <cell r="G304">
            <v>37582</v>
          </cell>
          <cell r="H304">
            <v>1097</v>
          </cell>
          <cell r="I304" t="str">
            <v>деп</v>
          </cell>
          <cell r="J304">
            <v>38129</v>
          </cell>
        </row>
        <row r="305">
          <cell r="A305">
            <v>58341629</v>
          </cell>
          <cell r="B305" t="str">
            <v>АГЕНТСТВО РЕФПЕРЕВОЗОК</v>
          </cell>
          <cell r="C305" t="str">
            <v>ХОВРИНО      (ОКТ)</v>
          </cell>
          <cell r="D305">
            <v>31413</v>
          </cell>
          <cell r="F305">
            <v>0</v>
          </cell>
          <cell r="G305">
            <v>37582</v>
          </cell>
          <cell r="H305">
            <v>1097</v>
          </cell>
          <cell r="I305" t="str">
            <v>деп</v>
          </cell>
          <cell r="J305">
            <v>38129</v>
          </cell>
        </row>
        <row r="306">
          <cell r="A306">
            <v>58341637</v>
          </cell>
          <cell r="B306" t="str">
            <v>АГЕНТСТВО РЕФПЕРЕВОЗОК</v>
          </cell>
          <cell r="C306" t="str">
            <v>ХОВРИНО      (ОКТ)</v>
          </cell>
          <cell r="D306">
            <v>31413</v>
          </cell>
          <cell r="F306">
            <v>0</v>
          </cell>
          <cell r="G306">
            <v>37573</v>
          </cell>
          <cell r="H306">
            <v>1097</v>
          </cell>
          <cell r="I306" t="str">
            <v>деп</v>
          </cell>
          <cell r="J306">
            <v>38120</v>
          </cell>
        </row>
        <row r="307">
          <cell r="A307">
            <v>58341645</v>
          </cell>
          <cell r="B307" t="str">
            <v>АГЕНТСТВО РЕФПЕРЕВОЗОК</v>
          </cell>
          <cell r="C307" t="str">
            <v>ХОВРИНО      (ОКТ)</v>
          </cell>
          <cell r="D307">
            <v>31413</v>
          </cell>
          <cell r="F307">
            <v>0</v>
          </cell>
          <cell r="G307">
            <v>37546</v>
          </cell>
          <cell r="H307">
            <v>1097</v>
          </cell>
          <cell r="I307" t="str">
            <v>деп</v>
          </cell>
          <cell r="J307">
            <v>38094</v>
          </cell>
        </row>
        <row r="308">
          <cell r="A308">
            <v>58341652</v>
          </cell>
          <cell r="B308" t="str">
            <v>АГЕНТСТВО РЕФПЕРЕВОЗОК</v>
          </cell>
          <cell r="C308" t="str">
            <v>ХОВРИНО      (ОКТ)</v>
          </cell>
          <cell r="D308">
            <v>31413</v>
          </cell>
          <cell r="F308">
            <v>0</v>
          </cell>
          <cell r="G308">
            <v>37533</v>
          </cell>
          <cell r="H308">
            <v>1097</v>
          </cell>
          <cell r="I308" t="str">
            <v>деп</v>
          </cell>
          <cell r="J308">
            <v>38081</v>
          </cell>
        </row>
        <row r="309">
          <cell r="A309">
            <v>58341660</v>
          </cell>
          <cell r="B309" t="str">
            <v>АГЕНТСТВО РЕФПЕРЕВОЗОК</v>
          </cell>
          <cell r="C309" t="str">
            <v>ХОВРИНО      (ОКТ)</v>
          </cell>
          <cell r="D309">
            <v>31413</v>
          </cell>
          <cell r="F309">
            <v>0</v>
          </cell>
          <cell r="G309">
            <v>37582</v>
          </cell>
          <cell r="H309">
            <v>1097</v>
          </cell>
          <cell r="I309" t="str">
            <v>деп</v>
          </cell>
          <cell r="J309">
            <v>38129</v>
          </cell>
        </row>
        <row r="310">
          <cell r="A310">
            <v>58341678</v>
          </cell>
          <cell r="B310" t="str">
            <v>АГЕНТСТВО РЕФПЕРЕВОЗОК</v>
          </cell>
          <cell r="C310" t="str">
            <v>ХОВРИНО      (ОКТ)</v>
          </cell>
          <cell r="D310">
            <v>31413</v>
          </cell>
          <cell r="F310">
            <v>0</v>
          </cell>
          <cell r="G310">
            <v>37578</v>
          </cell>
          <cell r="H310">
            <v>1097</v>
          </cell>
          <cell r="I310" t="str">
            <v>деп</v>
          </cell>
          <cell r="J310">
            <v>38125</v>
          </cell>
        </row>
        <row r="311">
          <cell r="A311">
            <v>58341686</v>
          </cell>
          <cell r="B311" t="str">
            <v>АГЕНТСТВО РЕФПЕРЕВОЗОК</v>
          </cell>
          <cell r="C311" t="str">
            <v>ХОВРИНО      (ОКТ)</v>
          </cell>
          <cell r="D311">
            <v>31413</v>
          </cell>
          <cell r="F311">
            <v>0</v>
          </cell>
          <cell r="G311">
            <v>37553</v>
          </cell>
          <cell r="H311">
            <v>1097</v>
          </cell>
          <cell r="I311" t="str">
            <v>деп</v>
          </cell>
          <cell r="J311">
            <v>38101</v>
          </cell>
        </row>
        <row r="312">
          <cell r="A312">
            <v>58341694</v>
          </cell>
          <cell r="B312" t="str">
            <v>АГЕНТСТВО РЕФПЕРЕВОЗОК</v>
          </cell>
          <cell r="C312" t="str">
            <v>ХОВРИНО      (ОКТ)</v>
          </cell>
          <cell r="D312">
            <v>31413</v>
          </cell>
          <cell r="F312">
            <v>0</v>
          </cell>
          <cell r="G312">
            <v>37582</v>
          </cell>
          <cell r="H312">
            <v>1097</v>
          </cell>
          <cell r="I312" t="str">
            <v>деп</v>
          </cell>
          <cell r="J312">
            <v>38129</v>
          </cell>
        </row>
        <row r="313">
          <cell r="A313">
            <v>58341702</v>
          </cell>
          <cell r="B313" t="str">
            <v>АГЕНТСТВО РЕФПЕРЕВОЗОК</v>
          </cell>
          <cell r="C313" t="str">
            <v>ХОВРИНО      (ОКТ)</v>
          </cell>
          <cell r="D313">
            <v>31413</v>
          </cell>
          <cell r="F313">
            <v>0</v>
          </cell>
          <cell r="G313">
            <v>37560</v>
          </cell>
          <cell r="H313">
            <v>1097</v>
          </cell>
          <cell r="I313" t="str">
            <v>деп</v>
          </cell>
          <cell r="J313">
            <v>38107</v>
          </cell>
        </row>
        <row r="314">
          <cell r="A314">
            <v>58341710</v>
          </cell>
          <cell r="B314" t="str">
            <v>АГЕНТСТВО РЕФПЕРЕВОЗОК</v>
          </cell>
          <cell r="C314" t="str">
            <v>ХОВРИНО      (ОКТ)</v>
          </cell>
          <cell r="D314">
            <v>31413</v>
          </cell>
          <cell r="F314">
            <v>0</v>
          </cell>
          <cell r="G314">
            <v>37575</v>
          </cell>
          <cell r="H314">
            <v>1097</v>
          </cell>
          <cell r="I314" t="str">
            <v>деп</v>
          </cell>
          <cell r="J314">
            <v>38122</v>
          </cell>
        </row>
        <row r="315">
          <cell r="A315">
            <v>58341728</v>
          </cell>
          <cell r="B315" t="str">
            <v>АГЕНТСТВО РЕФПЕРЕВОЗОК</v>
          </cell>
          <cell r="C315" t="str">
            <v>ХОВРИНО      (ОКТ)</v>
          </cell>
          <cell r="D315">
            <v>31413</v>
          </cell>
          <cell r="F315">
            <v>0</v>
          </cell>
          <cell r="G315">
            <v>37582</v>
          </cell>
          <cell r="H315">
            <v>1097</v>
          </cell>
          <cell r="I315" t="str">
            <v>деп</v>
          </cell>
          <cell r="J315">
            <v>38129</v>
          </cell>
        </row>
        <row r="316">
          <cell r="A316">
            <v>58341736</v>
          </cell>
          <cell r="B316" t="str">
            <v>АГЕНТСТВО РЕФПЕРЕВОЗОК</v>
          </cell>
          <cell r="C316" t="str">
            <v>ХОВРИНО      (ОКТ)</v>
          </cell>
          <cell r="D316">
            <v>31413</v>
          </cell>
          <cell r="F316">
            <v>0</v>
          </cell>
          <cell r="G316">
            <v>37582</v>
          </cell>
          <cell r="H316">
            <v>1097</v>
          </cell>
          <cell r="I316" t="str">
            <v>деп</v>
          </cell>
          <cell r="J316">
            <v>38129</v>
          </cell>
        </row>
        <row r="317">
          <cell r="A317">
            <v>58341744</v>
          </cell>
          <cell r="B317" t="str">
            <v>АГЕНТСТВО РЕФПЕРЕВОЗОК</v>
          </cell>
          <cell r="C317" t="str">
            <v>ХОВРИНО      (ОКТ)</v>
          </cell>
          <cell r="D317">
            <v>31413</v>
          </cell>
          <cell r="F317">
            <v>0</v>
          </cell>
          <cell r="G317">
            <v>37566</v>
          </cell>
          <cell r="H317">
            <v>1097</v>
          </cell>
          <cell r="I317" t="str">
            <v>деп</v>
          </cell>
          <cell r="J317">
            <v>38113</v>
          </cell>
        </row>
        <row r="318">
          <cell r="A318">
            <v>58341751</v>
          </cell>
          <cell r="B318" t="str">
            <v>АГЕНТСТВО РЕФПЕРЕВОЗОК</v>
          </cell>
          <cell r="C318" t="str">
            <v>ХОВРИНО      (ОКТ)</v>
          </cell>
          <cell r="D318">
            <v>31413</v>
          </cell>
          <cell r="F318">
            <v>0</v>
          </cell>
          <cell r="G318">
            <v>37553</v>
          </cell>
          <cell r="H318">
            <v>1097</v>
          </cell>
          <cell r="I318" t="str">
            <v>деп</v>
          </cell>
          <cell r="J318">
            <v>38101</v>
          </cell>
        </row>
        <row r="319">
          <cell r="A319">
            <v>58341769</v>
          </cell>
          <cell r="B319" t="str">
            <v>АГЕНТСТВО РЕФПЕРЕВОЗОК</v>
          </cell>
          <cell r="C319" t="str">
            <v>ХОВРИНО      (ОКТ)</v>
          </cell>
          <cell r="D319">
            <v>31413</v>
          </cell>
          <cell r="F319">
            <v>0</v>
          </cell>
          <cell r="G319">
            <v>37533</v>
          </cell>
          <cell r="H319">
            <v>1097</v>
          </cell>
          <cell r="I319" t="str">
            <v>деп</v>
          </cell>
          <cell r="J319">
            <v>38081</v>
          </cell>
        </row>
        <row r="320">
          <cell r="A320">
            <v>58341777</v>
          </cell>
          <cell r="B320" t="str">
            <v>АГЕНТСТВО РЕФПЕРЕВОЗОК</v>
          </cell>
          <cell r="C320" t="str">
            <v>ХОВРИНО      (ОКТ)</v>
          </cell>
          <cell r="D320">
            <v>31413</v>
          </cell>
          <cell r="F320">
            <v>0</v>
          </cell>
          <cell r="G320">
            <v>37559</v>
          </cell>
          <cell r="H320">
            <v>1097</v>
          </cell>
          <cell r="I320" t="str">
            <v>деп</v>
          </cell>
          <cell r="J320">
            <v>38107</v>
          </cell>
        </row>
        <row r="321">
          <cell r="A321">
            <v>58341785</v>
          </cell>
          <cell r="B321" t="str">
            <v>АГЕНТСТВО РЕФПЕРЕВОЗОК</v>
          </cell>
          <cell r="C321" t="str">
            <v>ХОВРИНО      (ОКТ)</v>
          </cell>
          <cell r="D321">
            <v>31413</v>
          </cell>
          <cell r="F321">
            <v>0</v>
          </cell>
          <cell r="G321">
            <v>37533</v>
          </cell>
          <cell r="H321">
            <v>1097</v>
          </cell>
          <cell r="I321" t="str">
            <v>деп</v>
          </cell>
          <cell r="J321">
            <v>38081</v>
          </cell>
        </row>
        <row r="322">
          <cell r="A322">
            <v>58341793</v>
          </cell>
          <cell r="B322" t="str">
            <v>АГЕНТСТВО РЕФПЕРЕВОЗОК</v>
          </cell>
          <cell r="C322" t="str">
            <v>ХОВРИНО      (ОКТ)</v>
          </cell>
          <cell r="D322">
            <v>31413</v>
          </cell>
          <cell r="F322">
            <v>0</v>
          </cell>
          <cell r="G322">
            <v>37568</v>
          </cell>
          <cell r="H322">
            <v>1097</v>
          </cell>
          <cell r="I322" t="str">
            <v>деп</v>
          </cell>
          <cell r="J322">
            <v>38115</v>
          </cell>
        </row>
        <row r="323">
          <cell r="A323">
            <v>58341801</v>
          </cell>
          <cell r="B323" t="str">
            <v>АГЕНТСТВО РЕФПЕРЕВОЗОК</v>
          </cell>
          <cell r="C323" t="str">
            <v>ХОВРИНО      (ОКТ)</v>
          </cell>
          <cell r="D323">
            <v>31413</v>
          </cell>
          <cell r="F323">
            <v>0</v>
          </cell>
          <cell r="G323">
            <v>37560</v>
          </cell>
          <cell r="H323">
            <v>1097</v>
          </cell>
          <cell r="I323" t="str">
            <v>деп</v>
          </cell>
          <cell r="J323">
            <v>38107</v>
          </cell>
        </row>
        <row r="324">
          <cell r="A324">
            <v>58341819</v>
          </cell>
          <cell r="B324" t="str">
            <v>АГЕНТСТВО РЕФПЕРЕВОЗОК</v>
          </cell>
          <cell r="C324" t="str">
            <v>ХОВРИНО      (ОКТ)</v>
          </cell>
          <cell r="D324">
            <v>31413</v>
          </cell>
          <cell r="F324">
            <v>0</v>
          </cell>
          <cell r="G324">
            <v>37560</v>
          </cell>
          <cell r="H324">
            <v>1097</v>
          </cell>
          <cell r="I324" t="str">
            <v>деп</v>
          </cell>
          <cell r="J324">
            <v>38107</v>
          </cell>
        </row>
        <row r="325">
          <cell r="A325">
            <v>58341827</v>
          </cell>
          <cell r="B325" t="str">
            <v>АГЕНТСТВО РЕФПЕРЕВОЗОК</v>
          </cell>
          <cell r="C325" t="str">
            <v>ХОВРИНО      (ОКТ)</v>
          </cell>
          <cell r="D325">
            <v>31413</v>
          </cell>
          <cell r="F325">
            <v>0</v>
          </cell>
          <cell r="G325">
            <v>37533</v>
          </cell>
          <cell r="H325">
            <v>1097</v>
          </cell>
          <cell r="I325" t="str">
            <v>деп</v>
          </cell>
          <cell r="J325">
            <v>38081</v>
          </cell>
        </row>
        <row r="326">
          <cell r="A326">
            <v>58341835</v>
          </cell>
          <cell r="B326" t="str">
            <v>АГЕНТСТВО РЕФПЕРЕВОЗОК</v>
          </cell>
          <cell r="C326" t="str">
            <v>ХОВРИНО      (ОКТ)</v>
          </cell>
          <cell r="D326">
            <v>31413</v>
          </cell>
          <cell r="F326">
            <v>0</v>
          </cell>
          <cell r="G326">
            <v>37582</v>
          </cell>
          <cell r="H326">
            <v>1097</v>
          </cell>
          <cell r="I326" t="str">
            <v>деп</v>
          </cell>
          <cell r="J326">
            <v>38129</v>
          </cell>
        </row>
        <row r="327">
          <cell r="A327">
            <v>58341843</v>
          </cell>
          <cell r="B327" t="str">
            <v>АГЕНТСТВО РЕФПЕРЕВОЗОК</v>
          </cell>
          <cell r="C327" t="str">
            <v>ХОВРИНО      (ОКТ)</v>
          </cell>
          <cell r="D327">
            <v>31413</v>
          </cell>
          <cell r="F327">
            <v>0</v>
          </cell>
          <cell r="G327">
            <v>37554</v>
          </cell>
          <cell r="H327">
            <v>1097</v>
          </cell>
          <cell r="I327" t="str">
            <v>деп</v>
          </cell>
          <cell r="J327">
            <v>38102</v>
          </cell>
        </row>
        <row r="328">
          <cell r="A328">
            <v>58341850</v>
          </cell>
          <cell r="B328" t="str">
            <v>АГЕНТСТВО РЕФПЕРЕВОЗОК</v>
          </cell>
          <cell r="C328" t="str">
            <v>ХОВРИНО      (ОКТ)</v>
          </cell>
          <cell r="D328">
            <v>31413</v>
          </cell>
          <cell r="F328">
            <v>0</v>
          </cell>
          <cell r="G328">
            <v>37582</v>
          </cell>
          <cell r="H328">
            <v>1097</v>
          </cell>
          <cell r="I328" t="str">
            <v>деп</v>
          </cell>
          <cell r="J328">
            <v>38129</v>
          </cell>
        </row>
        <row r="329">
          <cell r="A329">
            <v>58341868</v>
          </cell>
          <cell r="B329" t="str">
            <v>АГЕНТСТВО РЕФПЕРЕВОЗОК</v>
          </cell>
          <cell r="C329" t="str">
            <v>ХОВРИНО      (ОКТ)</v>
          </cell>
          <cell r="D329">
            <v>31413</v>
          </cell>
          <cell r="F329">
            <v>0</v>
          </cell>
          <cell r="G329">
            <v>37537</v>
          </cell>
          <cell r="H329">
            <v>1097</v>
          </cell>
          <cell r="I329" t="str">
            <v>деп</v>
          </cell>
          <cell r="J329">
            <v>38085</v>
          </cell>
        </row>
        <row r="330">
          <cell r="A330">
            <v>58341876</v>
          </cell>
          <cell r="B330" t="str">
            <v>АГЕНТСТВО РЕФПЕРЕВОЗОК</v>
          </cell>
          <cell r="C330" t="str">
            <v>ХОВРИНО      (ОКТ)</v>
          </cell>
          <cell r="D330">
            <v>31413</v>
          </cell>
          <cell r="F330">
            <v>0</v>
          </cell>
          <cell r="G330">
            <v>37560</v>
          </cell>
          <cell r="H330">
            <v>1097</v>
          </cell>
          <cell r="I330" t="str">
            <v>деп</v>
          </cell>
          <cell r="J330">
            <v>38107</v>
          </cell>
        </row>
        <row r="331">
          <cell r="A331">
            <v>58341884</v>
          </cell>
          <cell r="B331" t="str">
            <v>АГЕНТСТВО РЕФПЕРЕВОЗОК</v>
          </cell>
          <cell r="C331" t="str">
            <v>ХОВРИНО      (ОКТ)</v>
          </cell>
          <cell r="D331">
            <v>31413</v>
          </cell>
          <cell r="F331">
            <v>0</v>
          </cell>
          <cell r="G331">
            <v>37553</v>
          </cell>
          <cell r="H331">
            <v>1097</v>
          </cell>
          <cell r="I331" t="str">
            <v>деп</v>
          </cell>
          <cell r="J331">
            <v>38101</v>
          </cell>
        </row>
        <row r="332">
          <cell r="A332">
            <v>58341892</v>
          </cell>
          <cell r="B332" t="str">
            <v>АГЕНТСТВО РЕФПЕРЕВОЗОК</v>
          </cell>
          <cell r="C332" t="str">
            <v>ХОВРИНО      (ОКТ)</v>
          </cell>
          <cell r="D332">
            <v>31413</v>
          </cell>
          <cell r="F332">
            <v>0</v>
          </cell>
          <cell r="G332">
            <v>37553</v>
          </cell>
          <cell r="H332">
            <v>1097</v>
          </cell>
          <cell r="I332" t="str">
            <v>деп</v>
          </cell>
          <cell r="J332">
            <v>38101</v>
          </cell>
        </row>
        <row r="333">
          <cell r="A333">
            <v>58341900</v>
          </cell>
          <cell r="B333" t="str">
            <v>АГЕНТСТВО РЕФПЕРЕВОЗОК</v>
          </cell>
          <cell r="C333" t="str">
            <v>ХОВРИНО      (ОКТ)</v>
          </cell>
          <cell r="D333">
            <v>31413</v>
          </cell>
          <cell r="F333">
            <v>0</v>
          </cell>
          <cell r="G333">
            <v>37537</v>
          </cell>
          <cell r="H333">
            <v>1097</v>
          </cell>
          <cell r="I333" t="str">
            <v>деп</v>
          </cell>
          <cell r="J333">
            <v>38085</v>
          </cell>
        </row>
        <row r="334">
          <cell r="A334">
            <v>58341918</v>
          </cell>
          <cell r="B334" t="str">
            <v>АГЕНТСТВО РЕФПЕРЕВОЗОК</v>
          </cell>
          <cell r="C334" t="str">
            <v>ХОВРИНО      (ОКТ)</v>
          </cell>
          <cell r="D334">
            <v>31413</v>
          </cell>
          <cell r="F334">
            <v>0</v>
          </cell>
          <cell r="G334">
            <v>37582</v>
          </cell>
          <cell r="H334">
            <v>1097</v>
          </cell>
          <cell r="I334" t="str">
            <v>деп</v>
          </cell>
          <cell r="J334">
            <v>38129</v>
          </cell>
        </row>
        <row r="335">
          <cell r="A335">
            <v>58341926</v>
          </cell>
          <cell r="B335" t="str">
            <v>АГЕНТСТВО РЕФПЕРЕВОЗОК</v>
          </cell>
          <cell r="C335" t="str">
            <v>ХОВРИНО      (ОКТ)</v>
          </cell>
          <cell r="D335">
            <v>31413</v>
          </cell>
          <cell r="F335">
            <v>0</v>
          </cell>
          <cell r="G335">
            <v>37582</v>
          </cell>
          <cell r="H335">
            <v>1097</v>
          </cell>
          <cell r="I335" t="str">
            <v>деп</v>
          </cell>
          <cell r="J335">
            <v>38129</v>
          </cell>
        </row>
        <row r="336">
          <cell r="A336">
            <v>58341934</v>
          </cell>
          <cell r="B336" t="str">
            <v>АГЕНТСТВО РЕФПЕРЕВОЗОК</v>
          </cell>
          <cell r="C336" t="str">
            <v>ХОВРИНО      (ОКТ)</v>
          </cell>
          <cell r="D336">
            <v>31413</v>
          </cell>
          <cell r="F336">
            <v>0</v>
          </cell>
          <cell r="G336">
            <v>37582</v>
          </cell>
          <cell r="H336">
            <v>1097</v>
          </cell>
          <cell r="I336" t="str">
            <v>деп</v>
          </cell>
          <cell r="J336">
            <v>38129</v>
          </cell>
        </row>
        <row r="337">
          <cell r="A337">
            <v>58341942</v>
          </cell>
          <cell r="B337" t="str">
            <v>АГЕНТСТВО РЕФПЕРЕВОЗОК</v>
          </cell>
          <cell r="C337" t="str">
            <v>ХОВРИНО      (ОКТ)</v>
          </cell>
          <cell r="D337">
            <v>31413</v>
          </cell>
          <cell r="F337">
            <v>0</v>
          </cell>
          <cell r="G337">
            <v>37566</v>
          </cell>
          <cell r="H337">
            <v>1097</v>
          </cell>
          <cell r="I337" t="str">
            <v>деп</v>
          </cell>
          <cell r="J337">
            <v>38113</v>
          </cell>
        </row>
        <row r="338">
          <cell r="A338">
            <v>58341959</v>
          </cell>
          <cell r="B338" t="str">
            <v>АГЕНТСТВО РЕФПЕРЕВОЗОК</v>
          </cell>
          <cell r="C338" t="str">
            <v>ХОВРИНО      (ОКТ)</v>
          </cell>
          <cell r="D338">
            <v>31413</v>
          </cell>
          <cell r="F338">
            <v>0</v>
          </cell>
          <cell r="G338">
            <v>37582</v>
          </cell>
          <cell r="H338">
            <v>1097</v>
          </cell>
          <cell r="I338" t="str">
            <v>деп</v>
          </cell>
          <cell r="J338">
            <v>38129</v>
          </cell>
        </row>
        <row r="339">
          <cell r="A339">
            <v>58341967</v>
          </cell>
          <cell r="B339" t="str">
            <v>АГЕНТСТВО РЕФПЕРЕВОЗОК</v>
          </cell>
          <cell r="C339" t="str">
            <v>ХОВРИНО      (ОКТ)</v>
          </cell>
          <cell r="D339">
            <v>31413</v>
          </cell>
          <cell r="F339">
            <v>0</v>
          </cell>
          <cell r="G339">
            <v>37554</v>
          </cell>
          <cell r="H339">
            <v>1097</v>
          </cell>
          <cell r="I339" t="str">
            <v>деп</v>
          </cell>
          <cell r="J339">
            <v>38102</v>
          </cell>
        </row>
        <row r="340">
          <cell r="A340">
            <v>58341975</v>
          </cell>
          <cell r="B340" t="str">
            <v>АГЕНТСТВО РЕФПЕРЕВОЗОК</v>
          </cell>
          <cell r="C340" t="str">
            <v>ХОВРИНО      (ОКТ)</v>
          </cell>
          <cell r="D340">
            <v>31413</v>
          </cell>
          <cell r="F340">
            <v>0</v>
          </cell>
          <cell r="G340">
            <v>37582</v>
          </cell>
          <cell r="H340">
            <v>1097</v>
          </cell>
          <cell r="I340" t="str">
            <v>деп</v>
          </cell>
          <cell r="J340">
            <v>38129</v>
          </cell>
        </row>
        <row r="341">
          <cell r="A341">
            <v>58341983</v>
          </cell>
          <cell r="B341" t="str">
            <v>АГЕНТСТВО РЕФПЕРЕВОЗОК</v>
          </cell>
          <cell r="C341" t="str">
            <v>ХОВРИНО      (ОКТ)</v>
          </cell>
          <cell r="D341">
            <v>31413</v>
          </cell>
          <cell r="F341">
            <v>0</v>
          </cell>
          <cell r="G341">
            <v>37582</v>
          </cell>
          <cell r="H341">
            <v>1097</v>
          </cell>
          <cell r="I341" t="str">
            <v>деп</v>
          </cell>
          <cell r="J341">
            <v>38129</v>
          </cell>
        </row>
        <row r="342">
          <cell r="A342">
            <v>58341991</v>
          </cell>
          <cell r="B342" t="str">
            <v>АГЕНТСТВО РЕФПЕРЕВОЗОК</v>
          </cell>
          <cell r="C342" t="str">
            <v>ХОВРИНО      (ОКТ)</v>
          </cell>
          <cell r="D342">
            <v>31413</v>
          </cell>
          <cell r="F342">
            <v>0</v>
          </cell>
          <cell r="G342">
            <v>37537</v>
          </cell>
          <cell r="H342">
            <v>1097</v>
          </cell>
          <cell r="I342" t="str">
            <v>деп</v>
          </cell>
          <cell r="J342">
            <v>38085</v>
          </cell>
        </row>
        <row r="343">
          <cell r="A343">
            <v>58342007</v>
          </cell>
          <cell r="B343" t="str">
            <v>АГЕНТСТВО РЕФПЕРЕВОЗОК</v>
          </cell>
          <cell r="C343" t="str">
            <v>ХОВРИНО      (ОКТ)</v>
          </cell>
          <cell r="D343">
            <v>31413</v>
          </cell>
          <cell r="F343">
            <v>0</v>
          </cell>
          <cell r="G343">
            <v>37560</v>
          </cell>
          <cell r="H343">
            <v>1097</v>
          </cell>
          <cell r="I343" t="str">
            <v>деп</v>
          </cell>
          <cell r="J343">
            <v>38107</v>
          </cell>
        </row>
        <row r="344">
          <cell r="A344">
            <v>58342015</v>
          </cell>
          <cell r="B344" t="str">
            <v>АГЕНТСТВО РЕФПЕРЕВОЗОК</v>
          </cell>
          <cell r="C344" t="str">
            <v>ХОВРИНО      (ОКТ)</v>
          </cell>
          <cell r="D344">
            <v>31413</v>
          </cell>
          <cell r="F344">
            <v>0</v>
          </cell>
          <cell r="G344">
            <v>37671</v>
          </cell>
          <cell r="H344">
            <v>1097</v>
          </cell>
          <cell r="I344" t="str">
            <v>деп</v>
          </cell>
          <cell r="J344">
            <v>38218</v>
          </cell>
        </row>
        <row r="345">
          <cell r="A345">
            <v>58342023</v>
          </cell>
          <cell r="B345" t="str">
            <v>АГЕНТСТВО РЕФПЕРЕВОЗОК</v>
          </cell>
          <cell r="C345" t="str">
            <v>ХОВРИНО      (ОКТ)</v>
          </cell>
          <cell r="D345">
            <v>31413</v>
          </cell>
          <cell r="F345">
            <v>0</v>
          </cell>
          <cell r="G345">
            <v>37772</v>
          </cell>
          <cell r="H345">
            <v>492</v>
          </cell>
          <cell r="I345" t="str">
            <v>деп</v>
          </cell>
          <cell r="J345">
            <v>38321</v>
          </cell>
        </row>
        <row r="346">
          <cell r="A346">
            <v>58342031</v>
          </cell>
          <cell r="B346" t="str">
            <v>АГЕНТСТВО РЕФПЕРЕВОЗОК</v>
          </cell>
          <cell r="C346" t="str">
            <v>ХОВРИНО      (ОКТ)</v>
          </cell>
          <cell r="D346">
            <v>31413</v>
          </cell>
          <cell r="F346">
            <v>0</v>
          </cell>
          <cell r="G346">
            <v>37671</v>
          </cell>
          <cell r="H346">
            <v>1097</v>
          </cell>
          <cell r="I346" t="str">
            <v>деп</v>
          </cell>
          <cell r="J346">
            <v>38218</v>
          </cell>
        </row>
        <row r="347">
          <cell r="A347">
            <v>58342056</v>
          </cell>
          <cell r="B347" t="str">
            <v>АГЕНТСТВО РЕФПЕРЕВОЗОК</v>
          </cell>
          <cell r="C347" t="str">
            <v>ХОВРИНО      (ОКТ)</v>
          </cell>
          <cell r="D347">
            <v>31413</v>
          </cell>
          <cell r="F347">
            <v>0</v>
          </cell>
          <cell r="H347">
            <v>0</v>
          </cell>
          <cell r="I347" t="str">
            <v>кап</v>
          </cell>
          <cell r="J347">
            <v>34394</v>
          </cell>
        </row>
        <row r="348">
          <cell r="A348">
            <v>58342064</v>
          </cell>
          <cell r="B348" t="str">
            <v>АГЕНТСТВО РЕФПЕРЕВОЗОК</v>
          </cell>
          <cell r="C348" t="str">
            <v>ХОВРИНО      (ОКТ)</v>
          </cell>
          <cell r="D348">
            <v>31413</v>
          </cell>
          <cell r="F348">
            <v>0</v>
          </cell>
          <cell r="G348">
            <v>37791</v>
          </cell>
          <cell r="H348">
            <v>492</v>
          </cell>
          <cell r="I348" t="str">
            <v>деп</v>
          </cell>
          <cell r="J348">
            <v>38340</v>
          </cell>
        </row>
        <row r="349">
          <cell r="A349">
            <v>58342072</v>
          </cell>
          <cell r="B349" t="str">
            <v>АГЕНТСТВО РЕФПЕРЕВОЗОК</v>
          </cell>
          <cell r="C349" t="str">
            <v>ХОВРИНО      (ОКТ)</v>
          </cell>
          <cell r="D349">
            <v>31778</v>
          </cell>
          <cell r="F349">
            <v>0</v>
          </cell>
          <cell r="G349">
            <v>37570</v>
          </cell>
          <cell r="H349">
            <v>1097</v>
          </cell>
          <cell r="I349" t="str">
            <v>кап</v>
          </cell>
          <cell r="J349">
            <v>34029</v>
          </cell>
        </row>
        <row r="350">
          <cell r="A350">
            <v>58342098</v>
          </cell>
          <cell r="B350" t="str">
            <v>АГЕНТСТВО РЕФПЕРЕВОЗОК</v>
          </cell>
          <cell r="C350" t="str">
            <v>ХОВРИНО      (ОКТ)</v>
          </cell>
          <cell r="D350">
            <v>31778</v>
          </cell>
          <cell r="E350">
            <v>37938</v>
          </cell>
          <cell r="F350">
            <v>557</v>
          </cell>
          <cell r="G350">
            <v>37570</v>
          </cell>
          <cell r="H350">
            <v>1097</v>
          </cell>
          <cell r="I350" t="str">
            <v>кап</v>
          </cell>
          <cell r="J350">
            <v>38485</v>
          </cell>
        </row>
        <row r="351">
          <cell r="A351">
            <v>58342122</v>
          </cell>
          <cell r="B351" t="str">
            <v>АГЕНТСТВО РЕФПЕРЕВОЗОК</v>
          </cell>
          <cell r="C351" t="str">
            <v>ХОВРИНО      (ОКТ)</v>
          </cell>
          <cell r="D351">
            <v>31778</v>
          </cell>
          <cell r="F351">
            <v>0</v>
          </cell>
          <cell r="G351">
            <v>37671</v>
          </cell>
          <cell r="H351">
            <v>1097</v>
          </cell>
          <cell r="I351" t="str">
            <v>деп</v>
          </cell>
          <cell r="J351">
            <v>38218</v>
          </cell>
        </row>
        <row r="352">
          <cell r="A352">
            <v>58342130</v>
          </cell>
          <cell r="B352" t="str">
            <v>АГЕНТСТВО РЕФПЕРЕВОЗОК</v>
          </cell>
          <cell r="C352" t="str">
            <v>ХОВРИНО      (ОКТ)</v>
          </cell>
          <cell r="D352">
            <v>31778</v>
          </cell>
          <cell r="F352">
            <v>0</v>
          </cell>
          <cell r="G352">
            <v>37671</v>
          </cell>
          <cell r="H352">
            <v>1097</v>
          </cell>
          <cell r="I352" t="str">
            <v>деп</v>
          </cell>
          <cell r="J352">
            <v>38218</v>
          </cell>
        </row>
        <row r="353">
          <cell r="A353">
            <v>58342148</v>
          </cell>
          <cell r="B353" t="str">
            <v>АГЕНТСТВО РЕФПЕРЕВОЗОК</v>
          </cell>
          <cell r="C353" t="str">
            <v>ХОВРИНО      (ОКТ)</v>
          </cell>
          <cell r="D353">
            <v>31778</v>
          </cell>
          <cell r="E353">
            <v>37937</v>
          </cell>
          <cell r="F353">
            <v>557</v>
          </cell>
          <cell r="G353">
            <v>37570</v>
          </cell>
          <cell r="H353">
            <v>1097</v>
          </cell>
          <cell r="I353" t="str">
            <v>кап</v>
          </cell>
          <cell r="J353">
            <v>38484</v>
          </cell>
        </row>
        <row r="354">
          <cell r="A354">
            <v>58342155</v>
          </cell>
          <cell r="B354" t="str">
            <v>АГЕНТСТВО РЕФПЕРЕВОЗОК</v>
          </cell>
          <cell r="C354" t="str">
            <v>ХОВРИНО      (ОКТ)</v>
          </cell>
          <cell r="D354">
            <v>31778</v>
          </cell>
          <cell r="F354">
            <v>0</v>
          </cell>
          <cell r="G354">
            <v>37671</v>
          </cell>
          <cell r="H354">
            <v>1097</v>
          </cell>
          <cell r="I354" t="str">
            <v>деп</v>
          </cell>
          <cell r="J354">
            <v>38218</v>
          </cell>
        </row>
        <row r="355">
          <cell r="A355">
            <v>58342163</v>
          </cell>
          <cell r="B355" t="str">
            <v>АГЕНТСТВО РЕФПЕРЕВОЗОК</v>
          </cell>
          <cell r="C355" t="str">
            <v>ХОВРИНО      (ОКТ)</v>
          </cell>
          <cell r="D355">
            <v>31778</v>
          </cell>
          <cell r="E355">
            <v>37526</v>
          </cell>
          <cell r="F355">
            <v>1097</v>
          </cell>
          <cell r="G355">
            <v>37570</v>
          </cell>
          <cell r="H355">
            <v>1097</v>
          </cell>
          <cell r="I355" t="str">
            <v>кап</v>
          </cell>
          <cell r="J355">
            <v>38073</v>
          </cell>
        </row>
        <row r="356">
          <cell r="A356">
            <v>58342171</v>
          </cell>
          <cell r="B356" t="str">
            <v>АГЕНТСТВО РЕФПЕРЕВОЗОК</v>
          </cell>
          <cell r="C356" t="str">
            <v>ХОВРИНО      (ОКТ)</v>
          </cell>
          <cell r="D356">
            <v>31778</v>
          </cell>
          <cell r="F356">
            <v>0</v>
          </cell>
          <cell r="G356">
            <v>37570</v>
          </cell>
          <cell r="H356">
            <v>1097</v>
          </cell>
          <cell r="I356" t="str">
            <v>кап</v>
          </cell>
          <cell r="J356">
            <v>33970</v>
          </cell>
        </row>
        <row r="357">
          <cell r="A357">
            <v>58342189</v>
          </cell>
          <cell r="B357" t="str">
            <v>АГЕНТСТВО РЕФПЕРЕВОЗОК</v>
          </cell>
          <cell r="C357" t="str">
            <v>ХОВРИНО      (ОКТ)</v>
          </cell>
          <cell r="D357">
            <v>31778</v>
          </cell>
          <cell r="F357">
            <v>0</v>
          </cell>
          <cell r="G357">
            <v>37570</v>
          </cell>
          <cell r="H357">
            <v>1097</v>
          </cell>
          <cell r="I357" t="str">
            <v>кап</v>
          </cell>
          <cell r="J357">
            <v>34335</v>
          </cell>
        </row>
        <row r="358">
          <cell r="A358">
            <v>58342197</v>
          </cell>
          <cell r="B358" t="str">
            <v>АГЕНТСТВО РЕФПЕРЕВОЗОК</v>
          </cell>
          <cell r="C358" t="str">
            <v>ХОВРИНО      (ОКТ)</v>
          </cell>
          <cell r="D358">
            <v>31778</v>
          </cell>
          <cell r="F358">
            <v>0</v>
          </cell>
          <cell r="G358">
            <v>37570</v>
          </cell>
          <cell r="H358">
            <v>1097</v>
          </cell>
          <cell r="I358" t="str">
            <v>кап</v>
          </cell>
          <cell r="J358">
            <v>34029</v>
          </cell>
        </row>
        <row r="359">
          <cell r="A359">
            <v>58342205</v>
          </cell>
          <cell r="B359" t="str">
            <v>АГЕНТСТВО РЕФПЕРЕВОЗОК</v>
          </cell>
          <cell r="C359" t="str">
            <v>ХОВРИНО      (ОКТ)</v>
          </cell>
          <cell r="D359">
            <v>31778</v>
          </cell>
          <cell r="F359">
            <v>0</v>
          </cell>
          <cell r="G359">
            <v>37671</v>
          </cell>
          <cell r="H359">
            <v>1097</v>
          </cell>
          <cell r="I359" t="str">
            <v>деп</v>
          </cell>
          <cell r="J359">
            <v>38218</v>
          </cell>
        </row>
        <row r="360">
          <cell r="A360">
            <v>58342213</v>
          </cell>
          <cell r="B360" t="str">
            <v>АГЕНТСТВО РЕФПЕРЕВОЗОК</v>
          </cell>
          <cell r="C360" t="str">
            <v>ХОВРИНО      (ОКТ)</v>
          </cell>
          <cell r="D360">
            <v>31778</v>
          </cell>
          <cell r="F360">
            <v>0</v>
          </cell>
          <cell r="G360">
            <v>37570</v>
          </cell>
          <cell r="H360">
            <v>1097</v>
          </cell>
          <cell r="I360" t="str">
            <v>кап</v>
          </cell>
          <cell r="J360">
            <v>33848</v>
          </cell>
        </row>
        <row r="361">
          <cell r="A361">
            <v>58342247</v>
          </cell>
          <cell r="B361" t="str">
            <v>АГЕНТСТВО РЕФПЕРЕВОЗОК</v>
          </cell>
          <cell r="C361" t="str">
            <v>ХОВРИНО      (ОКТ)</v>
          </cell>
          <cell r="D361">
            <v>31778</v>
          </cell>
          <cell r="F361">
            <v>0</v>
          </cell>
          <cell r="H361">
            <v>0</v>
          </cell>
          <cell r="I361" t="str">
            <v>кап</v>
          </cell>
          <cell r="J361">
            <v>34090</v>
          </cell>
        </row>
        <row r="362">
          <cell r="A362">
            <v>58342254</v>
          </cell>
          <cell r="B362" t="str">
            <v>АГЕНТСТВО РЕФПЕРЕВОЗОК</v>
          </cell>
          <cell r="C362" t="str">
            <v>ХОВРИНО      (ОКТ)</v>
          </cell>
          <cell r="D362">
            <v>31778</v>
          </cell>
          <cell r="F362">
            <v>0</v>
          </cell>
          <cell r="G362">
            <v>37570</v>
          </cell>
          <cell r="H362">
            <v>1097</v>
          </cell>
          <cell r="I362" t="str">
            <v>кап</v>
          </cell>
          <cell r="J362">
            <v>33147</v>
          </cell>
        </row>
        <row r="363">
          <cell r="A363">
            <v>58342262</v>
          </cell>
          <cell r="B363" t="str">
            <v>АГЕНТСТВО РЕФПЕРЕВОЗОК</v>
          </cell>
          <cell r="C363" t="str">
            <v>ХОВРИНО      (ОКТ)</v>
          </cell>
          <cell r="D363">
            <v>31778</v>
          </cell>
          <cell r="E363">
            <v>37671</v>
          </cell>
          <cell r="F363">
            <v>1097</v>
          </cell>
          <cell r="G363">
            <v>37570</v>
          </cell>
          <cell r="H363">
            <v>1097</v>
          </cell>
          <cell r="I363" t="str">
            <v>кап</v>
          </cell>
          <cell r="J363">
            <v>38218</v>
          </cell>
        </row>
        <row r="364">
          <cell r="A364">
            <v>58342270</v>
          </cell>
          <cell r="B364" t="str">
            <v>АГЕНТСТВО РЕФПЕРЕВОЗОК</v>
          </cell>
          <cell r="C364" t="str">
            <v>ХОВРИНО      (ОКТ)</v>
          </cell>
          <cell r="D364">
            <v>31778</v>
          </cell>
          <cell r="F364">
            <v>0</v>
          </cell>
          <cell r="G364">
            <v>37772</v>
          </cell>
          <cell r="H364">
            <v>492</v>
          </cell>
          <cell r="I364" t="str">
            <v>деп</v>
          </cell>
          <cell r="J364">
            <v>38321</v>
          </cell>
        </row>
        <row r="365">
          <cell r="A365">
            <v>58342288</v>
          </cell>
          <cell r="B365" t="str">
            <v>АГЕНТСТВО РЕФПЕРЕВОЗОК</v>
          </cell>
          <cell r="C365" t="str">
            <v>ХОВРИНО      (ОКТ)</v>
          </cell>
          <cell r="D365">
            <v>31778</v>
          </cell>
          <cell r="E365">
            <v>37671</v>
          </cell>
          <cell r="F365">
            <v>1097</v>
          </cell>
          <cell r="G365">
            <v>37570</v>
          </cell>
          <cell r="H365">
            <v>1097</v>
          </cell>
          <cell r="I365" t="str">
            <v>кап</v>
          </cell>
          <cell r="J365">
            <v>38218</v>
          </cell>
        </row>
        <row r="366">
          <cell r="A366">
            <v>58342296</v>
          </cell>
          <cell r="B366" t="str">
            <v>АГЕНТСТВО РЕФПЕРЕВОЗОК</v>
          </cell>
          <cell r="C366" t="str">
            <v>ХОВРИНО      (ОКТ)</v>
          </cell>
          <cell r="D366">
            <v>31778</v>
          </cell>
          <cell r="F366">
            <v>0</v>
          </cell>
          <cell r="G366">
            <v>37570</v>
          </cell>
          <cell r="H366">
            <v>1097</v>
          </cell>
          <cell r="I366" t="str">
            <v>кап</v>
          </cell>
          <cell r="J366">
            <v>34274</v>
          </cell>
        </row>
        <row r="367">
          <cell r="A367">
            <v>58342304</v>
          </cell>
          <cell r="B367" t="str">
            <v>АГЕНТСТВО РЕФПЕРЕВОЗОК</v>
          </cell>
          <cell r="C367" t="str">
            <v>ХОВРИНО      (ОКТ)</v>
          </cell>
          <cell r="D367">
            <v>31778</v>
          </cell>
          <cell r="E367">
            <v>37671</v>
          </cell>
          <cell r="F367">
            <v>1097</v>
          </cell>
          <cell r="G367">
            <v>37570</v>
          </cell>
          <cell r="H367">
            <v>1097</v>
          </cell>
          <cell r="I367" t="str">
            <v>кап</v>
          </cell>
          <cell r="J367">
            <v>38218</v>
          </cell>
        </row>
        <row r="368">
          <cell r="A368">
            <v>58342312</v>
          </cell>
          <cell r="B368" t="str">
            <v>АГЕНТСТВО РЕФПЕРЕВОЗОК</v>
          </cell>
          <cell r="C368" t="str">
            <v>ХОВРИНО      (ОКТ)</v>
          </cell>
          <cell r="D368">
            <v>31778</v>
          </cell>
          <cell r="E368">
            <v>37526</v>
          </cell>
          <cell r="F368">
            <v>1097</v>
          </cell>
          <cell r="G368">
            <v>37570</v>
          </cell>
          <cell r="H368">
            <v>1097</v>
          </cell>
          <cell r="I368" t="str">
            <v>кап</v>
          </cell>
          <cell r="J368">
            <v>38073</v>
          </cell>
        </row>
        <row r="369">
          <cell r="A369">
            <v>58342320</v>
          </cell>
          <cell r="B369" t="str">
            <v>АГЕНТСТВО РЕФПЕРЕВОЗОК</v>
          </cell>
          <cell r="C369" t="str">
            <v>ХОВРИНО      (ОКТ)</v>
          </cell>
          <cell r="D369">
            <v>31778</v>
          </cell>
          <cell r="E369">
            <v>37526</v>
          </cell>
          <cell r="F369">
            <v>1097</v>
          </cell>
          <cell r="G369">
            <v>37570</v>
          </cell>
          <cell r="H369">
            <v>1097</v>
          </cell>
          <cell r="I369" t="str">
            <v>кап</v>
          </cell>
          <cell r="J369">
            <v>38073</v>
          </cell>
        </row>
        <row r="370">
          <cell r="A370">
            <v>58342338</v>
          </cell>
          <cell r="B370" t="str">
            <v>АГЕНТСТВО РЕФПЕРЕВОЗОК</v>
          </cell>
          <cell r="C370" t="str">
            <v>ХОВРИНО      (ОКТ)</v>
          </cell>
          <cell r="D370">
            <v>31778</v>
          </cell>
          <cell r="F370">
            <v>0</v>
          </cell>
          <cell r="G370">
            <v>37570</v>
          </cell>
          <cell r="H370">
            <v>1097</v>
          </cell>
          <cell r="I370" t="str">
            <v>кап</v>
          </cell>
          <cell r="J370">
            <v>33756</v>
          </cell>
        </row>
        <row r="371">
          <cell r="A371">
            <v>58342346</v>
          </cell>
          <cell r="B371" t="str">
            <v>АГЕНТСТВО РЕФПЕРЕВОЗОК</v>
          </cell>
          <cell r="C371" t="str">
            <v>ХОВРИНО      (ОКТ)</v>
          </cell>
          <cell r="D371">
            <v>31778</v>
          </cell>
          <cell r="E371">
            <v>37526</v>
          </cell>
          <cell r="F371">
            <v>1097</v>
          </cell>
          <cell r="G371">
            <v>37570</v>
          </cell>
          <cell r="H371">
            <v>1097</v>
          </cell>
          <cell r="I371" t="str">
            <v>кап</v>
          </cell>
          <cell r="J371">
            <v>38073</v>
          </cell>
        </row>
        <row r="372">
          <cell r="A372">
            <v>58342353</v>
          </cell>
          <cell r="B372" t="str">
            <v>АГЕНТСТВО РЕФПЕРЕВОЗОК</v>
          </cell>
          <cell r="C372" t="str">
            <v>ХОВРИНО      (ОКТ)</v>
          </cell>
          <cell r="D372">
            <v>31778</v>
          </cell>
          <cell r="E372">
            <v>37935</v>
          </cell>
          <cell r="F372">
            <v>557</v>
          </cell>
          <cell r="G372">
            <v>37570</v>
          </cell>
          <cell r="H372">
            <v>1097</v>
          </cell>
          <cell r="I372" t="str">
            <v>кап</v>
          </cell>
          <cell r="J372">
            <v>38482</v>
          </cell>
        </row>
        <row r="373">
          <cell r="A373">
            <v>58342361</v>
          </cell>
          <cell r="B373" t="str">
            <v>АГЕНТСТВО РЕФПЕРЕВОЗОК</v>
          </cell>
          <cell r="C373" t="str">
            <v>ХОВРИНО      (ОКТ)</v>
          </cell>
          <cell r="D373">
            <v>31778</v>
          </cell>
          <cell r="E373">
            <v>37671</v>
          </cell>
          <cell r="F373">
            <v>1097</v>
          </cell>
          <cell r="G373">
            <v>37570</v>
          </cell>
          <cell r="H373">
            <v>1097</v>
          </cell>
          <cell r="I373" t="str">
            <v>кап</v>
          </cell>
          <cell r="J373">
            <v>38218</v>
          </cell>
        </row>
        <row r="374">
          <cell r="A374">
            <v>58342379</v>
          </cell>
          <cell r="B374" t="str">
            <v>АГЕНТСТВО РЕФПЕРЕВОЗОК</v>
          </cell>
          <cell r="C374" t="str">
            <v>ХОВРИНО      (ОКТ)</v>
          </cell>
          <cell r="D374">
            <v>31778</v>
          </cell>
          <cell r="E374">
            <v>37671</v>
          </cell>
          <cell r="F374">
            <v>1097</v>
          </cell>
          <cell r="G374">
            <v>37570</v>
          </cell>
          <cell r="H374">
            <v>1097</v>
          </cell>
          <cell r="I374" t="str">
            <v>кап</v>
          </cell>
          <cell r="J374">
            <v>38218</v>
          </cell>
        </row>
        <row r="375">
          <cell r="A375">
            <v>58342387</v>
          </cell>
          <cell r="B375" t="str">
            <v>АГЕНТСТВО РЕФПЕРЕВОЗОК</v>
          </cell>
          <cell r="C375" t="str">
            <v>ХОВРИНО      (ОКТ)</v>
          </cell>
          <cell r="D375">
            <v>31778</v>
          </cell>
          <cell r="F375">
            <v>0</v>
          </cell>
          <cell r="G375">
            <v>37570</v>
          </cell>
          <cell r="H375">
            <v>1097</v>
          </cell>
          <cell r="I375" t="str">
            <v>кап</v>
          </cell>
          <cell r="J375">
            <v>34029</v>
          </cell>
        </row>
        <row r="376">
          <cell r="A376">
            <v>58342395</v>
          </cell>
          <cell r="B376" t="str">
            <v>АГЕНТСТВО РЕФПЕРЕВОЗОК</v>
          </cell>
          <cell r="C376" t="str">
            <v>ХОВРИНО      (ОКТ)</v>
          </cell>
          <cell r="D376">
            <v>31778</v>
          </cell>
          <cell r="E376">
            <v>37947</v>
          </cell>
          <cell r="F376">
            <v>557</v>
          </cell>
          <cell r="G376">
            <v>37570</v>
          </cell>
          <cell r="H376">
            <v>1097</v>
          </cell>
          <cell r="I376" t="str">
            <v>кап</v>
          </cell>
          <cell r="J376">
            <v>38494</v>
          </cell>
        </row>
        <row r="377">
          <cell r="A377">
            <v>58720293</v>
          </cell>
          <cell r="B377" t="str">
            <v>АГЕНТСТВО РЕФПЕРЕВОЗОК</v>
          </cell>
          <cell r="C377" t="str">
            <v>ХОВРИНО      (ОКТ)</v>
          </cell>
          <cell r="D377">
            <v>32509</v>
          </cell>
          <cell r="E377">
            <v>37859</v>
          </cell>
          <cell r="F377">
            <v>886</v>
          </cell>
          <cell r="H377">
            <v>0</v>
          </cell>
          <cell r="I377" t="str">
            <v>кап</v>
          </cell>
          <cell r="J377">
            <v>38409</v>
          </cell>
        </row>
        <row r="378">
          <cell r="A378">
            <v>58720392</v>
          </cell>
          <cell r="B378" t="str">
            <v>АГЕНТСТВО РЕФПЕРЕВОЗОК</v>
          </cell>
          <cell r="C378" t="str">
            <v>ХОВРИНО      (ОКТ)</v>
          </cell>
          <cell r="D378">
            <v>32509</v>
          </cell>
          <cell r="E378">
            <v>37859</v>
          </cell>
          <cell r="F378">
            <v>886</v>
          </cell>
          <cell r="H378">
            <v>0</v>
          </cell>
          <cell r="I378" t="str">
            <v>кап</v>
          </cell>
          <cell r="J378">
            <v>38409</v>
          </cell>
        </row>
        <row r="379">
          <cell r="A379">
            <v>58720491</v>
          </cell>
          <cell r="B379" t="str">
            <v>АГЕНТСТВО РЕФПЕРЕВОЗОК</v>
          </cell>
          <cell r="C379" t="str">
            <v>ХОВРИНО      (ОКТ)</v>
          </cell>
          <cell r="D379">
            <v>32509</v>
          </cell>
          <cell r="E379">
            <v>37833</v>
          </cell>
          <cell r="F379">
            <v>163</v>
          </cell>
          <cell r="H379">
            <v>0</v>
          </cell>
          <cell r="I379" t="str">
            <v>кап</v>
          </cell>
          <cell r="J379">
            <v>38383</v>
          </cell>
        </row>
        <row r="380">
          <cell r="A380">
            <v>58720590</v>
          </cell>
          <cell r="B380" t="str">
            <v>АГЕНТСТВО РЕФПЕРЕВОЗОК</v>
          </cell>
          <cell r="C380" t="str">
            <v>ХОВРИНО      (ОКТ)</v>
          </cell>
          <cell r="D380">
            <v>32509</v>
          </cell>
          <cell r="E380">
            <v>37859</v>
          </cell>
          <cell r="F380">
            <v>886</v>
          </cell>
          <cell r="H380">
            <v>0</v>
          </cell>
          <cell r="I380" t="str">
            <v>кап</v>
          </cell>
          <cell r="J380">
            <v>38409</v>
          </cell>
        </row>
        <row r="381">
          <cell r="A381">
            <v>58721093</v>
          </cell>
          <cell r="B381" t="str">
            <v>АГЕНТСТВО РЕФПЕРЕВОЗОК</v>
          </cell>
          <cell r="C381" t="str">
            <v>ХОВРИНО      (ОКТ)</v>
          </cell>
          <cell r="D381">
            <v>32509</v>
          </cell>
          <cell r="E381">
            <v>37830</v>
          </cell>
          <cell r="F381">
            <v>163</v>
          </cell>
          <cell r="H381">
            <v>0</v>
          </cell>
          <cell r="I381" t="str">
            <v>кап</v>
          </cell>
          <cell r="J381">
            <v>38380</v>
          </cell>
        </row>
        <row r="382">
          <cell r="A382">
            <v>58721192</v>
          </cell>
          <cell r="B382" t="str">
            <v>АГЕНТСТВО РЕФПЕРЕВОЗОК</v>
          </cell>
          <cell r="C382" t="str">
            <v>ХОВРИНО      (ОКТ)</v>
          </cell>
          <cell r="D382">
            <v>32509</v>
          </cell>
          <cell r="E382">
            <v>37830</v>
          </cell>
          <cell r="F382">
            <v>163</v>
          </cell>
          <cell r="H382">
            <v>0</v>
          </cell>
          <cell r="I382" t="str">
            <v>кап</v>
          </cell>
          <cell r="J382">
            <v>38380</v>
          </cell>
        </row>
        <row r="383">
          <cell r="A383">
            <v>58721291</v>
          </cell>
          <cell r="B383" t="str">
            <v>АГЕНТСТВО РЕФПЕРЕВОЗОК</v>
          </cell>
          <cell r="C383" t="str">
            <v>ХОВРИНО      (ОКТ)</v>
          </cell>
          <cell r="D383">
            <v>32509</v>
          </cell>
          <cell r="E383">
            <v>37830</v>
          </cell>
          <cell r="F383">
            <v>163</v>
          </cell>
          <cell r="H383">
            <v>0</v>
          </cell>
          <cell r="I383" t="str">
            <v>кап</v>
          </cell>
          <cell r="J383">
            <v>38380</v>
          </cell>
        </row>
        <row r="384">
          <cell r="A384">
            <v>58721390</v>
          </cell>
          <cell r="B384" t="str">
            <v>АГЕНТСТВО РЕФПЕРЕВОЗОК</v>
          </cell>
          <cell r="C384" t="str">
            <v>ХОВРИНО      (ОКТ)</v>
          </cell>
          <cell r="D384">
            <v>32509</v>
          </cell>
          <cell r="E384">
            <v>37830</v>
          </cell>
          <cell r="F384">
            <v>163</v>
          </cell>
          <cell r="H384">
            <v>0</v>
          </cell>
          <cell r="I384" t="str">
            <v>кап</v>
          </cell>
          <cell r="J384">
            <v>38380</v>
          </cell>
        </row>
        <row r="385">
          <cell r="A385">
            <v>58721663</v>
          </cell>
          <cell r="B385" t="str">
            <v>АГЕНТСТВО РЕФПЕРЕВОЗОК</v>
          </cell>
          <cell r="C385" t="str">
            <v>ХОВРИНО      (ОКТ)</v>
          </cell>
          <cell r="D385">
            <v>34243</v>
          </cell>
          <cell r="E385">
            <v>37781</v>
          </cell>
          <cell r="F385">
            <v>886</v>
          </cell>
          <cell r="H385">
            <v>0</v>
          </cell>
          <cell r="I385" t="str">
            <v>деп</v>
          </cell>
          <cell r="J385">
            <v>38512</v>
          </cell>
        </row>
        <row r="386">
          <cell r="A386">
            <v>58721671</v>
          </cell>
          <cell r="B386" t="str">
            <v>АГЕНТСТВО РЕФПЕРЕВОЗОК</v>
          </cell>
          <cell r="C386" t="str">
            <v>ХОВРИНО      (ОКТ)</v>
          </cell>
          <cell r="D386">
            <v>34243</v>
          </cell>
          <cell r="E386">
            <v>37781</v>
          </cell>
          <cell r="F386">
            <v>886</v>
          </cell>
          <cell r="H386">
            <v>0</v>
          </cell>
          <cell r="I386" t="str">
            <v>деп</v>
          </cell>
          <cell r="J386">
            <v>38512</v>
          </cell>
        </row>
        <row r="387">
          <cell r="A387">
            <v>58721689</v>
          </cell>
          <cell r="B387" t="str">
            <v>АГЕНТСТВО РЕФПЕРЕВОЗОК</v>
          </cell>
          <cell r="C387" t="str">
            <v>ХОВРИНО      (ОКТ)</v>
          </cell>
          <cell r="D387">
            <v>34243</v>
          </cell>
          <cell r="E387">
            <v>37781</v>
          </cell>
          <cell r="F387">
            <v>886</v>
          </cell>
          <cell r="H387">
            <v>0</v>
          </cell>
          <cell r="I387" t="str">
            <v>деп</v>
          </cell>
          <cell r="J387">
            <v>38512</v>
          </cell>
        </row>
        <row r="388">
          <cell r="A388">
            <v>58721705</v>
          </cell>
          <cell r="B388" t="str">
            <v>АГЕНТСТВО РЕФПЕРЕВОЗОК</v>
          </cell>
          <cell r="C388" t="str">
            <v>ХОВРИНО      (ОКТ)</v>
          </cell>
          <cell r="D388">
            <v>34243</v>
          </cell>
          <cell r="E388">
            <v>37781</v>
          </cell>
          <cell r="F388">
            <v>886</v>
          </cell>
          <cell r="H388">
            <v>0</v>
          </cell>
          <cell r="I388" t="str">
            <v>деп</v>
          </cell>
          <cell r="J388">
            <v>38512</v>
          </cell>
        </row>
        <row r="389">
          <cell r="A389">
            <v>58724766</v>
          </cell>
          <cell r="B389" t="str">
            <v>АГЕНТСТВО РЕФПЕРЕВОЗОК</v>
          </cell>
          <cell r="C389" t="str">
            <v>ХОВРИНО      (ОКТ)</v>
          </cell>
          <cell r="D389">
            <v>33604</v>
          </cell>
          <cell r="F389">
            <v>0</v>
          </cell>
          <cell r="H389">
            <v>0</v>
          </cell>
          <cell r="I389" t="str">
            <v>деп</v>
          </cell>
          <cell r="J389">
            <v>34516</v>
          </cell>
        </row>
        <row r="390">
          <cell r="A390">
            <v>58724774</v>
          </cell>
          <cell r="B390" t="str">
            <v>АГЕНТСТВО РЕФПЕРЕВОЗОК</v>
          </cell>
          <cell r="C390" t="str">
            <v>ХОВРИНО      (ОКТ)</v>
          </cell>
          <cell r="D390">
            <v>33604</v>
          </cell>
          <cell r="F390">
            <v>0</v>
          </cell>
          <cell r="H390">
            <v>0</v>
          </cell>
          <cell r="I390" t="str">
            <v>деп</v>
          </cell>
          <cell r="J390">
            <v>34516</v>
          </cell>
        </row>
        <row r="391">
          <cell r="A391">
            <v>58725698</v>
          </cell>
          <cell r="B391" t="str">
            <v>АГЕНТСТВО РЕФПЕРЕВОЗОК</v>
          </cell>
          <cell r="C391" t="str">
            <v>ХОВРИНО      (ОКТ)</v>
          </cell>
          <cell r="D391">
            <v>33239</v>
          </cell>
          <cell r="E391">
            <v>37615</v>
          </cell>
          <cell r="F391">
            <v>163</v>
          </cell>
          <cell r="H391">
            <v>0</v>
          </cell>
          <cell r="I391" t="str">
            <v>деп</v>
          </cell>
          <cell r="J391">
            <v>38163</v>
          </cell>
        </row>
        <row r="392">
          <cell r="A392">
            <v>58725797</v>
          </cell>
          <cell r="B392" t="str">
            <v>АГЕНТСТВО РЕФПЕРЕВОЗОК</v>
          </cell>
          <cell r="C392" t="str">
            <v>ХОВРИНО      (ОКТ)</v>
          </cell>
          <cell r="D392">
            <v>33239</v>
          </cell>
          <cell r="E392">
            <v>37615</v>
          </cell>
          <cell r="F392">
            <v>163</v>
          </cell>
          <cell r="H392">
            <v>0</v>
          </cell>
          <cell r="I392" t="str">
            <v>деп</v>
          </cell>
          <cell r="J392">
            <v>38163</v>
          </cell>
        </row>
        <row r="393">
          <cell r="A393">
            <v>58725896</v>
          </cell>
          <cell r="B393" t="str">
            <v>АГЕНТСТВО РЕФПЕРЕВОЗОК</v>
          </cell>
          <cell r="C393" t="str">
            <v>ХОВРИНО      (ОКТ)</v>
          </cell>
          <cell r="D393">
            <v>33239</v>
          </cell>
          <cell r="E393">
            <v>37615</v>
          </cell>
          <cell r="F393">
            <v>163</v>
          </cell>
          <cell r="H393">
            <v>0</v>
          </cell>
          <cell r="I393" t="str">
            <v>деп</v>
          </cell>
          <cell r="J393">
            <v>38163</v>
          </cell>
        </row>
        <row r="394">
          <cell r="A394">
            <v>58725920</v>
          </cell>
          <cell r="B394" t="str">
            <v>АГЕНТСТВО РЕФПЕРЕВОЗОК</v>
          </cell>
          <cell r="C394" t="str">
            <v>УССУРИЙСК    (ДВС)</v>
          </cell>
          <cell r="D394">
            <v>30590</v>
          </cell>
          <cell r="E394">
            <v>37404</v>
          </cell>
          <cell r="F394">
            <v>163</v>
          </cell>
          <cell r="G394">
            <v>34790</v>
          </cell>
          <cell r="H394">
            <v>0</v>
          </cell>
          <cell r="I394" t="str">
            <v>деп</v>
          </cell>
          <cell r="J394">
            <v>38135</v>
          </cell>
        </row>
        <row r="395">
          <cell r="A395">
            <v>58725938</v>
          </cell>
          <cell r="B395" t="str">
            <v>АГЕНТСТВО РЕФПЕРЕВОЗОК</v>
          </cell>
          <cell r="C395" t="str">
            <v>УССУРИЙСК    (ДВС)</v>
          </cell>
          <cell r="D395">
            <v>30590</v>
          </cell>
          <cell r="E395">
            <v>37404</v>
          </cell>
          <cell r="F395">
            <v>163</v>
          </cell>
          <cell r="G395">
            <v>34790</v>
          </cell>
          <cell r="H395">
            <v>0</v>
          </cell>
          <cell r="I395" t="str">
            <v>деп</v>
          </cell>
          <cell r="J395">
            <v>38135</v>
          </cell>
        </row>
        <row r="396">
          <cell r="A396">
            <v>58725946</v>
          </cell>
          <cell r="B396" t="str">
            <v>АГЕНТСТВО РЕФПЕРЕВОЗОК</v>
          </cell>
          <cell r="C396" t="str">
            <v>УССУРИЙСК    (ДВС)</v>
          </cell>
          <cell r="D396">
            <v>30590</v>
          </cell>
          <cell r="E396">
            <v>37404</v>
          </cell>
          <cell r="F396">
            <v>163</v>
          </cell>
          <cell r="G396">
            <v>34790</v>
          </cell>
          <cell r="H396">
            <v>0</v>
          </cell>
          <cell r="I396" t="str">
            <v>деп</v>
          </cell>
          <cell r="J396">
            <v>38135</v>
          </cell>
        </row>
        <row r="397">
          <cell r="A397">
            <v>58725953</v>
          </cell>
          <cell r="B397" t="str">
            <v>АГЕНТСТВО РЕФПЕРЕВОЗОК</v>
          </cell>
          <cell r="C397" t="str">
            <v>УССУРИЙСК    (ДВС)</v>
          </cell>
          <cell r="D397">
            <v>30590</v>
          </cell>
          <cell r="E397">
            <v>37404</v>
          </cell>
          <cell r="F397">
            <v>163</v>
          </cell>
          <cell r="G397">
            <v>34790</v>
          </cell>
          <cell r="H397">
            <v>0</v>
          </cell>
          <cell r="I397" t="str">
            <v>деп</v>
          </cell>
          <cell r="J397">
            <v>38135</v>
          </cell>
        </row>
        <row r="398">
          <cell r="A398">
            <v>58725961</v>
          </cell>
          <cell r="B398" t="str">
            <v>АГЕНТСТВО РЕФПЕРЕВОЗОК</v>
          </cell>
          <cell r="C398" t="str">
            <v>УССУРИЙСК    (ДВС)</v>
          </cell>
          <cell r="D398">
            <v>29952</v>
          </cell>
          <cell r="E398">
            <v>37686</v>
          </cell>
          <cell r="F398">
            <v>557</v>
          </cell>
          <cell r="G398">
            <v>34881</v>
          </cell>
          <cell r="H398">
            <v>0</v>
          </cell>
          <cell r="I398" t="str">
            <v>деп</v>
          </cell>
          <cell r="J398">
            <v>38417</v>
          </cell>
        </row>
        <row r="399">
          <cell r="A399">
            <v>58725979</v>
          </cell>
          <cell r="B399" t="str">
            <v>АГЕНТСТВО РЕФПЕРЕВОЗОК</v>
          </cell>
          <cell r="C399" t="str">
            <v>УССУРИЙСК    (ДВС)</v>
          </cell>
          <cell r="D399">
            <v>29952</v>
          </cell>
          <cell r="E399">
            <v>37686</v>
          </cell>
          <cell r="F399">
            <v>557</v>
          </cell>
          <cell r="G399">
            <v>34881</v>
          </cell>
          <cell r="H399">
            <v>0</v>
          </cell>
          <cell r="I399" t="str">
            <v>деп</v>
          </cell>
          <cell r="J399">
            <v>38417</v>
          </cell>
        </row>
        <row r="400">
          <cell r="A400">
            <v>58725987</v>
          </cell>
          <cell r="B400" t="str">
            <v>АГЕНТСТВО РЕФПЕРЕВОЗОК</v>
          </cell>
          <cell r="C400" t="str">
            <v>УССУРИЙСК    (ДВС)</v>
          </cell>
          <cell r="D400">
            <v>29952</v>
          </cell>
          <cell r="E400">
            <v>37686</v>
          </cell>
          <cell r="F400">
            <v>557</v>
          </cell>
          <cell r="G400">
            <v>34881</v>
          </cell>
          <cell r="H400">
            <v>0</v>
          </cell>
          <cell r="I400" t="str">
            <v>деп</v>
          </cell>
          <cell r="J400">
            <v>38417</v>
          </cell>
        </row>
        <row r="401">
          <cell r="A401">
            <v>58725995</v>
          </cell>
          <cell r="B401" t="str">
            <v>АГЕНТСТВО РЕФПЕРЕВОЗОК</v>
          </cell>
          <cell r="C401" t="str">
            <v>ХОВРИНО      (ОКТ)</v>
          </cell>
          <cell r="D401">
            <v>33239</v>
          </cell>
          <cell r="E401">
            <v>37685</v>
          </cell>
          <cell r="F401">
            <v>163</v>
          </cell>
          <cell r="H401">
            <v>0</v>
          </cell>
          <cell r="I401" t="str">
            <v>деп</v>
          </cell>
          <cell r="J401">
            <v>38235</v>
          </cell>
        </row>
        <row r="402">
          <cell r="A402">
            <v>58726001</v>
          </cell>
          <cell r="B402" t="str">
            <v>АГЕНТСТВО РЕФПЕРЕВОЗОК</v>
          </cell>
          <cell r="C402" t="str">
            <v>УССУРИЙСК    (ДВС)</v>
          </cell>
          <cell r="D402">
            <v>29952</v>
          </cell>
          <cell r="E402">
            <v>37686</v>
          </cell>
          <cell r="F402">
            <v>557</v>
          </cell>
          <cell r="G402">
            <v>34881</v>
          </cell>
          <cell r="H402">
            <v>0</v>
          </cell>
          <cell r="I402" t="str">
            <v>деп</v>
          </cell>
          <cell r="J402">
            <v>38417</v>
          </cell>
        </row>
        <row r="403">
          <cell r="A403">
            <v>58726019</v>
          </cell>
          <cell r="B403" t="str">
            <v>АГЕНТСТВО РЕФПЕРЕВОЗОК</v>
          </cell>
          <cell r="C403" t="str">
            <v>УССУРИЙСК    (ДВС)</v>
          </cell>
          <cell r="D403">
            <v>29952</v>
          </cell>
          <cell r="E403">
            <v>37512</v>
          </cell>
          <cell r="F403">
            <v>163</v>
          </cell>
          <cell r="G403">
            <v>35156</v>
          </cell>
          <cell r="H403">
            <v>0</v>
          </cell>
          <cell r="I403" t="str">
            <v>деп</v>
          </cell>
          <cell r="J403">
            <v>38243</v>
          </cell>
        </row>
        <row r="404">
          <cell r="A404">
            <v>58726027</v>
          </cell>
          <cell r="B404" t="str">
            <v>АГЕНТСТВО РЕФПЕРЕВОЗОК</v>
          </cell>
          <cell r="C404" t="str">
            <v>УССУРИЙСК    (ДВС)</v>
          </cell>
          <cell r="D404">
            <v>29952</v>
          </cell>
          <cell r="E404">
            <v>37512</v>
          </cell>
          <cell r="F404">
            <v>163</v>
          </cell>
          <cell r="G404">
            <v>35156</v>
          </cell>
          <cell r="H404">
            <v>0</v>
          </cell>
          <cell r="I404" t="str">
            <v>деп</v>
          </cell>
          <cell r="J404">
            <v>38243</v>
          </cell>
        </row>
        <row r="405">
          <cell r="A405">
            <v>58726035</v>
          </cell>
          <cell r="B405" t="str">
            <v>АГЕНТСТВО РЕФПЕРЕВОЗОК</v>
          </cell>
          <cell r="C405" t="str">
            <v>УССУРИЙСК    (ДВС)</v>
          </cell>
          <cell r="D405">
            <v>29952</v>
          </cell>
          <cell r="E405">
            <v>37512</v>
          </cell>
          <cell r="F405">
            <v>163</v>
          </cell>
          <cell r="G405">
            <v>35156</v>
          </cell>
          <cell r="H405">
            <v>0</v>
          </cell>
          <cell r="I405" t="str">
            <v>деп</v>
          </cell>
          <cell r="J405">
            <v>38243</v>
          </cell>
        </row>
        <row r="406">
          <cell r="A406">
            <v>58726043</v>
          </cell>
          <cell r="B406" t="str">
            <v>АГЕНТСТВО РЕФПЕРЕВОЗОК</v>
          </cell>
          <cell r="C406" t="str">
            <v>УССУРИЙСК    (ДВС)</v>
          </cell>
          <cell r="D406">
            <v>29952</v>
          </cell>
          <cell r="E406">
            <v>37512</v>
          </cell>
          <cell r="F406">
            <v>163</v>
          </cell>
          <cell r="G406">
            <v>35156</v>
          </cell>
          <cell r="H406">
            <v>0</v>
          </cell>
          <cell r="I406" t="str">
            <v>деп</v>
          </cell>
          <cell r="J406">
            <v>38243</v>
          </cell>
        </row>
        <row r="407">
          <cell r="A407">
            <v>58726050</v>
          </cell>
          <cell r="B407" t="str">
            <v>АГЕНТСТВО РЕФПЕРЕВОЗОК</v>
          </cell>
          <cell r="C407" t="str">
            <v>УССУРИЙСК    (ДВС)</v>
          </cell>
          <cell r="D407">
            <v>29952</v>
          </cell>
          <cell r="E407">
            <v>37791</v>
          </cell>
          <cell r="F407">
            <v>886</v>
          </cell>
          <cell r="G407">
            <v>35034</v>
          </cell>
          <cell r="H407">
            <v>0</v>
          </cell>
          <cell r="I407" t="str">
            <v>деп</v>
          </cell>
          <cell r="J407">
            <v>38522</v>
          </cell>
        </row>
        <row r="408">
          <cell r="A408">
            <v>58726068</v>
          </cell>
          <cell r="B408" t="str">
            <v>АГЕНТСТВО РЕФПЕРЕВОЗОК</v>
          </cell>
          <cell r="C408" t="str">
            <v>УССУРИЙСК    (ДВС)</v>
          </cell>
          <cell r="D408">
            <v>29952</v>
          </cell>
          <cell r="E408">
            <v>37721</v>
          </cell>
          <cell r="F408">
            <v>350</v>
          </cell>
          <cell r="G408">
            <v>35034</v>
          </cell>
          <cell r="H408">
            <v>0</v>
          </cell>
          <cell r="I408" t="str">
            <v>деп</v>
          </cell>
          <cell r="J408">
            <v>38452</v>
          </cell>
        </row>
        <row r="409">
          <cell r="A409">
            <v>58726076</v>
          </cell>
          <cell r="B409" t="str">
            <v>АГЕНТСТВО РЕФПЕРЕВОЗОК</v>
          </cell>
          <cell r="C409" t="str">
            <v>УССУРИЙСК    (ДВС)</v>
          </cell>
          <cell r="D409">
            <v>29952</v>
          </cell>
          <cell r="E409">
            <v>37721</v>
          </cell>
          <cell r="F409">
            <v>350</v>
          </cell>
          <cell r="G409">
            <v>35034</v>
          </cell>
          <cell r="H409">
            <v>0</v>
          </cell>
          <cell r="I409" t="str">
            <v>деп</v>
          </cell>
          <cell r="J409">
            <v>38452</v>
          </cell>
        </row>
        <row r="410">
          <cell r="A410">
            <v>58726084</v>
          </cell>
          <cell r="B410" t="str">
            <v>АГЕНТСТВО РЕФПЕРЕВОЗОК</v>
          </cell>
          <cell r="C410" t="str">
            <v>УССУРИЙСК    (ДВС)</v>
          </cell>
          <cell r="D410">
            <v>29952</v>
          </cell>
          <cell r="E410">
            <v>37791</v>
          </cell>
          <cell r="F410">
            <v>886</v>
          </cell>
          <cell r="G410">
            <v>35034</v>
          </cell>
          <cell r="H410">
            <v>0</v>
          </cell>
          <cell r="I410" t="str">
            <v>деп</v>
          </cell>
          <cell r="J410">
            <v>38522</v>
          </cell>
        </row>
        <row r="411">
          <cell r="A411">
            <v>58726100</v>
          </cell>
          <cell r="B411" t="str">
            <v>АГЕНТСТВО РЕФПЕРЕВОЗОК</v>
          </cell>
          <cell r="C411" t="str">
            <v>УССУРИЙСК    (ДВС)</v>
          </cell>
          <cell r="D411">
            <v>29952</v>
          </cell>
          <cell r="E411">
            <v>37586</v>
          </cell>
          <cell r="F411">
            <v>163</v>
          </cell>
          <cell r="G411">
            <v>34881</v>
          </cell>
          <cell r="H411">
            <v>0</v>
          </cell>
          <cell r="I411" t="str">
            <v>деп</v>
          </cell>
          <cell r="J411">
            <v>38317</v>
          </cell>
        </row>
        <row r="412">
          <cell r="A412">
            <v>58726118</v>
          </cell>
          <cell r="B412" t="str">
            <v>АГЕНТСТВО РЕФПЕРЕВОЗОК</v>
          </cell>
          <cell r="C412" t="str">
            <v>УССУРИЙСК    (ДВС)</v>
          </cell>
          <cell r="D412">
            <v>29952</v>
          </cell>
          <cell r="E412">
            <v>37529</v>
          </cell>
          <cell r="F412">
            <v>163</v>
          </cell>
          <cell r="G412">
            <v>34881</v>
          </cell>
          <cell r="H412">
            <v>0</v>
          </cell>
          <cell r="I412" t="str">
            <v>деп</v>
          </cell>
          <cell r="J412">
            <v>38260</v>
          </cell>
        </row>
        <row r="413">
          <cell r="A413">
            <v>58726126</v>
          </cell>
          <cell r="B413" t="str">
            <v>АГЕНТСТВО РЕФПЕРЕВОЗОК</v>
          </cell>
          <cell r="C413" t="str">
            <v>УССУРИЙСК    (ДВС)</v>
          </cell>
          <cell r="D413">
            <v>29952</v>
          </cell>
          <cell r="E413">
            <v>37529</v>
          </cell>
          <cell r="F413">
            <v>163</v>
          </cell>
          <cell r="G413">
            <v>34881</v>
          </cell>
          <cell r="H413">
            <v>0</v>
          </cell>
          <cell r="I413" t="str">
            <v>деп</v>
          </cell>
          <cell r="J413">
            <v>38260</v>
          </cell>
        </row>
        <row r="414">
          <cell r="A414">
            <v>58726134</v>
          </cell>
          <cell r="B414" t="str">
            <v>АГЕНТСТВО РЕФПЕРЕВОЗОК</v>
          </cell>
          <cell r="C414" t="str">
            <v>УССУРИЙСК    (ДВС)</v>
          </cell>
          <cell r="D414">
            <v>29952</v>
          </cell>
          <cell r="E414">
            <v>37536</v>
          </cell>
          <cell r="F414">
            <v>163</v>
          </cell>
          <cell r="G414">
            <v>34881</v>
          </cell>
          <cell r="H414">
            <v>0</v>
          </cell>
          <cell r="I414" t="str">
            <v>деп</v>
          </cell>
          <cell r="J414">
            <v>38267</v>
          </cell>
        </row>
        <row r="415">
          <cell r="A415">
            <v>58726142</v>
          </cell>
          <cell r="B415" t="str">
            <v>АГЕНТСТВО РЕФПЕРЕВОЗОК</v>
          </cell>
          <cell r="C415" t="str">
            <v>УССУРИЙСК    (ДВС)</v>
          </cell>
          <cell r="D415">
            <v>29983</v>
          </cell>
          <cell r="E415">
            <v>37433</v>
          </cell>
          <cell r="F415">
            <v>163</v>
          </cell>
          <cell r="G415">
            <v>34366</v>
          </cell>
          <cell r="H415">
            <v>0</v>
          </cell>
          <cell r="I415" t="str">
            <v>деп</v>
          </cell>
          <cell r="J415">
            <v>38164</v>
          </cell>
        </row>
        <row r="416">
          <cell r="A416">
            <v>58726159</v>
          </cell>
          <cell r="B416" t="str">
            <v>АГЕНТСТВО РЕФПЕРЕВОЗОК</v>
          </cell>
          <cell r="C416" t="str">
            <v>УССУРИЙСК    (ДВС)</v>
          </cell>
          <cell r="D416">
            <v>29983</v>
          </cell>
          <cell r="E416">
            <v>37433</v>
          </cell>
          <cell r="F416">
            <v>163</v>
          </cell>
          <cell r="G416">
            <v>34366</v>
          </cell>
          <cell r="H416">
            <v>0</v>
          </cell>
          <cell r="I416" t="str">
            <v>деп</v>
          </cell>
          <cell r="J416">
            <v>38164</v>
          </cell>
        </row>
        <row r="417">
          <cell r="A417">
            <v>58726167</v>
          </cell>
          <cell r="B417" t="str">
            <v>АГЕНТСТВО РЕФПЕРЕВОЗОК</v>
          </cell>
          <cell r="C417" t="str">
            <v>УССУРИЙСК    (ДВС)</v>
          </cell>
          <cell r="D417">
            <v>29983</v>
          </cell>
          <cell r="E417">
            <v>37433</v>
          </cell>
          <cell r="F417">
            <v>163</v>
          </cell>
          <cell r="G417">
            <v>34366</v>
          </cell>
          <cell r="H417">
            <v>0</v>
          </cell>
          <cell r="I417" t="str">
            <v>деп</v>
          </cell>
          <cell r="J417">
            <v>38164</v>
          </cell>
        </row>
        <row r="418">
          <cell r="A418">
            <v>58726175</v>
          </cell>
          <cell r="B418" t="str">
            <v>АГЕНТСТВО РЕФПЕРЕВОЗОК</v>
          </cell>
          <cell r="C418" t="str">
            <v>УССУРИЙСК    (ДВС)</v>
          </cell>
          <cell r="D418">
            <v>29983</v>
          </cell>
          <cell r="E418">
            <v>37433</v>
          </cell>
          <cell r="F418">
            <v>163</v>
          </cell>
          <cell r="G418">
            <v>34366</v>
          </cell>
          <cell r="H418">
            <v>0</v>
          </cell>
          <cell r="I418" t="str">
            <v>деп</v>
          </cell>
          <cell r="J418">
            <v>38164</v>
          </cell>
        </row>
        <row r="419">
          <cell r="A419">
            <v>58726183</v>
          </cell>
          <cell r="B419" t="str">
            <v>АГЕНТСТВО РЕФПЕРЕВОЗОК</v>
          </cell>
          <cell r="C419" t="str">
            <v>УССУРИЙСК    (ДВС)</v>
          </cell>
          <cell r="D419">
            <v>30072</v>
          </cell>
          <cell r="E419">
            <v>37370</v>
          </cell>
          <cell r="F419">
            <v>163</v>
          </cell>
          <cell r="G419">
            <v>35186</v>
          </cell>
          <cell r="H419">
            <v>0</v>
          </cell>
          <cell r="I419" t="str">
            <v>деп</v>
          </cell>
          <cell r="J419">
            <v>38101</v>
          </cell>
        </row>
        <row r="420">
          <cell r="A420">
            <v>58726209</v>
          </cell>
          <cell r="B420" t="str">
            <v>АГЕНТСТВО РЕФПЕРЕВОЗОК</v>
          </cell>
          <cell r="C420" t="str">
            <v>УССУРИЙСК    (ДВС)</v>
          </cell>
          <cell r="D420">
            <v>30072</v>
          </cell>
          <cell r="E420">
            <v>37370</v>
          </cell>
          <cell r="F420">
            <v>163</v>
          </cell>
          <cell r="G420">
            <v>35215</v>
          </cell>
          <cell r="H420">
            <v>75</v>
          </cell>
          <cell r="I420" t="str">
            <v>деп</v>
          </cell>
          <cell r="J420">
            <v>38101</v>
          </cell>
        </row>
        <row r="421">
          <cell r="A421">
            <v>58726217</v>
          </cell>
          <cell r="B421" t="str">
            <v>АГЕНТСТВО РЕФПЕРЕВОЗОК</v>
          </cell>
          <cell r="C421" t="str">
            <v>УССУРИЙСК    (ДВС)</v>
          </cell>
          <cell r="D421">
            <v>30072</v>
          </cell>
          <cell r="E421">
            <v>37370</v>
          </cell>
          <cell r="F421">
            <v>163</v>
          </cell>
          <cell r="G421">
            <v>35215</v>
          </cell>
          <cell r="H421">
            <v>75</v>
          </cell>
          <cell r="I421" t="str">
            <v>деп</v>
          </cell>
          <cell r="J421">
            <v>38101</v>
          </cell>
        </row>
        <row r="422">
          <cell r="A422">
            <v>58726225</v>
          </cell>
          <cell r="B422" t="str">
            <v>АГЕНТСТВО РЕФПЕРЕВОЗОК</v>
          </cell>
          <cell r="C422" t="str">
            <v>УССУРИЙСК    (ДВС)</v>
          </cell>
          <cell r="D422">
            <v>30072</v>
          </cell>
          <cell r="E422">
            <v>37370</v>
          </cell>
          <cell r="F422">
            <v>163</v>
          </cell>
          <cell r="G422">
            <v>35186</v>
          </cell>
          <cell r="H422">
            <v>0</v>
          </cell>
          <cell r="I422" t="str">
            <v>деп</v>
          </cell>
          <cell r="J422">
            <v>38101</v>
          </cell>
        </row>
        <row r="423">
          <cell r="A423">
            <v>58726233</v>
          </cell>
          <cell r="B423" t="str">
            <v>АГЕНТСТВО РЕФПЕРЕВОЗОК</v>
          </cell>
          <cell r="C423" t="str">
            <v>УССУРИЙСК    (ДВС)</v>
          </cell>
          <cell r="D423">
            <v>30072</v>
          </cell>
          <cell r="E423">
            <v>37610</v>
          </cell>
          <cell r="F423">
            <v>163</v>
          </cell>
          <cell r="G423">
            <v>35034</v>
          </cell>
          <cell r="H423">
            <v>0</v>
          </cell>
          <cell r="I423" t="str">
            <v>деп</v>
          </cell>
          <cell r="J423">
            <v>38341</v>
          </cell>
        </row>
        <row r="424">
          <cell r="A424">
            <v>58726241</v>
          </cell>
          <cell r="B424" t="str">
            <v>АГЕНТСТВО РЕФПЕРЕВОЗОК</v>
          </cell>
          <cell r="C424" t="str">
            <v>УССУРИЙСК    (ДВС)</v>
          </cell>
          <cell r="D424">
            <v>30072</v>
          </cell>
          <cell r="E424">
            <v>37610</v>
          </cell>
          <cell r="F424">
            <v>163</v>
          </cell>
          <cell r="G424">
            <v>35034</v>
          </cell>
          <cell r="H424">
            <v>0</v>
          </cell>
          <cell r="I424" t="str">
            <v>деп</v>
          </cell>
          <cell r="J424">
            <v>38341</v>
          </cell>
        </row>
        <row r="425">
          <cell r="A425">
            <v>58726258</v>
          </cell>
          <cell r="B425" t="str">
            <v>АГЕНТСТВО РЕФПЕРЕВОЗОК</v>
          </cell>
          <cell r="C425" t="str">
            <v>УССУРИЙСК    (ДВС)</v>
          </cell>
          <cell r="D425">
            <v>30072</v>
          </cell>
          <cell r="E425">
            <v>37610</v>
          </cell>
          <cell r="F425">
            <v>163</v>
          </cell>
          <cell r="G425">
            <v>35034</v>
          </cell>
          <cell r="H425">
            <v>0</v>
          </cell>
          <cell r="I425" t="str">
            <v>деп</v>
          </cell>
          <cell r="J425">
            <v>38341</v>
          </cell>
        </row>
        <row r="426">
          <cell r="A426">
            <v>58726266</v>
          </cell>
          <cell r="B426" t="str">
            <v>АГЕНТСТВО РЕФПЕРЕВОЗОК</v>
          </cell>
          <cell r="C426" t="str">
            <v>УССУРИЙСК    (ДВС)</v>
          </cell>
          <cell r="D426">
            <v>30072</v>
          </cell>
          <cell r="E426">
            <v>37610</v>
          </cell>
          <cell r="F426">
            <v>163</v>
          </cell>
          <cell r="G426">
            <v>35034</v>
          </cell>
          <cell r="H426">
            <v>0</v>
          </cell>
          <cell r="I426" t="str">
            <v>деп</v>
          </cell>
          <cell r="J426">
            <v>38341</v>
          </cell>
        </row>
        <row r="427">
          <cell r="A427">
            <v>58726274</v>
          </cell>
          <cell r="B427" t="str">
            <v>АГЕНТСТВО РЕФПЕРЕВОЗОК</v>
          </cell>
          <cell r="C427" t="str">
            <v>УССУРИЙСК    (ДВС)</v>
          </cell>
          <cell r="D427">
            <v>30133</v>
          </cell>
          <cell r="E427">
            <v>37618</v>
          </cell>
          <cell r="F427">
            <v>163</v>
          </cell>
          <cell r="G427">
            <v>34943</v>
          </cell>
          <cell r="H427">
            <v>0</v>
          </cell>
          <cell r="I427" t="str">
            <v>деп</v>
          </cell>
          <cell r="J427">
            <v>38349</v>
          </cell>
        </row>
        <row r="428">
          <cell r="A428">
            <v>58726282</v>
          </cell>
          <cell r="B428" t="str">
            <v>АГЕНТСТВО РЕФПЕРЕВОЗОК</v>
          </cell>
          <cell r="C428" t="str">
            <v>УССУРИЙСК    (ДВС)</v>
          </cell>
          <cell r="D428">
            <v>30133</v>
          </cell>
          <cell r="E428">
            <v>37618</v>
          </cell>
          <cell r="F428">
            <v>163</v>
          </cell>
          <cell r="G428">
            <v>34943</v>
          </cell>
          <cell r="H428">
            <v>0</v>
          </cell>
          <cell r="I428" t="str">
            <v>деп</v>
          </cell>
          <cell r="J428">
            <v>38349</v>
          </cell>
        </row>
        <row r="429">
          <cell r="A429">
            <v>58726308</v>
          </cell>
          <cell r="B429" t="str">
            <v>АГЕНТСТВО РЕФПЕРЕВОЗОК</v>
          </cell>
          <cell r="C429" t="str">
            <v>УССУРИЙСК    (ДВС)</v>
          </cell>
          <cell r="D429">
            <v>30133</v>
          </cell>
          <cell r="E429">
            <v>37618</v>
          </cell>
          <cell r="F429">
            <v>163</v>
          </cell>
          <cell r="G429">
            <v>34943</v>
          </cell>
          <cell r="H429">
            <v>0</v>
          </cell>
          <cell r="I429" t="str">
            <v>деп</v>
          </cell>
          <cell r="J429">
            <v>38349</v>
          </cell>
        </row>
        <row r="430">
          <cell r="A430">
            <v>58726316</v>
          </cell>
          <cell r="B430" t="str">
            <v>АГЕНТСТВО РЕФПЕРЕВОЗОК</v>
          </cell>
          <cell r="C430" t="str">
            <v>УССУРИЙСК    (ДВС)</v>
          </cell>
          <cell r="D430">
            <v>30133</v>
          </cell>
          <cell r="E430">
            <v>37618</v>
          </cell>
          <cell r="F430">
            <v>163</v>
          </cell>
          <cell r="G430">
            <v>34943</v>
          </cell>
          <cell r="H430">
            <v>0</v>
          </cell>
          <cell r="I430" t="str">
            <v>деп</v>
          </cell>
          <cell r="J430">
            <v>38349</v>
          </cell>
        </row>
        <row r="431">
          <cell r="A431">
            <v>58726324</v>
          </cell>
          <cell r="B431" t="str">
            <v>АГЕНТСТВО РЕФПЕРЕВОЗОК</v>
          </cell>
          <cell r="C431" t="str">
            <v>УССУРИЙСК    (ДВС)</v>
          </cell>
          <cell r="D431">
            <v>30133</v>
          </cell>
          <cell r="E431">
            <v>37315</v>
          </cell>
          <cell r="F431">
            <v>163</v>
          </cell>
          <cell r="G431">
            <v>34820</v>
          </cell>
          <cell r="H431">
            <v>0</v>
          </cell>
          <cell r="I431" t="str">
            <v>деп</v>
          </cell>
          <cell r="J431">
            <v>38045</v>
          </cell>
        </row>
        <row r="432">
          <cell r="A432">
            <v>58726332</v>
          </cell>
          <cell r="B432" t="str">
            <v>АГЕНТСТВО РЕФПЕРЕВОЗОК</v>
          </cell>
          <cell r="C432" t="str">
            <v>УССУРИЙСК    (ДВС)</v>
          </cell>
          <cell r="D432">
            <v>30133</v>
          </cell>
          <cell r="E432">
            <v>37315</v>
          </cell>
          <cell r="F432">
            <v>163</v>
          </cell>
          <cell r="G432">
            <v>34820</v>
          </cell>
          <cell r="H432">
            <v>0</v>
          </cell>
          <cell r="I432" t="str">
            <v>деп</v>
          </cell>
          <cell r="J432">
            <v>38045</v>
          </cell>
        </row>
        <row r="433">
          <cell r="A433">
            <v>58726340</v>
          </cell>
          <cell r="B433" t="str">
            <v>АГЕНТСТВО РЕФПЕРЕВОЗОК</v>
          </cell>
          <cell r="C433" t="str">
            <v>УССУРИЙСК    (ДВС)</v>
          </cell>
          <cell r="D433">
            <v>30133</v>
          </cell>
          <cell r="E433">
            <v>37885</v>
          </cell>
          <cell r="F433">
            <v>557</v>
          </cell>
          <cell r="G433">
            <v>34820</v>
          </cell>
          <cell r="H433">
            <v>0</v>
          </cell>
          <cell r="I433" t="str">
            <v>деп</v>
          </cell>
          <cell r="J433">
            <v>38312</v>
          </cell>
        </row>
        <row r="434">
          <cell r="A434">
            <v>58726357</v>
          </cell>
          <cell r="B434" t="str">
            <v>АГЕНТСТВО РЕФПЕРЕВОЗОК</v>
          </cell>
          <cell r="C434" t="str">
            <v>УССУРИЙСК    (ДВС)</v>
          </cell>
          <cell r="D434">
            <v>30133</v>
          </cell>
          <cell r="E434">
            <v>37315</v>
          </cell>
          <cell r="F434">
            <v>163</v>
          </cell>
          <cell r="G434">
            <v>34820</v>
          </cell>
          <cell r="H434">
            <v>0</v>
          </cell>
          <cell r="I434" t="str">
            <v>деп</v>
          </cell>
          <cell r="J434">
            <v>38045</v>
          </cell>
        </row>
        <row r="435">
          <cell r="A435">
            <v>58729880</v>
          </cell>
          <cell r="B435" t="str">
            <v>АГЕНТСТВО РЕФПЕРЕВОЗОК</v>
          </cell>
          <cell r="C435" t="str">
            <v>ХОВРИНО      (ОКТ)</v>
          </cell>
          <cell r="D435">
            <v>32509</v>
          </cell>
          <cell r="E435">
            <v>37847</v>
          </cell>
          <cell r="F435">
            <v>557</v>
          </cell>
          <cell r="H435">
            <v>0</v>
          </cell>
          <cell r="I435" t="str">
            <v>кап</v>
          </cell>
          <cell r="J435">
            <v>38397</v>
          </cell>
        </row>
        <row r="436">
          <cell r="A436">
            <v>58729906</v>
          </cell>
          <cell r="B436" t="str">
            <v>АГЕНТСТВО РЕФПЕРЕВОЗОК</v>
          </cell>
          <cell r="C436" t="str">
            <v>ХОВРИНО      (ОКТ)</v>
          </cell>
          <cell r="D436">
            <v>32509</v>
          </cell>
          <cell r="E436">
            <v>37833</v>
          </cell>
          <cell r="F436">
            <v>163</v>
          </cell>
          <cell r="H436">
            <v>0</v>
          </cell>
          <cell r="I436" t="str">
            <v>кап</v>
          </cell>
          <cell r="J436">
            <v>38383</v>
          </cell>
        </row>
        <row r="437">
          <cell r="A437">
            <v>58729930</v>
          </cell>
          <cell r="B437" t="str">
            <v>АГЕНТСТВО РЕФПЕРЕВОЗОК</v>
          </cell>
          <cell r="C437" t="str">
            <v>ХОВРИНО      (ОКТ)</v>
          </cell>
          <cell r="D437">
            <v>32509</v>
          </cell>
          <cell r="E437">
            <v>37859</v>
          </cell>
          <cell r="F437">
            <v>886</v>
          </cell>
          <cell r="H437">
            <v>0</v>
          </cell>
          <cell r="I437" t="str">
            <v>кап</v>
          </cell>
          <cell r="J437">
            <v>38409</v>
          </cell>
        </row>
        <row r="438">
          <cell r="A438">
            <v>58729948</v>
          </cell>
          <cell r="B438" t="str">
            <v>АГЕНТСТВО РЕФПЕРЕВОЗОК</v>
          </cell>
          <cell r="C438" t="str">
            <v>ХОВРИНО      (ОКТ)</v>
          </cell>
          <cell r="D438">
            <v>32509</v>
          </cell>
          <cell r="E438">
            <v>37859</v>
          </cell>
          <cell r="F438">
            <v>886</v>
          </cell>
          <cell r="H438">
            <v>0</v>
          </cell>
          <cell r="I438" t="str">
            <v>кап</v>
          </cell>
          <cell r="J438">
            <v>38409</v>
          </cell>
        </row>
        <row r="439">
          <cell r="A439">
            <v>58729955</v>
          </cell>
          <cell r="B439" t="str">
            <v>АГЕНТСТВО РЕФПЕРЕВОЗОК</v>
          </cell>
          <cell r="C439" t="str">
            <v>ХОВРИНО      (ОКТ)</v>
          </cell>
          <cell r="D439">
            <v>32509</v>
          </cell>
          <cell r="E439">
            <v>37833</v>
          </cell>
          <cell r="F439">
            <v>163</v>
          </cell>
          <cell r="H439">
            <v>0</v>
          </cell>
          <cell r="I439" t="str">
            <v>кап</v>
          </cell>
          <cell r="J439">
            <v>38383</v>
          </cell>
        </row>
        <row r="440">
          <cell r="A440">
            <v>58729963</v>
          </cell>
          <cell r="B440" t="str">
            <v>АГЕНТСТВО РЕФПЕРЕВОЗОК</v>
          </cell>
          <cell r="C440" t="str">
            <v>ХОВРИНО      (ОКТ)</v>
          </cell>
          <cell r="D440">
            <v>32509</v>
          </cell>
          <cell r="E440">
            <v>37859</v>
          </cell>
          <cell r="F440">
            <v>886</v>
          </cell>
          <cell r="H440">
            <v>0</v>
          </cell>
          <cell r="I440" t="str">
            <v>кап</v>
          </cell>
          <cell r="J440">
            <v>38409</v>
          </cell>
        </row>
        <row r="441">
          <cell r="A441">
            <v>58729971</v>
          </cell>
          <cell r="B441" t="str">
            <v>АГЕНТСТВО РЕФПЕРЕВОЗОК</v>
          </cell>
          <cell r="C441" t="str">
            <v>ХОВРИНО      (ОКТ)</v>
          </cell>
          <cell r="D441">
            <v>32509</v>
          </cell>
          <cell r="E441">
            <v>37833</v>
          </cell>
          <cell r="F441">
            <v>163</v>
          </cell>
          <cell r="H441">
            <v>0</v>
          </cell>
          <cell r="I441" t="str">
            <v>кап</v>
          </cell>
          <cell r="J441">
            <v>38383</v>
          </cell>
        </row>
        <row r="442">
          <cell r="A442">
            <v>58729989</v>
          </cell>
          <cell r="B442" t="str">
            <v>АГЕНТСТВО РЕФПЕРЕВОЗОК</v>
          </cell>
          <cell r="C442" t="str">
            <v>ХОВРИНО      (ОКТ)</v>
          </cell>
          <cell r="D442">
            <v>32509</v>
          </cell>
          <cell r="E442">
            <v>37845</v>
          </cell>
          <cell r="F442">
            <v>557</v>
          </cell>
          <cell r="H442">
            <v>0</v>
          </cell>
          <cell r="I442" t="str">
            <v>кап</v>
          </cell>
          <cell r="J442">
            <v>38395</v>
          </cell>
        </row>
        <row r="443">
          <cell r="A443">
            <v>58731449</v>
          </cell>
          <cell r="B443" t="str">
            <v>АГЕНТСТВО РЕФПЕРЕВОЗОК</v>
          </cell>
          <cell r="C443" t="str">
            <v>ХОВРИНО      (ОКТ)</v>
          </cell>
          <cell r="D443">
            <v>32660</v>
          </cell>
          <cell r="E443">
            <v>37799</v>
          </cell>
          <cell r="F443">
            <v>492</v>
          </cell>
          <cell r="H443">
            <v>0</v>
          </cell>
          <cell r="I443" t="str">
            <v>деп</v>
          </cell>
          <cell r="J443">
            <v>38348</v>
          </cell>
        </row>
        <row r="444">
          <cell r="A444">
            <v>58731456</v>
          </cell>
          <cell r="B444" t="str">
            <v>АГЕНТСТВО РЕФПЕРЕВОЗОК</v>
          </cell>
          <cell r="C444" t="str">
            <v>ХОВРИНО      (ОКТ)</v>
          </cell>
          <cell r="D444">
            <v>32660</v>
          </cell>
          <cell r="E444">
            <v>37799</v>
          </cell>
          <cell r="F444">
            <v>492</v>
          </cell>
          <cell r="H444">
            <v>0</v>
          </cell>
          <cell r="I444" t="str">
            <v>деп</v>
          </cell>
          <cell r="J444">
            <v>38348</v>
          </cell>
        </row>
        <row r="445">
          <cell r="A445">
            <v>58731464</v>
          </cell>
          <cell r="B445" t="str">
            <v>АГЕНТСТВО РЕФПЕРЕВОЗОК</v>
          </cell>
          <cell r="C445" t="str">
            <v>ХОВРИНО      (ОКТ)</v>
          </cell>
          <cell r="D445">
            <v>32660</v>
          </cell>
          <cell r="E445">
            <v>37799</v>
          </cell>
          <cell r="F445">
            <v>492</v>
          </cell>
          <cell r="H445">
            <v>0</v>
          </cell>
          <cell r="I445" t="str">
            <v>деп</v>
          </cell>
          <cell r="J445">
            <v>38348</v>
          </cell>
        </row>
        <row r="446">
          <cell r="A446">
            <v>58731472</v>
          </cell>
          <cell r="B446" t="str">
            <v>АГЕНТСТВО РЕФПЕРЕВОЗОК</v>
          </cell>
          <cell r="C446" t="str">
            <v>ХОВРИНО      (ОКТ)</v>
          </cell>
          <cell r="D446">
            <v>32660</v>
          </cell>
          <cell r="E446">
            <v>37799</v>
          </cell>
          <cell r="F446">
            <v>492</v>
          </cell>
          <cell r="H446">
            <v>0</v>
          </cell>
          <cell r="I446" t="str">
            <v>деп</v>
          </cell>
          <cell r="J446">
            <v>38348</v>
          </cell>
        </row>
        <row r="447">
          <cell r="A447">
            <v>58732207</v>
          </cell>
          <cell r="B447" t="str">
            <v>АГЕНТСТВО РЕФПЕРЕВОЗОК</v>
          </cell>
          <cell r="C447" t="str">
            <v>ХОВРИНО      (ОКТ)</v>
          </cell>
          <cell r="D447">
            <v>32629</v>
          </cell>
          <cell r="E447">
            <v>37857</v>
          </cell>
          <cell r="F447">
            <v>492</v>
          </cell>
          <cell r="H447">
            <v>0</v>
          </cell>
          <cell r="I447" t="str">
            <v>деп</v>
          </cell>
          <cell r="J447">
            <v>38407</v>
          </cell>
        </row>
        <row r="448">
          <cell r="A448">
            <v>58732215</v>
          </cell>
          <cell r="B448" t="str">
            <v>АГЕНТСТВО РЕФПЕРЕВОЗОК</v>
          </cell>
          <cell r="C448" t="str">
            <v>ХОВРИНО      (ОКТ)</v>
          </cell>
          <cell r="D448">
            <v>32629</v>
          </cell>
          <cell r="E448">
            <v>37857</v>
          </cell>
          <cell r="F448">
            <v>492</v>
          </cell>
          <cell r="H448">
            <v>0</v>
          </cell>
          <cell r="I448" t="str">
            <v>деп</v>
          </cell>
          <cell r="J448">
            <v>38407</v>
          </cell>
        </row>
        <row r="449">
          <cell r="A449">
            <v>58732223</v>
          </cell>
          <cell r="B449" t="str">
            <v>АГЕНТСТВО РЕФПЕРЕВОЗОК</v>
          </cell>
          <cell r="C449" t="str">
            <v>ХОВРИНО      (ОКТ)</v>
          </cell>
          <cell r="D449">
            <v>32629</v>
          </cell>
          <cell r="E449">
            <v>37857</v>
          </cell>
          <cell r="F449">
            <v>492</v>
          </cell>
          <cell r="H449">
            <v>0</v>
          </cell>
          <cell r="I449" t="str">
            <v>деп</v>
          </cell>
          <cell r="J449">
            <v>38407</v>
          </cell>
        </row>
        <row r="450">
          <cell r="A450">
            <v>58732231</v>
          </cell>
          <cell r="B450" t="str">
            <v>АГЕНТСТВО РЕФПЕРЕВОЗОК</v>
          </cell>
          <cell r="C450" t="str">
            <v>ХОВРИНО      (ОКТ)</v>
          </cell>
          <cell r="D450">
            <v>32629</v>
          </cell>
          <cell r="E450">
            <v>37857</v>
          </cell>
          <cell r="F450">
            <v>492</v>
          </cell>
          <cell r="H450">
            <v>0</v>
          </cell>
          <cell r="I450" t="str">
            <v>деп</v>
          </cell>
          <cell r="J450">
            <v>38407</v>
          </cell>
        </row>
        <row r="451">
          <cell r="B451" t="str">
            <v>АГЕНТСТВО РЕФПЕРЕВОЗОК Количество</v>
          </cell>
          <cell r="D451">
            <v>293</v>
          </cell>
        </row>
        <row r="452">
          <cell r="A452">
            <v>53702551</v>
          </cell>
          <cell r="B452" t="str">
            <v>АДМИНИСТРАЦИЯ ПУРОВСК.Р-НА</v>
          </cell>
          <cell r="C452" t="str">
            <v>КОРОТЧАЕВО   (СВР)</v>
          </cell>
          <cell r="D452">
            <v>33926</v>
          </cell>
          <cell r="F452">
            <v>0</v>
          </cell>
          <cell r="H452">
            <v>0</v>
          </cell>
          <cell r="I452" t="str">
            <v>деп</v>
          </cell>
          <cell r="J452">
            <v>34837</v>
          </cell>
        </row>
        <row r="453">
          <cell r="A453">
            <v>58721283</v>
          </cell>
          <cell r="B453" t="str">
            <v>АДМИНИСТРАЦИЯ ПУРОВСК.Р-НА</v>
          </cell>
          <cell r="C453" t="str">
            <v>КОРОТЧАЕВО   (СВР)</v>
          </cell>
          <cell r="D453">
            <v>33994</v>
          </cell>
          <cell r="F453">
            <v>0</v>
          </cell>
          <cell r="H453">
            <v>0</v>
          </cell>
          <cell r="I453" t="str">
            <v>деп</v>
          </cell>
          <cell r="J453">
            <v>34905</v>
          </cell>
        </row>
        <row r="454">
          <cell r="A454">
            <v>58721309</v>
          </cell>
          <cell r="B454" t="str">
            <v>АДМИНИСТРАЦИЯ ПУРОВСК.Р-НА</v>
          </cell>
          <cell r="C454" t="str">
            <v>КОРОТЧАЕВО   (СВР)</v>
          </cell>
          <cell r="D454">
            <v>33998</v>
          </cell>
          <cell r="F454">
            <v>0</v>
          </cell>
          <cell r="H454">
            <v>0</v>
          </cell>
          <cell r="I454" t="str">
            <v>деп</v>
          </cell>
          <cell r="J454">
            <v>34909</v>
          </cell>
        </row>
        <row r="455">
          <cell r="A455">
            <v>58721317</v>
          </cell>
          <cell r="B455" t="str">
            <v>АДМИНИСТРАЦИЯ ПУРОВСК.Р-НА</v>
          </cell>
          <cell r="C455" t="str">
            <v>КОРОТЧАЕВО   (СВР)</v>
          </cell>
          <cell r="D455">
            <v>34011</v>
          </cell>
          <cell r="F455">
            <v>0</v>
          </cell>
          <cell r="H455">
            <v>0</v>
          </cell>
          <cell r="I455" t="str">
            <v>деп</v>
          </cell>
          <cell r="J455">
            <v>34922</v>
          </cell>
        </row>
        <row r="456">
          <cell r="A456">
            <v>58721325</v>
          </cell>
          <cell r="B456" t="str">
            <v>АДМИНИСТРАЦИЯ ПУРОВСК.Р-НА</v>
          </cell>
          <cell r="C456" t="str">
            <v>КОРОТЧАЕВО   (СВР)</v>
          </cell>
          <cell r="D456">
            <v>34011</v>
          </cell>
          <cell r="F456">
            <v>0</v>
          </cell>
          <cell r="H456">
            <v>0</v>
          </cell>
          <cell r="I456" t="str">
            <v>деп</v>
          </cell>
          <cell r="J456">
            <v>34922</v>
          </cell>
        </row>
        <row r="457">
          <cell r="B457" t="str">
            <v>АДМИНИСТРАЦИЯ ПУРОВСК.Р-НА Количество</v>
          </cell>
          <cell r="D457">
            <v>5</v>
          </cell>
        </row>
        <row r="458">
          <cell r="A458">
            <v>53700910</v>
          </cell>
          <cell r="B458" t="str">
            <v>АЗОВЧЕРАВТОДОРОГА ФД УПТК</v>
          </cell>
          <cell r="C458" t="str">
            <v>ДИНСКАЯ      (СКВ)</v>
          </cell>
          <cell r="D458">
            <v>24624</v>
          </cell>
          <cell r="E458">
            <v>35643</v>
          </cell>
          <cell r="F458">
            <v>0</v>
          </cell>
          <cell r="G458">
            <v>33420</v>
          </cell>
          <cell r="H458">
            <v>0</v>
          </cell>
          <cell r="I458" t="str">
            <v>деп</v>
          </cell>
          <cell r="J458">
            <v>36739</v>
          </cell>
        </row>
        <row r="459">
          <cell r="B459" t="str">
            <v>АЗОВЧЕРАВТОДОРОГА ФД УПТК Количество</v>
          </cell>
          <cell r="D459">
            <v>1</v>
          </cell>
        </row>
        <row r="460">
          <cell r="A460">
            <v>58331885</v>
          </cell>
          <cell r="B460" t="str">
            <v>АЛТАЙХИМПРОМ СЛАВГОРОД.ПО</v>
          </cell>
          <cell r="C460" t="str">
            <v>СЛАВГОРОД    (ЗСБ)</v>
          </cell>
          <cell r="D460">
            <v>28872</v>
          </cell>
          <cell r="E460">
            <v>35725</v>
          </cell>
          <cell r="G460">
            <v>33343</v>
          </cell>
          <cell r="I460" t="str">
            <v>деп</v>
          </cell>
          <cell r="J460">
            <v>36455</v>
          </cell>
        </row>
        <row r="461">
          <cell r="A461">
            <v>58331893</v>
          </cell>
          <cell r="B461" t="str">
            <v>АЛТАЙХИМПРОМ СЛАВГОРОД.ПО</v>
          </cell>
          <cell r="C461" t="str">
            <v>СЛАВГОРОД    (ЗСБ)</v>
          </cell>
          <cell r="D461">
            <v>28872</v>
          </cell>
          <cell r="E461">
            <v>36627</v>
          </cell>
          <cell r="G461">
            <v>37103</v>
          </cell>
          <cell r="H461">
            <v>609</v>
          </cell>
          <cell r="I461" t="str">
            <v>деп</v>
          </cell>
          <cell r="J461">
            <v>37833</v>
          </cell>
        </row>
        <row r="462">
          <cell r="A462">
            <v>58331901</v>
          </cell>
          <cell r="B462" t="str">
            <v>АЛТАЙХИМПРОМ СЛАВГОРОД.ПО</v>
          </cell>
          <cell r="C462" t="str">
            <v>СЛАВГОРОД    (ЗСБ)</v>
          </cell>
          <cell r="D462">
            <v>23667</v>
          </cell>
          <cell r="E462">
            <v>34421</v>
          </cell>
          <cell r="I462" t="str">
            <v>деп</v>
          </cell>
          <cell r="J462">
            <v>35152</v>
          </cell>
        </row>
        <row r="463">
          <cell r="B463" t="str">
            <v>АЛТАЙХИМПРОМ СЛАВГОРОД.ПО Количество</v>
          </cell>
          <cell r="D463">
            <v>3</v>
          </cell>
        </row>
        <row r="464">
          <cell r="A464">
            <v>58000019</v>
          </cell>
          <cell r="B464" t="str">
            <v>АЛЬТАИР-ТРЕЙД</v>
          </cell>
          <cell r="C464" t="str">
            <v>НОВОСИБ-ВОСТ (ЗСБ)</v>
          </cell>
          <cell r="D464">
            <v>32724</v>
          </cell>
          <cell r="F464">
            <v>0</v>
          </cell>
          <cell r="G464">
            <v>37497</v>
          </cell>
          <cell r="H464">
            <v>626</v>
          </cell>
          <cell r="I464" t="str">
            <v>деп</v>
          </cell>
          <cell r="J464">
            <v>38228</v>
          </cell>
        </row>
        <row r="465">
          <cell r="B465" t="str">
            <v>АЛЬТАИР-ТРЕЙД Количество</v>
          </cell>
          <cell r="D465">
            <v>1</v>
          </cell>
        </row>
        <row r="466">
          <cell r="A466">
            <v>53702643</v>
          </cell>
          <cell r="B466" t="str">
            <v>АЛЬФА-БЛОК</v>
          </cell>
          <cell r="C466" t="str">
            <v>БЫКОВО       (МСK)</v>
          </cell>
          <cell r="D466">
            <v>25934</v>
          </cell>
          <cell r="E466">
            <v>37566</v>
          </cell>
          <cell r="F466">
            <v>350</v>
          </cell>
          <cell r="G466">
            <v>35725</v>
          </cell>
          <cell r="H466">
            <v>0</v>
          </cell>
          <cell r="I466" t="str">
            <v>деп</v>
          </cell>
          <cell r="J466">
            <v>38297</v>
          </cell>
        </row>
        <row r="467">
          <cell r="B467" t="str">
            <v>АЛЬФА-БЛОК Количество</v>
          </cell>
          <cell r="D467">
            <v>1</v>
          </cell>
        </row>
        <row r="468">
          <cell r="A468">
            <v>53700555</v>
          </cell>
          <cell r="B468" t="str">
            <v>АНГАРСТРОЙ  ТРАНССТРОЯ</v>
          </cell>
          <cell r="C468" t="str">
            <v>ГИДРОСТРОИТ. (ВСБ)</v>
          </cell>
          <cell r="D468">
            <v>28126</v>
          </cell>
          <cell r="E468">
            <v>35595</v>
          </cell>
          <cell r="G468">
            <v>35551</v>
          </cell>
          <cell r="I468" t="str">
            <v>деп</v>
          </cell>
          <cell r="J468">
            <v>36691</v>
          </cell>
        </row>
        <row r="469">
          <cell r="A469">
            <v>53700563</v>
          </cell>
          <cell r="B469" t="str">
            <v>АНГАРСТРОЙ  ТРАНССТРОЯ</v>
          </cell>
          <cell r="C469" t="str">
            <v>ГИДРОСТРОИТ. (ВСБ)</v>
          </cell>
          <cell r="D469">
            <v>31778</v>
          </cell>
          <cell r="E469">
            <v>36373</v>
          </cell>
          <cell r="F469">
            <v>0</v>
          </cell>
          <cell r="G469">
            <v>35735</v>
          </cell>
          <cell r="H469">
            <v>179</v>
          </cell>
          <cell r="I469" t="str">
            <v>деп</v>
          </cell>
          <cell r="J469">
            <v>37469</v>
          </cell>
        </row>
        <row r="470">
          <cell r="A470">
            <v>53700571</v>
          </cell>
          <cell r="B470" t="str">
            <v>АНГАРСТРОЙ  ТРАНССТРОЯ</v>
          </cell>
          <cell r="C470" t="str">
            <v>ГИДРОСТРОИТ. (ВСБ)</v>
          </cell>
          <cell r="D470">
            <v>31778</v>
          </cell>
          <cell r="E470">
            <v>36495</v>
          </cell>
          <cell r="F470">
            <v>0</v>
          </cell>
          <cell r="G470">
            <v>35462</v>
          </cell>
          <cell r="H470">
            <v>0</v>
          </cell>
          <cell r="I470" t="str">
            <v>деп</v>
          </cell>
          <cell r="J470">
            <v>37591</v>
          </cell>
        </row>
        <row r="471">
          <cell r="A471">
            <v>53700589</v>
          </cell>
          <cell r="B471" t="str">
            <v>АНГАРСТРОЙ  ТРАНССТРОЯ</v>
          </cell>
          <cell r="C471" t="str">
            <v>ГИДРОСТРОИТ. (ВСБ)</v>
          </cell>
          <cell r="D471">
            <v>32874</v>
          </cell>
          <cell r="E471">
            <v>35595</v>
          </cell>
          <cell r="G471">
            <v>35551</v>
          </cell>
          <cell r="I471" t="str">
            <v>деп</v>
          </cell>
          <cell r="J471">
            <v>36691</v>
          </cell>
        </row>
        <row r="472">
          <cell r="B472" t="str">
            <v>АНГАРСТРОЙ  ТРАНССТРОЯ Количество</v>
          </cell>
          <cell r="D472">
            <v>4</v>
          </cell>
        </row>
        <row r="473">
          <cell r="A473">
            <v>53702650</v>
          </cell>
          <cell r="B473" t="str">
            <v>АППАРЕЛЬ-2000</v>
          </cell>
          <cell r="C473" t="str">
            <v>ЛОСИНООСТРОВ (МСK)</v>
          </cell>
          <cell r="D473">
            <v>25934</v>
          </cell>
          <cell r="E473">
            <v>37544</v>
          </cell>
          <cell r="F473">
            <v>350</v>
          </cell>
          <cell r="G473">
            <v>34501</v>
          </cell>
          <cell r="I473" t="str">
            <v>деп</v>
          </cell>
          <cell r="J473">
            <v>38640</v>
          </cell>
        </row>
        <row r="474">
          <cell r="A474">
            <v>53702668</v>
          </cell>
          <cell r="B474" t="str">
            <v>АППАРЕЛЬ-2000</v>
          </cell>
          <cell r="C474" t="str">
            <v>ЛОСИНООСТРОВ (МСK)</v>
          </cell>
          <cell r="D474">
            <v>25934</v>
          </cell>
          <cell r="E474">
            <v>37718</v>
          </cell>
          <cell r="F474">
            <v>350</v>
          </cell>
          <cell r="G474">
            <v>35655</v>
          </cell>
          <cell r="I474" t="str">
            <v>деп</v>
          </cell>
          <cell r="J474">
            <v>38814</v>
          </cell>
        </row>
        <row r="475">
          <cell r="B475" t="str">
            <v>АППАРЕЛЬ-2000 Количество</v>
          </cell>
          <cell r="D475">
            <v>2</v>
          </cell>
        </row>
        <row r="476">
          <cell r="A476">
            <v>53700951</v>
          </cell>
          <cell r="B476" t="str">
            <v>АРТЕЛЬ СТАРАТЕЛЕЙ АМУР</v>
          </cell>
          <cell r="C476" t="str">
            <v>ХАБАРОВСК 2  (ДВС)</v>
          </cell>
          <cell r="D476">
            <v>33087</v>
          </cell>
          <cell r="E476">
            <v>37798</v>
          </cell>
          <cell r="F476">
            <v>163</v>
          </cell>
          <cell r="H476">
            <v>0</v>
          </cell>
          <cell r="I476" t="str">
            <v>деп</v>
          </cell>
          <cell r="J476">
            <v>38347</v>
          </cell>
        </row>
        <row r="477">
          <cell r="A477">
            <v>53701025</v>
          </cell>
          <cell r="B477" t="str">
            <v>АРТЕЛЬ СТАРАТЕЛЕЙ АМУР</v>
          </cell>
          <cell r="C477" t="str">
            <v>ХАБАРОВСК 2  (ДВС)</v>
          </cell>
          <cell r="D477">
            <v>33428</v>
          </cell>
          <cell r="E477">
            <v>37980</v>
          </cell>
          <cell r="F477">
            <v>163</v>
          </cell>
          <cell r="H477">
            <v>0</v>
          </cell>
          <cell r="I477" t="str">
            <v>деп</v>
          </cell>
          <cell r="J477">
            <v>38528</v>
          </cell>
        </row>
        <row r="478">
          <cell r="A478">
            <v>58725300</v>
          </cell>
          <cell r="B478" t="str">
            <v>АРТЕЛЬ СТАРАТЕЛЕЙ АМУР</v>
          </cell>
          <cell r="C478" t="str">
            <v>ХАБАРОВСК 2  (ДВС)</v>
          </cell>
          <cell r="D478">
            <v>32539</v>
          </cell>
          <cell r="E478">
            <v>37798</v>
          </cell>
          <cell r="F478">
            <v>163</v>
          </cell>
          <cell r="H478">
            <v>0</v>
          </cell>
          <cell r="I478" t="str">
            <v>деп</v>
          </cell>
          <cell r="J478">
            <v>38347</v>
          </cell>
        </row>
        <row r="479">
          <cell r="A479">
            <v>58725318</v>
          </cell>
          <cell r="B479" t="str">
            <v>АРТЕЛЬ СТАРАТЕЛЕЙ АМУР</v>
          </cell>
          <cell r="C479" t="str">
            <v>ХАБАРОВСК 2  (ДВС)</v>
          </cell>
          <cell r="D479">
            <v>32539</v>
          </cell>
          <cell r="E479">
            <v>37798</v>
          </cell>
          <cell r="F479">
            <v>163</v>
          </cell>
          <cell r="H479">
            <v>0</v>
          </cell>
          <cell r="I479" t="str">
            <v>деп</v>
          </cell>
          <cell r="J479">
            <v>38347</v>
          </cell>
        </row>
        <row r="480">
          <cell r="A480">
            <v>58725326</v>
          </cell>
          <cell r="B480" t="str">
            <v>АРТЕЛЬ СТАРАТЕЛЕЙ АМУР</v>
          </cell>
          <cell r="C480" t="str">
            <v>ХАБАРОВСК 2  (ДВС)</v>
          </cell>
          <cell r="D480">
            <v>32930</v>
          </cell>
          <cell r="E480">
            <v>37798</v>
          </cell>
          <cell r="F480">
            <v>163</v>
          </cell>
          <cell r="H480">
            <v>0</v>
          </cell>
          <cell r="I480" t="str">
            <v>деп</v>
          </cell>
          <cell r="J480">
            <v>38347</v>
          </cell>
        </row>
        <row r="481">
          <cell r="A481">
            <v>58725334</v>
          </cell>
          <cell r="B481" t="str">
            <v>АРТЕЛЬ СТАРАТЕЛЕЙ АМУР</v>
          </cell>
          <cell r="C481" t="str">
            <v>ХАБАРОВСК 2  (ДВС)</v>
          </cell>
          <cell r="D481">
            <v>32919</v>
          </cell>
          <cell r="E481">
            <v>37798</v>
          </cell>
          <cell r="F481">
            <v>163</v>
          </cell>
          <cell r="H481">
            <v>0</v>
          </cell>
          <cell r="I481" t="str">
            <v>деп</v>
          </cell>
          <cell r="J481">
            <v>38347</v>
          </cell>
        </row>
        <row r="482">
          <cell r="A482">
            <v>58729450</v>
          </cell>
          <cell r="B482" t="str">
            <v>АРТЕЛЬ СТАРАТЕЛЕЙ АМУР</v>
          </cell>
          <cell r="C482" t="str">
            <v>ХАБАРОВСК 2  (ДВС)</v>
          </cell>
          <cell r="D482">
            <v>33428</v>
          </cell>
          <cell r="E482">
            <v>37980</v>
          </cell>
          <cell r="F482">
            <v>163</v>
          </cell>
          <cell r="H482">
            <v>0</v>
          </cell>
          <cell r="I482" t="str">
            <v>деп</v>
          </cell>
          <cell r="J482">
            <v>38528</v>
          </cell>
        </row>
        <row r="483">
          <cell r="A483">
            <v>58729468</v>
          </cell>
          <cell r="B483" t="str">
            <v>АРТЕЛЬ СТАРАТЕЛЕЙ АМУР</v>
          </cell>
          <cell r="C483" t="str">
            <v>ХАБАРОВСК 2  (ДВС)</v>
          </cell>
          <cell r="D483">
            <v>33448</v>
          </cell>
          <cell r="E483">
            <v>37980</v>
          </cell>
          <cell r="F483">
            <v>163</v>
          </cell>
          <cell r="H483">
            <v>0</v>
          </cell>
          <cell r="I483" t="str">
            <v>деп</v>
          </cell>
          <cell r="J483">
            <v>38528</v>
          </cell>
        </row>
        <row r="484">
          <cell r="A484">
            <v>58729476</v>
          </cell>
          <cell r="B484" t="str">
            <v>АРТЕЛЬ СТАРАТЕЛЕЙ АМУР</v>
          </cell>
          <cell r="C484" t="str">
            <v>ХАБАРОВСК 2  (ДВС)</v>
          </cell>
          <cell r="D484">
            <v>33430</v>
          </cell>
          <cell r="E484">
            <v>37980</v>
          </cell>
          <cell r="F484">
            <v>163</v>
          </cell>
          <cell r="H484">
            <v>0</v>
          </cell>
          <cell r="I484" t="str">
            <v>деп</v>
          </cell>
          <cell r="J484">
            <v>38528</v>
          </cell>
        </row>
        <row r="485">
          <cell r="A485">
            <v>58729484</v>
          </cell>
          <cell r="B485" t="str">
            <v>АРТЕЛЬ СТАРАТЕЛЕЙ АМУР</v>
          </cell>
          <cell r="C485" t="str">
            <v>ХАБАРОВСК 2  (ДВС)</v>
          </cell>
          <cell r="D485">
            <v>33429</v>
          </cell>
          <cell r="E485">
            <v>37980</v>
          </cell>
          <cell r="F485">
            <v>163</v>
          </cell>
          <cell r="H485">
            <v>0</v>
          </cell>
          <cell r="I485" t="str">
            <v>деп</v>
          </cell>
          <cell r="J485">
            <v>38528</v>
          </cell>
        </row>
        <row r="486">
          <cell r="B486" t="str">
            <v>АРТЕЛЬ СТАРАТЕЛЕЙ АМУР Количество</v>
          </cell>
          <cell r="D486">
            <v>10</v>
          </cell>
        </row>
        <row r="487">
          <cell r="A487">
            <v>53703914</v>
          </cell>
          <cell r="B487" t="str">
            <v>БАЗА СНАБ.И КОМПЛ.ДОР.ХОЗ.</v>
          </cell>
          <cell r="C487" t="str">
            <v>ПОЧЕП        (МСK)</v>
          </cell>
          <cell r="D487">
            <v>34256</v>
          </cell>
          <cell r="E487">
            <v>37569</v>
          </cell>
          <cell r="F487">
            <v>323</v>
          </cell>
          <cell r="H487">
            <v>0</v>
          </cell>
          <cell r="I487" t="str">
            <v>деп</v>
          </cell>
          <cell r="J487">
            <v>38665</v>
          </cell>
        </row>
        <row r="488">
          <cell r="B488" t="str">
            <v>БАЗА СНАБ.И КОМПЛ.ДОР.ХОЗ. Количество</v>
          </cell>
          <cell r="D488">
            <v>1</v>
          </cell>
        </row>
        <row r="489">
          <cell r="A489">
            <v>58331182</v>
          </cell>
          <cell r="B489" t="str">
            <v>БРАТСКТРАНССТРОЙТОРГ</v>
          </cell>
          <cell r="C489" t="str">
            <v>ГИДРОСТРОИТ. (ВСБ)</v>
          </cell>
          <cell r="D489">
            <v>31842</v>
          </cell>
          <cell r="F489">
            <v>0</v>
          </cell>
          <cell r="G489">
            <v>36521</v>
          </cell>
          <cell r="H489">
            <v>1068</v>
          </cell>
          <cell r="I489" t="str">
            <v>деп</v>
          </cell>
          <cell r="J489">
            <v>38681</v>
          </cell>
        </row>
        <row r="490">
          <cell r="B490" t="str">
            <v>БРАТСКТРАНССТРОЙТОРГ Количество</v>
          </cell>
          <cell r="D490">
            <v>1</v>
          </cell>
        </row>
        <row r="491">
          <cell r="A491">
            <v>53701678</v>
          </cell>
          <cell r="B491" t="str">
            <v>БУРГАЗ ГАЗРОМА</v>
          </cell>
          <cell r="C491" t="str">
            <v>ОБШАРОВКА    (КБШ)</v>
          </cell>
          <cell r="D491">
            <v>33786</v>
          </cell>
          <cell r="E491">
            <v>37336</v>
          </cell>
          <cell r="F491">
            <v>350</v>
          </cell>
          <cell r="I491" t="str">
            <v>деп</v>
          </cell>
          <cell r="J491">
            <v>38432</v>
          </cell>
        </row>
        <row r="492">
          <cell r="A492">
            <v>58338856</v>
          </cell>
          <cell r="B492" t="str">
            <v>БУРГАЗ ГАЗРОМА</v>
          </cell>
          <cell r="C492" t="str">
            <v>ОБШАРОВКА    (КБШ)</v>
          </cell>
          <cell r="D492">
            <v>33786</v>
          </cell>
          <cell r="E492">
            <v>37336</v>
          </cell>
          <cell r="F492">
            <v>350</v>
          </cell>
          <cell r="I492" t="str">
            <v>деп</v>
          </cell>
          <cell r="J492">
            <v>38067</v>
          </cell>
        </row>
        <row r="493">
          <cell r="A493">
            <v>58338864</v>
          </cell>
          <cell r="B493" t="str">
            <v>БУРГАЗ ГАЗРОМА</v>
          </cell>
          <cell r="C493" t="str">
            <v>ОБШАРОВКА    (КБШ)</v>
          </cell>
          <cell r="D493">
            <v>33786</v>
          </cell>
          <cell r="E493">
            <v>37336</v>
          </cell>
          <cell r="F493">
            <v>350</v>
          </cell>
          <cell r="I493" t="str">
            <v>деп</v>
          </cell>
          <cell r="J493">
            <v>38067</v>
          </cell>
        </row>
        <row r="494">
          <cell r="B494" t="str">
            <v>БУРГАЗ ГАЗРОМА Количество</v>
          </cell>
          <cell r="D494">
            <v>3</v>
          </cell>
        </row>
        <row r="495">
          <cell r="A495">
            <v>58330820</v>
          </cell>
          <cell r="B495" t="str">
            <v>В/Ч 14123</v>
          </cell>
          <cell r="C495" t="str">
            <v>ПЛЕСЕЦКАЯ    (СЕВ)</v>
          </cell>
          <cell r="D495">
            <v>29221</v>
          </cell>
          <cell r="I495" t="str">
            <v>деп</v>
          </cell>
          <cell r="J495">
            <v>30317</v>
          </cell>
        </row>
        <row r="496">
          <cell r="A496">
            <v>58330838</v>
          </cell>
          <cell r="B496" t="str">
            <v>В/Ч 14123</v>
          </cell>
          <cell r="C496" t="str">
            <v>ПЛЕСЕЦКАЯ    (СЕВ)</v>
          </cell>
          <cell r="D496">
            <v>29221</v>
          </cell>
          <cell r="I496" t="str">
            <v>деп</v>
          </cell>
          <cell r="J496">
            <v>30317</v>
          </cell>
        </row>
        <row r="497">
          <cell r="B497" t="str">
            <v>В/Ч 14123 Количество</v>
          </cell>
          <cell r="D497">
            <v>2</v>
          </cell>
        </row>
        <row r="498">
          <cell r="A498">
            <v>58140138</v>
          </cell>
          <cell r="B498" t="str">
            <v>В/Ч 40905</v>
          </cell>
          <cell r="C498" t="str">
            <v>ХАБАРОВСК 2  (ДВС)</v>
          </cell>
          <cell r="D498">
            <v>28856</v>
          </cell>
          <cell r="E498">
            <v>33298</v>
          </cell>
          <cell r="I498" t="str">
            <v>кап</v>
          </cell>
          <cell r="J498">
            <v>34029</v>
          </cell>
        </row>
        <row r="499">
          <cell r="A499">
            <v>58140146</v>
          </cell>
          <cell r="B499" t="str">
            <v>В/Ч 40905</v>
          </cell>
          <cell r="C499" t="str">
            <v>ХАБАРОВСК 2  (ДВС)</v>
          </cell>
          <cell r="D499">
            <v>31778</v>
          </cell>
          <cell r="E499">
            <v>34455</v>
          </cell>
          <cell r="F499">
            <v>0</v>
          </cell>
          <cell r="H499">
            <v>0</v>
          </cell>
          <cell r="I499" t="str">
            <v>кап</v>
          </cell>
          <cell r="J499">
            <v>35186</v>
          </cell>
        </row>
        <row r="500">
          <cell r="A500">
            <v>58331497</v>
          </cell>
          <cell r="B500" t="str">
            <v>В/Ч 40905</v>
          </cell>
          <cell r="C500" t="str">
            <v>ХАБАРОВСК 2  (ДВС)</v>
          </cell>
          <cell r="D500">
            <v>29221</v>
          </cell>
          <cell r="E500">
            <v>33635</v>
          </cell>
          <cell r="I500" t="str">
            <v>кап</v>
          </cell>
          <cell r="J500">
            <v>34366</v>
          </cell>
        </row>
        <row r="501">
          <cell r="A501">
            <v>58331505</v>
          </cell>
          <cell r="B501" t="str">
            <v>В/Ч 40905</v>
          </cell>
          <cell r="C501" t="str">
            <v>ХАБАРОВСК 2  (ДВС)</v>
          </cell>
          <cell r="D501">
            <v>31778</v>
          </cell>
          <cell r="E501">
            <v>34394</v>
          </cell>
          <cell r="G501">
            <v>37208</v>
          </cell>
          <cell r="H501">
            <v>163</v>
          </cell>
          <cell r="I501" t="str">
            <v>деп</v>
          </cell>
          <cell r="J501">
            <v>37938</v>
          </cell>
        </row>
        <row r="502">
          <cell r="A502">
            <v>58331513</v>
          </cell>
          <cell r="B502" t="str">
            <v>В/Ч 40905</v>
          </cell>
          <cell r="C502" t="str">
            <v>ХАБАРОВСК 2  (ДВС)</v>
          </cell>
          <cell r="D502">
            <v>31778</v>
          </cell>
          <cell r="E502">
            <v>34335</v>
          </cell>
          <cell r="F502">
            <v>0</v>
          </cell>
          <cell r="H502">
            <v>0</v>
          </cell>
          <cell r="I502" t="str">
            <v>кап</v>
          </cell>
          <cell r="J502">
            <v>35065</v>
          </cell>
        </row>
        <row r="503">
          <cell r="B503" t="str">
            <v>В/Ч 40905 Количество</v>
          </cell>
          <cell r="D503">
            <v>5</v>
          </cell>
        </row>
        <row r="504">
          <cell r="A504">
            <v>58000324</v>
          </cell>
          <cell r="B504" t="str">
            <v>ВИММ-БИЛЛЬ-ДАНН ТРАНС</v>
          </cell>
          <cell r="C504" t="str">
            <v>ХОВРИНО      (ОКТ)</v>
          </cell>
          <cell r="D504">
            <v>33329</v>
          </cell>
          <cell r="E504">
            <v>37743</v>
          </cell>
          <cell r="F504">
            <v>1058</v>
          </cell>
          <cell r="H504">
            <v>0</v>
          </cell>
          <cell r="I504" t="str">
            <v>деп</v>
          </cell>
          <cell r="J504">
            <v>38474</v>
          </cell>
        </row>
        <row r="505">
          <cell r="A505">
            <v>58000332</v>
          </cell>
          <cell r="B505" t="str">
            <v>ВИММ-БИЛЛЬ-ДАНН ТРАНС</v>
          </cell>
          <cell r="C505" t="str">
            <v>ХОВРИНО      (ОКТ)</v>
          </cell>
          <cell r="D505">
            <v>33329</v>
          </cell>
          <cell r="E505">
            <v>37743</v>
          </cell>
          <cell r="F505">
            <v>1058</v>
          </cell>
          <cell r="H505">
            <v>0</v>
          </cell>
          <cell r="I505" t="str">
            <v>деп</v>
          </cell>
          <cell r="J505">
            <v>38474</v>
          </cell>
        </row>
        <row r="506">
          <cell r="A506">
            <v>58000340</v>
          </cell>
          <cell r="B506" t="str">
            <v>ВИММ-БИЛЛЬ-ДАНН ТРАНС</v>
          </cell>
          <cell r="C506" t="str">
            <v>ХОВРИНО      (ОКТ)</v>
          </cell>
          <cell r="D506">
            <v>33329</v>
          </cell>
          <cell r="E506">
            <v>37743</v>
          </cell>
          <cell r="F506">
            <v>1058</v>
          </cell>
          <cell r="H506">
            <v>0</v>
          </cell>
          <cell r="I506" t="str">
            <v>деп</v>
          </cell>
          <cell r="J506">
            <v>38474</v>
          </cell>
        </row>
        <row r="507">
          <cell r="A507">
            <v>58000357</v>
          </cell>
          <cell r="B507" t="str">
            <v>ВИММ-БИЛЛЬ-ДАНН ТРАНС</v>
          </cell>
          <cell r="C507" t="str">
            <v>ХОВРИНО      (ОКТ)</v>
          </cell>
          <cell r="D507">
            <v>33329</v>
          </cell>
          <cell r="E507">
            <v>37743</v>
          </cell>
          <cell r="F507">
            <v>1058</v>
          </cell>
          <cell r="H507">
            <v>0</v>
          </cell>
          <cell r="I507" t="str">
            <v>деп</v>
          </cell>
          <cell r="J507">
            <v>38473</v>
          </cell>
        </row>
        <row r="508">
          <cell r="A508">
            <v>58000365</v>
          </cell>
          <cell r="B508" t="str">
            <v>ВИММ-БИЛЛЬ-ДАНН ТРАНС</v>
          </cell>
          <cell r="C508" t="str">
            <v>ХОВРИНО      (ОКТ)</v>
          </cell>
          <cell r="D508">
            <v>33329</v>
          </cell>
          <cell r="E508">
            <v>37743</v>
          </cell>
          <cell r="F508">
            <v>1058</v>
          </cell>
          <cell r="H508">
            <v>0</v>
          </cell>
          <cell r="I508" t="str">
            <v>деп</v>
          </cell>
          <cell r="J508">
            <v>38474</v>
          </cell>
        </row>
        <row r="509">
          <cell r="A509">
            <v>58000373</v>
          </cell>
          <cell r="B509" t="str">
            <v>ВИММ-БИЛЛЬ-ДАНН ТРАНС</v>
          </cell>
          <cell r="C509" t="str">
            <v>ХОВРИНО      (ОКТ)</v>
          </cell>
          <cell r="D509">
            <v>33329</v>
          </cell>
          <cell r="E509">
            <v>37743</v>
          </cell>
          <cell r="F509">
            <v>1058</v>
          </cell>
          <cell r="H509">
            <v>0</v>
          </cell>
          <cell r="I509" t="str">
            <v>деп</v>
          </cell>
          <cell r="J509">
            <v>38473</v>
          </cell>
        </row>
        <row r="510">
          <cell r="A510">
            <v>58000381</v>
          </cell>
          <cell r="B510" t="str">
            <v>ВИММ-БИЛЛЬ-ДАНН ТРАНС</v>
          </cell>
          <cell r="C510" t="str">
            <v>ХОВРИНО      (ОКТ)</v>
          </cell>
          <cell r="D510">
            <v>33329</v>
          </cell>
          <cell r="E510">
            <v>37743</v>
          </cell>
          <cell r="F510">
            <v>1058</v>
          </cell>
          <cell r="H510">
            <v>0</v>
          </cell>
          <cell r="I510" t="str">
            <v>деп</v>
          </cell>
          <cell r="J510">
            <v>38473</v>
          </cell>
        </row>
        <row r="511">
          <cell r="A511">
            <v>58000407</v>
          </cell>
          <cell r="B511" t="str">
            <v>ВИММ-БИЛЛЬ-ДАНН ТРАНС</v>
          </cell>
          <cell r="C511" t="str">
            <v>ХОВРИНО      (ОКТ)</v>
          </cell>
          <cell r="D511">
            <v>33329</v>
          </cell>
          <cell r="E511">
            <v>37743</v>
          </cell>
          <cell r="F511">
            <v>1058</v>
          </cell>
          <cell r="H511">
            <v>0</v>
          </cell>
          <cell r="I511" t="str">
            <v>деп</v>
          </cell>
          <cell r="J511">
            <v>38474</v>
          </cell>
        </row>
        <row r="512">
          <cell r="A512">
            <v>58000415</v>
          </cell>
          <cell r="B512" t="str">
            <v>ВИММ-БИЛЛЬ-ДАНН ТРАНС</v>
          </cell>
          <cell r="C512" t="str">
            <v>ХОВРИНО      (ОКТ)</v>
          </cell>
          <cell r="D512">
            <v>33329</v>
          </cell>
          <cell r="E512">
            <v>37743</v>
          </cell>
          <cell r="F512">
            <v>1058</v>
          </cell>
          <cell r="H512">
            <v>0</v>
          </cell>
          <cell r="I512" t="str">
            <v>деп</v>
          </cell>
          <cell r="J512">
            <v>38473</v>
          </cell>
        </row>
        <row r="513">
          <cell r="A513">
            <v>58000423</v>
          </cell>
          <cell r="B513" t="str">
            <v>ВИММ-БИЛЛЬ-ДАНН ТРАНС</v>
          </cell>
          <cell r="C513" t="str">
            <v>ХОВРИНО      (ОКТ)</v>
          </cell>
          <cell r="D513">
            <v>33329</v>
          </cell>
          <cell r="E513">
            <v>37743</v>
          </cell>
          <cell r="F513">
            <v>1058</v>
          </cell>
          <cell r="H513">
            <v>0</v>
          </cell>
          <cell r="I513" t="str">
            <v>деп</v>
          </cell>
          <cell r="J513">
            <v>38473</v>
          </cell>
        </row>
        <row r="514">
          <cell r="A514">
            <v>58000431</v>
          </cell>
          <cell r="B514" t="str">
            <v>ВИММ-БИЛЛЬ-ДАНН ТРАНС</v>
          </cell>
          <cell r="C514" t="str">
            <v>ХОВРИНО      (ОКТ)</v>
          </cell>
          <cell r="D514">
            <v>33329</v>
          </cell>
          <cell r="E514">
            <v>37743</v>
          </cell>
          <cell r="F514">
            <v>1058</v>
          </cell>
          <cell r="H514">
            <v>0</v>
          </cell>
          <cell r="I514" t="str">
            <v>деп</v>
          </cell>
          <cell r="J514">
            <v>38474</v>
          </cell>
        </row>
        <row r="515">
          <cell r="A515">
            <v>58000449</v>
          </cell>
          <cell r="B515" t="str">
            <v>ВИММ-БИЛЛЬ-ДАНН ТРАНС</v>
          </cell>
          <cell r="C515" t="str">
            <v>ХОВРИНО      (ОКТ)</v>
          </cell>
          <cell r="D515">
            <v>33329</v>
          </cell>
          <cell r="E515">
            <v>37743</v>
          </cell>
          <cell r="F515">
            <v>1058</v>
          </cell>
          <cell r="H515">
            <v>0</v>
          </cell>
          <cell r="I515" t="str">
            <v>деп</v>
          </cell>
          <cell r="J515">
            <v>38474</v>
          </cell>
        </row>
        <row r="516">
          <cell r="A516">
            <v>58000456</v>
          </cell>
          <cell r="B516" t="str">
            <v>ВИММ-БИЛЛЬ-ДАНН ТРАНС</v>
          </cell>
          <cell r="C516" t="str">
            <v>ХОВРИНО      (ОКТ)</v>
          </cell>
          <cell r="D516">
            <v>33329</v>
          </cell>
          <cell r="E516">
            <v>37743</v>
          </cell>
          <cell r="F516">
            <v>1058</v>
          </cell>
          <cell r="H516">
            <v>0</v>
          </cell>
          <cell r="I516" t="str">
            <v>деп</v>
          </cell>
          <cell r="J516">
            <v>38473</v>
          </cell>
        </row>
        <row r="517">
          <cell r="B517" t="str">
            <v>ВИММ-БИЛЛЬ-ДАНН ТРАНС Количество</v>
          </cell>
          <cell r="D517">
            <v>13</v>
          </cell>
        </row>
        <row r="518">
          <cell r="A518">
            <v>53702577</v>
          </cell>
          <cell r="B518" t="str">
            <v>ВИТА-ФРОСТ</v>
          </cell>
          <cell r="C518" t="str">
            <v>УССУРИЙСК    (ДВС)</v>
          </cell>
          <cell r="D518">
            <v>33694</v>
          </cell>
          <cell r="E518">
            <v>37747</v>
          </cell>
          <cell r="F518">
            <v>350</v>
          </cell>
          <cell r="H518">
            <v>0</v>
          </cell>
          <cell r="I518" t="str">
            <v>деп</v>
          </cell>
          <cell r="J518">
            <v>38297</v>
          </cell>
        </row>
        <row r="519">
          <cell r="A519">
            <v>53705539</v>
          </cell>
          <cell r="B519" t="str">
            <v>ВИТА-ФРОСТ</v>
          </cell>
          <cell r="C519" t="str">
            <v>УССУРИЙСК    (ДВС)</v>
          </cell>
          <cell r="D519">
            <v>33512</v>
          </cell>
          <cell r="E519">
            <v>37797</v>
          </cell>
          <cell r="F519">
            <v>886</v>
          </cell>
          <cell r="H519">
            <v>0</v>
          </cell>
          <cell r="I519" t="str">
            <v>деп</v>
          </cell>
          <cell r="J519">
            <v>38346</v>
          </cell>
        </row>
        <row r="520">
          <cell r="A520">
            <v>58721374</v>
          </cell>
          <cell r="B520" t="str">
            <v>ВИТА-ФРОСТ</v>
          </cell>
          <cell r="C520" t="str">
            <v>УССУРИЙСК    (ДВС)</v>
          </cell>
          <cell r="D520">
            <v>34040</v>
          </cell>
          <cell r="E520">
            <v>37747</v>
          </cell>
          <cell r="F520">
            <v>350</v>
          </cell>
          <cell r="H520">
            <v>0</v>
          </cell>
          <cell r="I520" t="str">
            <v>деп</v>
          </cell>
          <cell r="J520">
            <v>38297</v>
          </cell>
        </row>
        <row r="521">
          <cell r="A521">
            <v>58721382</v>
          </cell>
          <cell r="B521" t="str">
            <v>ВИТА-ФРОСТ</v>
          </cell>
          <cell r="C521" t="str">
            <v>УССУРИЙСК    (ДВС)</v>
          </cell>
          <cell r="D521">
            <v>34040</v>
          </cell>
          <cell r="E521">
            <v>37747</v>
          </cell>
          <cell r="F521">
            <v>350</v>
          </cell>
          <cell r="H521">
            <v>0</v>
          </cell>
          <cell r="I521" t="str">
            <v>деп</v>
          </cell>
          <cell r="J521">
            <v>38297</v>
          </cell>
        </row>
        <row r="522">
          <cell r="A522">
            <v>58721408</v>
          </cell>
          <cell r="B522" t="str">
            <v>ВИТА-ФРОСТ</v>
          </cell>
          <cell r="C522" t="str">
            <v>УССУРИЙСК    (ДВС)</v>
          </cell>
          <cell r="D522">
            <v>34040</v>
          </cell>
          <cell r="E522">
            <v>37747</v>
          </cell>
          <cell r="F522">
            <v>350</v>
          </cell>
          <cell r="H522">
            <v>0</v>
          </cell>
          <cell r="I522" t="str">
            <v>деп</v>
          </cell>
          <cell r="J522">
            <v>38297</v>
          </cell>
        </row>
        <row r="523">
          <cell r="A523">
            <v>58721416</v>
          </cell>
          <cell r="B523" t="str">
            <v>ВИТА-ФРОСТ</v>
          </cell>
          <cell r="C523" t="str">
            <v>УССУРИЙСК    (ДВС)</v>
          </cell>
          <cell r="D523">
            <v>34040</v>
          </cell>
          <cell r="E523">
            <v>37747</v>
          </cell>
          <cell r="F523">
            <v>350</v>
          </cell>
          <cell r="H523">
            <v>0</v>
          </cell>
          <cell r="I523" t="str">
            <v>деп</v>
          </cell>
          <cell r="J523">
            <v>38297</v>
          </cell>
        </row>
        <row r="524">
          <cell r="A524">
            <v>58729310</v>
          </cell>
          <cell r="B524" t="str">
            <v>ВИТА-ФРОСТ</v>
          </cell>
          <cell r="C524" t="str">
            <v>УССУРИЙСК    (ДВС)</v>
          </cell>
          <cell r="D524">
            <v>33512</v>
          </cell>
          <cell r="E524">
            <v>37797</v>
          </cell>
          <cell r="F524">
            <v>886</v>
          </cell>
          <cell r="H524">
            <v>0</v>
          </cell>
          <cell r="I524" t="str">
            <v>деп</v>
          </cell>
          <cell r="J524">
            <v>38346</v>
          </cell>
        </row>
        <row r="525">
          <cell r="A525">
            <v>58729328</v>
          </cell>
          <cell r="B525" t="str">
            <v>ВИТА-ФРОСТ</v>
          </cell>
          <cell r="C525" t="str">
            <v>УССУРИЙСК    (ДВС)</v>
          </cell>
          <cell r="D525">
            <v>33512</v>
          </cell>
          <cell r="E525">
            <v>37797</v>
          </cell>
          <cell r="F525">
            <v>886</v>
          </cell>
          <cell r="H525">
            <v>0</v>
          </cell>
          <cell r="I525" t="str">
            <v>деп</v>
          </cell>
          <cell r="J525">
            <v>38346</v>
          </cell>
        </row>
        <row r="526">
          <cell r="A526">
            <v>58729336</v>
          </cell>
          <cell r="B526" t="str">
            <v>ВИТА-ФРОСТ</v>
          </cell>
          <cell r="C526" t="str">
            <v>УССУРИЙСК    (ДВС)</v>
          </cell>
          <cell r="D526">
            <v>33512</v>
          </cell>
          <cell r="E526">
            <v>37797</v>
          </cell>
          <cell r="F526">
            <v>886</v>
          </cell>
          <cell r="H526">
            <v>0</v>
          </cell>
          <cell r="I526" t="str">
            <v>деп</v>
          </cell>
          <cell r="J526">
            <v>38346</v>
          </cell>
        </row>
        <row r="527">
          <cell r="A527">
            <v>58729344</v>
          </cell>
          <cell r="B527" t="str">
            <v>ВИТА-ФРОСТ</v>
          </cell>
          <cell r="C527" t="str">
            <v>УССУРИЙСК    (ДВС)</v>
          </cell>
          <cell r="D527">
            <v>33512</v>
          </cell>
          <cell r="E527">
            <v>37797</v>
          </cell>
          <cell r="F527">
            <v>886</v>
          </cell>
          <cell r="H527">
            <v>0</v>
          </cell>
          <cell r="I527" t="str">
            <v>деп</v>
          </cell>
          <cell r="J527">
            <v>38346</v>
          </cell>
        </row>
        <row r="528">
          <cell r="B528" t="str">
            <v>ВИТА-ФРОСТ Количество</v>
          </cell>
          <cell r="D528">
            <v>10</v>
          </cell>
        </row>
        <row r="529">
          <cell r="A529">
            <v>58710310</v>
          </cell>
          <cell r="B529" t="str">
            <v>ВИТО</v>
          </cell>
          <cell r="C529" t="str">
            <v>АСТРАХАНЬ 2  (ПРВ)</v>
          </cell>
          <cell r="D529">
            <v>24838</v>
          </cell>
          <cell r="E529">
            <v>35643</v>
          </cell>
          <cell r="I529" t="str">
            <v>деп</v>
          </cell>
          <cell r="J529">
            <v>36373</v>
          </cell>
        </row>
        <row r="530">
          <cell r="A530">
            <v>58710328</v>
          </cell>
          <cell r="B530" t="str">
            <v>ВИТО</v>
          </cell>
          <cell r="C530" t="str">
            <v>АСТРАХАНЬ 2  (ПРВ)</v>
          </cell>
          <cell r="D530">
            <v>24838</v>
          </cell>
          <cell r="E530">
            <v>35643</v>
          </cell>
          <cell r="I530" t="str">
            <v>деп</v>
          </cell>
          <cell r="J530">
            <v>36373</v>
          </cell>
        </row>
        <row r="531">
          <cell r="B531" t="str">
            <v>ВИТО Количество</v>
          </cell>
          <cell r="D531">
            <v>2</v>
          </cell>
        </row>
        <row r="532">
          <cell r="A532">
            <v>53701504</v>
          </cell>
          <cell r="B532" t="str">
            <v>ВКЗ ДАГВИНО</v>
          </cell>
          <cell r="C532" t="str">
            <v>КУПЧИНСКАЯ   (ОКТ)</v>
          </cell>
          <cell r="D532">
            <v>25659</v>
          </cell>
          <cell r="E532">
            <v>35233</v>
          </cell>
          <cell r="G532">
            <v>32766</v>
          </cell>
          <cell r="I532" t="str">
            <v>деп</v>
          </cell>
          <cell r="J532">
            <v>36328</v>
          </cell>
        </row>
        <row r="533">
          <cell r="B533" t="str">
            <v>ВКЗ ДАГВИНО Количество</v>
          </cell>
          <cell r="D533">
            <v>1</v>
          </cell>
        </row>
        <row r="534">
          <cell r="A534">
            <v>53701082</v>
          </cell>
          <cell r="B534" t="str">
            <v>ВЛАДИВОСТОКСК.РЫБНЫЙ ДВОР</v>
          </cell>
          <cell r="C534" t="str">
            <v>КЛЕЩИХА      (ЗСБ)</v>
          </cell>
          <cell r="D534">
            <v>33420</v>
          </cell>
          <cell r="E534">
            <v>38002</v>
          </cell>
          <cell r="F534">
            <v>163</v>
          </cell>
          <cell r="H534">
            <v>0</v>
          </cell>
          <cell r="I534" t="str">
            <v>деп</v>
          </cell>
          <cell r="J534">
            <v>38549</v>
          </cell>
        </row>
        <row r="535">
          <cell r="A535">
            <v>53705687</v>
          </cell>
          <cell r="B535" t="str">
            <v>ВЛАДИВОСТОКСК.РЫБНЫЙ ДВОР</v>
          </cell>
          <cell r="C535" t="str">
            <v>КЛЕЩИХА      (ЗСБ)</v>
          </cell>
          <cell r="D535">
            <v>33208</v>
          </cell>
          <cell r="E535">
            <v>37829</v>
          </cell>
          <cell r="F535">
            <v>557</v>
          </cell>
          <cell r="G535">
            <v>37244</v>
          </cell>
          <cell r="H535">
            <v>616</v>
          </cell>
          <cell r="I535" t="str">
            <v>деп</v>
          </cell>
          <cell r="J535">
            <v>38379</v>
          </cell>
        </row>
        <row r="536">
          <cell r="A536">
            <v>53706248</v>
          </cell>
          <cell r="B536" t="str">
            <v>ВЛАДИВОСТОКСК.РЫБНЫЙ ДВОР</v>
          </cell>
          <cell r="C536" t="str">
            <v>КЛЕЩИХА      (ЗСБ)</v>
          </cell>
          <cell r="D536">
            <v>34578</v>
          </cell>
          <cell r="E536">
            <v>37447</v>
          </cell>
          <cell r="F536">
            <v>616</v>
          </cell>
          <cell r="H536">
            <v>0</v>
          </cell>
          <cell r="I536" t="str">
            <v>деп</v>
          </cell>
          <cell r="J536">
            <v>37996</v>
          </cell>
        </row>
        <row r="537">
          <cell r="A537">
            <v>53706503</v>
          </cell>
          <cell r="B537" t="str">
            <v>ВЛАДИВОСТОКСК.РЫБНЫЙ ДВОР</v>
          </cell>
          <cell r="C537" t="str">
            <v>КЛЕЩИХА      (ЗСБ)</v>
          </cell>
          <cell r="D537">
            <v>33249</v>
          </cell>
          <cell r="E537">
            <v>37739</v>
          </cell>
          <cell r="F537">
            <v>819</v>
          </cell>
          <cell r="H537">
            <v>0</v>
          </cell>
          <cell r="I537" t="str">
            <v>деп</v>
          </cell>
          <cell r="J537">
            <v>38288</v>
          </cell>
        </row>
        <row r="538">
          <cell r="A538">
            <v>58725037</v>
          </cell>
          <cell r="B538" t="str">
            <v>ВЛАДИВОСТОКСК.РЫБНЫЙ ДВОР</v>
          </cell>
          <cell r="C538" t="str">
            <v>КЛЕЩИХА      (ЗСБ)</v>
          </cell>
          <cell r="D538">
            <v>33208</v>
          </cell>
          <cell r="E538">
            <v>37827</v>
          </cell>
          <cell r="F538">
            <v>557</v>
          </cell>
          <cell r="G538">
            <v>37244</v>
          </cell>
          <cell r="H538">
            <v>616</v>
          </cell>
          <cell r="I538" t="str">
            <v>деп</v>
          </cell>
          <cell r="J538">
            <v>38377</v>
          </cell>
        </row>
        <row r="539">
          <cell r="A539">
            <v>58725045</v>
          </cell>
          <cell r="B539" t="str">
            <v>ВЛАДИВОСТОКСК.РЫБНЫЙ ДВОР</v>
          </cell>
          <cell r="C539" t="str">
            <v>КЛЕЩИХА      (ЗСБ)</v>
          </cell>
          <cell r="D539">
            <v>33208</v>
          </cell>
          <cell r="E539">
            <v>37827</v>
          </cell>
          <cell r="F539">
            <v>557</v>
          </cell>
          <cell r="G539">
            <v>37244</v>
          </cell>
          <cell r="H539">
            <v>616</v>
          </cell>
          <cell r="I539" t="str">
            <v>деп</v>
          </cell>
          <cell r="J539">
            <v>38377</v>
          </cell>
        </row>
        <row r="540">
          <cell r="A540">
            <v>58725052</v>
          </cell>
          <cell r="B540" t="str">
            <v>ВЛАДИВОСТОКСК.РЫБНЫЙ ДВОР</v>
          </cell>
          <cell r="C540" t="str">
            <v>КЛЕЩИХА      (ЗСБ)</v>
          </cell>
          <cell r="D540">
            <v>33208</v>
          </cell>
          <cell r="E540">
            <v>37827</v>
          </cell>
          <cell r="F540">
            <v>557</v>
          </cell>
          <cell r="G540">
            <v>37244</v>
          </cell>
          <cell r="H540">
            <v>616</v>
          </cell>
          <cell r="I540" t="str">
            <v>деп</v>
          </cell>
          <cell r="J540">
            <v>38377</v>
          </cell>
        </row>
        <row r="541">
          <cell r="A541">
            <v>58725060</v>
          </cell>
          <cell r="B541" t="str">
            <v>ВЛАДИВОСТОКСК.РЫБНЫЙ ДВОР</v>
          </cell>
          <cell r="C541" t="str">
            <v>КЛЕЩИХА      (ЗСБ)</v>
          </cell>
          <cell r="D541">
            <v>33208</v>
          </cell>
          <cell r="E541">
            <v>37782</v>
          </cell>
          <cell r="F541">
            <v>819</v>
          </cell>
          <cell r="G541">
            <v>37244</v>
          </cell>
          <cell r="H541">
            <v>616</v>
          </cell>
          <cell r="I541" t="str">
            <v>деп</v>
          </cell>
          <cell r="J541">
            <v>38331</v>
          </cell>
        </row>
        <row r="542">
          <cell r="A542">
            <v>58727496</v>
          </cell>
          <cell r="B542" t="str">
            <v>ВЛАДИВОСТОКСК.РЫБНЫЙ ДВОР</v>
          </cell>
          <cell r="C542" t="str">
            <v>КЛЕЩИХА      (ЗСБ)</v>
          </cell>
          <cell r="D542">
            <v>34578</v>
          </cell>
          <cell r="E542">
            <v>37447</v>
          </cell>
          <cell r="F542">
            <v>616</v>
          </cell>
          <cell r="H542">
            <v>0</v>
          </cell>
          <cell r="I542" t="str">
            <v>деп</v>
          </cell>
          <cell r="J542">
            <v>37996</v>
          </cell>
        </row>
        <row r="543">
          <cell r="A543">
            <v>58727595</v>
          </cell>
          <cell r="B543" t="str">
            <v>ВЛАДИВОСТОКСК.РЫБНЫЙ ДВОР</v>
          </cell>
          <cell r="C543" t="str">
            <v>КЛЕЩИХА      (ЗСБ)</v>
          </cell>
          <cell r="D543">
            <v>34578</v>
          </cell>
          <cell r="E543">
            <v>37447</v>
          </cell>
          <cell r="F543">
            <v>616</v>
          </cell>
          <cell r="H543">
            <v>0</v>
          </cell>
          <cell r="I543" t="str">
            <v>деп</v>
          </cell>
          <cell r="J543">
            <v>37996</v>
          </cell>
        </row>
        <row r="544">
          <cell r="A544">
            <v>58740770</v>
          </cell>
          <cell r="B544" t="str">
            <v>ВЛАДИВОСТОКСК.РЫБНЫЙ ДВОР</v>
          </cell>
          <cell r="C544" t="str">
            <v>КЛЕЩИХА      (ЗСБ)</v>
          </cell>
          <cell r="D544">
            <v>33176</v>
          </cell>
          <cell r="E544">
            <v>37739</v>
          </cell>
          <cell r="F544">
            <v>819</v>
          </cell>
          <cell r="H544">
            <v>0</v>
          </cell>
          <cell r="I544" t="str">
            <v>деп</v>
          </cell>
          <cell r="J544">
            <v>38288</v>
          </cell>
        </row>
        <row r="545">
          <cell r="A545">
            <v>58740788</v>
          </cell>
          <cell r="B545" t="str">
            <v>ВЛАДИВОСТОКСК.РЫБНЫЙ ДВОР</v>
          </cell>
          <cell r="C545" t="str">
            <v>КЛЕЩИХА      (ЗСБ)</v>
          </cell>
          <cell r="D545">
            <v>33255</v>
          </cell>
          <cell r="E545">
            <v>37739</v>
          </cell>
          <cell r="F545">
            <v>819</v>
          </cell>
          <cell r="H545">
            <v>0</v>
          </cell>
          <cell r="I545" t="str">
            <v>деп</v>
          </cell>
          <cell r="J545">
            <v>38288</v>
          </cell>
        </row>
        <row r="546">
          <cell r="A546">
            <v>58740804</v>
          </cell>
          <cell r="B546" t="str">
            <v>ВЛАДИВОСТОКСК.РЫБНЫЙ ДВОР</v>
          </cell>
          <cell r="C546" t="str">
            <v>КЛЕЩИХА      (ЗСБ)</v>
          </cell>
          <cell r="D546">
            <v>33227</v>
          </cell>
          <cell r="E546">
            <v>37739</v>
          </cell>
          <cell r="F546">
            <v>819</v>
          </cell>
          <cell r="H546">
            <v>0</v>
          </cell>
          <cell r="I546" t="str">
            <v>деп</v>
          </cell>
          <cell r="J546">
            <v>38288</v>
          </cell>
        </row>
        <row r="547">
          <cell r="A547">
            <v>58740812</v>
          </cell>
          <cell r="B547" t="str">
            <v>ВЛАДИВОСТОКСК.РЫБНЫЙ ДВОР</v>
          </cell>
          <cell r="C547" t="str">
            <v>КЛЕЩИХА      (ЗСБ)</v>
          </cell>
          <cell r="D547">
            <v>33220</v>
          </cell>
          <cell r="E547">
            <v>37739</v>
          </cell>
          <cell r="F547">
            <v>819</v>
          </cell>
          <cell r="H547">
            <v>0</v>
          </cell>
          <cell r="I547" t="str">
            <v>деп</v>
          </cell>
          <cell r="J547">
            <v>38288</v>
          </cell>
        </row>
        <row r="548">
          <cell r="A548">
            <v>58742362</v>
          </cell>
          <cell r="B548" t="str">
            <v>ВЛАДИВОСТОКСК.РЫБНЫЙ ДВОР</v>
          </cell>
          <cell r="C548" t="str">
            <v>КЛЕЩИХА      (ЗСБ)</v>
          </cell>
          <cell r="D548">
            <v>33512</v>
          </cell>
          <cell r="E548">
            <v>38002</v>
          </cell>
          <cell r="F548">
            <v>163</v>
          </cell>
          <cell r="H548">
            <v>0</v>
          </cell>
          <cell r="I548" t="str">
            <v>деп</v>
          </cell>
          <cell r="J548">
            <v>38549</v>
          </cell>
        </row>
        <row r="549">
          <cell r="A549">
            <v>58742370</v>
          </cell>
          <cell r="B549" t="str">
            <v>ВЛАДИВОСТОКСК.РЫБНЫЙ ДВОР</v>
          </cell>
          <cell r="C549" t="str">
            <v>КЛЕЩИХА      (ЗСБ)</v>
          </cell>
          <cell r="D549">
            <v>33512</v>
          </cell>
          <cell r="E549">
            <v>38002</v>
          </cell>
          <cell r="F549">
            <v>163</v>
          </cell>
          <cell r="H549">
            <v>0</v>
          </cell>
          <cell r="I549" t="str">
            <v>деп</v>
          </cell>
          <cell r="J549">
            <v>38549</v>
          </cell>
        </row>
        <row r="550">
          <cell r="A550">
            <v>58742388</v>
          </cell>
          <cell r="B550" t="str">
            <v>ВЛАДИВОСТОКСК.РЫБНЫЙ ДВОР</v>
          </cell>
          <cell r="C550" t="str">
            <v>КЛЕЩИХА      (ЗСБ)</v>
          </cell>
          <cell r="D550">
            <v>33512</v>
          </cell>
          <cell r="E550">
            <v>38002</v>
          </cell>
          <cell r="F550">
            <v>163</v>
          </cell>
          <cell r="H550">
            <v>0</v>
          </cell>
          <cell r="I550" t="str">
            <v>деп</v>
          </cell>
          <cell r="J550">
            <v>38549</v>
          </cell>
        </row>
        <row r="551">
          <cell r="A551">
            <v>58742404</v>
          </cell>
          <cell r="B551" t="str">
            <v>ВЛАДИВОСТОКСК.РЫБНЫЙ ДВОР</v>
          </cell>
          <cell r="C551" t="str">
            <v>КЛЕЩИХА      (ЗСБ)</v>
          </cell>
          <cell r="D551">
            <v>33512</v>
          </cell>
          <cell r="E551">
            <v>38002</v>
          </cell>
          <cell r="F551">
            <v>163</v>
          </cell>
          <cell r="H551">
            <v>0</v>
          </cell>
          <cell r="I551" t="str">
            <v>деп</v>
          </cell>
          <cell r="J551">
            <v>38549</v>
          </cell>
        </row>
        <row r="552">
          <cell r="B552" t="str">
            <v>ВЛАДИВОСТОКСК.РЫБНЫЙ ДВОР Количество</v>
          </cell>
          <cell r="D552">
            <v>18</v>
          </cell>
        </row>
        <row r="553">
          <cell r="A553">
            <v>53705364</v>
          </cell>
          <cell r="B553" t="str">
            <v>ВЛАДТЭК</v>
          </cell>
          <cell r="C553" t="str">
            <v>УССУРИЙСК    (ДВС)</v>
          </cell>
          <cell r="D553">
            <v>33326</v>
          </cell>
          <cell r="E553">
            <v>37796</v>
          </cell>
          <cell r="F553">
            <v>163</v>
          </cell>
          <cell r="H553">
            <v>0</v>
          </cell>
          <cell r="I553" t="str">
            <v>деп</v>
          </cell>
          <cell r="J553">
            <v>38345</v>
          </cell>
        </row>
        <row r="554">
          <cell r="A554">
            <v>58728718</v>
          </cell>
          <cell r="B554" t="str">
            <v>ВЛАДТЭК</v>
          </cell>
          <cell r="C554" t="str">
            <v>УССУРИЙСК    (ДВС)</v>
          </cell>
          <cell r="D554">
            <v>33358</v>
          </cell>
          <cell r="E554">
            <v>37796</v>
          </cell>
          <cell r="F554">
            <v>163</v>
          </cell>
          <cell r="H554">
            <v>0</v>
          </cell>
          <cell r="I554" t="str">
            <v>деп</v>
          </cell>
          <cell r="J554">
            <v>38527</v>
          </cell>
        </row>
        <row r="555">
          <cell r="A555">
            <v>58728726</v>
          </cell>
          <cell r="B555" t="str">
            <v>ВЛАДТЭК</v>
          </cell>
          <cell r="C555" t="str">
            <v>УССУРИЙСК    (ДВС)</v>
          </cell>
          <cell r="D555">
            <v>33358</v>
          </cell>
          <cell r="E555">
            <v>37796</v>
          </cell>
          <cell r="F555">
            <v>163</v>
          </cell>
          <cell r="H555">
            <v>0</v>
          </cell>
          <cell r="I555" t="str">
            <v>деп</v>
          </cell>
          <cell r="J555">
            <v>38527</v>
          </cell>
        </row>
        <row r="556">
          <cell r="A556">
            <v>58728734</v>
          </cell>
          <cell r="B556" t="str">
            <v>ВЛАДТЭК</v>
          </cell>
          <cell r="C556" t="str">
            <v>УССУРИЙСК    (ДВС)</v>
          </cell>
          <cell r="D556">
            <v>33358</v>
          </cell>
          <cell r="E556">
            <v>37796</v>
          </cell>
          <cell r="F556">
            <v>163</v>
          </cell>
          <cell r="H556">
            <v>0</v>
          </cell>
          <cell r="I556" t="str">
            <v>деп</v>
          </cell>
          <cell r="J556">
            <v>38527</v>
          </cell>
        </row>
        <row r="557">
          <cell r="A557">
            <v>58728742</v>
          </cell>
          <cell r="B557" t="str">
            <v>ВЛАДТЭК</v>
          </cell>
          <cell r="C557" t="str">
            <v>УССУРИЙСК    (ДВС)</v>
          </cell>
          <cell r="D557">
            <v>33358</v>
          </cell>
          <cell r="E557">
            <v>37796</v>
          </cell>
          <cell r="F557">
            <v>163</v>
          </cell>
          <cell r="H557">
            <v>0</v>
          </cell>
          <cell r="I557" t="str">
            <v>деп</v>
          </cell>
          <cell r="J557">
            <v>38527</v>
          </cell>
        </row>
        <row r="558">
          <cell r="B558" t="str">
            <v>ВЛАДТЭК Количество</v>
          </cell>
          <cell r="D558">
            <v>5</v>
          </cell>
        </row>
        <row r="559">
          <cell r="A559">
            <v>53703344</v>
          </cell>
          <cell r="B559" t="str">
            <v>ГОСПЛЕМЗВЕРОС-З ПУШКИНСКИЙ</v>
          </cell>
          <cell r="C559" t="str">
            <v>СОФРИНО      (МСK)</v>
          </cell>
          <cell r="D559">
            <v>26299</v>
          </cell>
          <cell r="E559">
            <v>33983</v>
          </cell>
        </row>
        <row r="560">
          <cell r="A560">
            <v>58722257</v>
          </cell>
          <cell r="B560" t="str">
            <v>ГОСПЛЕМЗВЕРОС-З ПУШКИНСКИЙ</v>
          </cell>
          <cell r="C560" t="str">
            <v>СОФРИНО      (МСK)</v>
          </cell>
          <cell r="D560">
            <v>26299</v>
          </cell>
          <cell r="E560">
            <v>33983</v>
          </cell>
        </row>
        <row r="561">
          <cell r="A561">
            <v>58722265</v>
          </cell>
          <cell r="B561" t="str">
            <v>ГОСПЛЕМЗВЕРОС-З ПУШКИНСКИЙ</v>
          </cell>
          <cell r="C561" t="str">
            <v>СОФРИНО      (МСK)</v>
          </cell>
          <cell r="D561">
            <v>26299</v>
          </cell>
          <cell r="E561">
            <v>33983</v>
          </cell>
        </row>
        <row r="562">
          <cell r="A562">
            <v>58722273</v>
          </cell>
          <cell r="B562" t="str">
            <v>ГОСПЛЕМЗВЕРОС-З ПУШКИНСКИЙ</v>
          </cell>
          <cell r="C562" t="str">
            <v>СОФРИНО      (МСK)</v>
          </cell>
          <cell r="D562">
            <v>26299</v>
          </cell>
          <cell r="E562">
            <v>33983</v>
          </cell>
        </row>
        <row r="563">
          <cell r="A563">
            <v>58722281</v>
          </cell>
          <cell r="B563" t="str">
            <v>ГОСПЛЕМЗВЕРОС-З ПУШКИНСКИЙ</v>
          </cell>
          <cell r="C563" t="str">
            <v>СОФРИНО      (МСK)</v>
          </cell>
          <cell r="D563">
            <v>26299</v>
          </cell>
          <cell r="E563">
            <v>33983</v>
          </cell>
        </row>
        <row r="564">
          <cell r="B564" t="str">
            <v>ГОСПЛЕМЗВЕРОС-З ПУШКИНСКИЙ Количество</v>
          </cell>
          <cell r="D564">
            <v>5</v>
          </cell>
        </row>
        <row r="565">
          <cell r="A565">
            <v>53706230</v>
          </cell>
          <cell r="B565" t="str">
            <v>ГРАНД-СЕРВИС</v>
          </cell>
          <cell r="C565" t="str">
            <v>МОС-ТОВ-КУР  (МСK)</v>
          </cell>
          <cell r="D565">
            <v>33171</v>
          </cell>
          <cell r="E565">
            <v>37489</v>
          </cell>
          <cell r="F565">
            <v>350</v>
          </cell>
          <cell r="H565">
            <v>0</v>
          </cell>
          <cell r="I565" t="str">
            <v>деп</v>
          </cell>
          <cell r="J565">
            <v>38038</v>
          </cell>
        </row>
        <row r="566">
          <cell r="A566">
            <v>53706511</v>
          </cell>
          <cell r="B566" t="str">
            <v>ГРАНД-СЕРВИС</v>
          </cell>
          <cell r="C566" t="str">
            <v>МОС-ТОВ-КУР  (МСK)</v>
          </cell>
          <cell r="D566">
            <v>32143</v>
          </cell>
          <cell r="E566">
            <v>37764</v>
          </cell>
          <cell r="F566">
            <v>163</v>
          </cell>
          <cell r="G566">
            <v>36487</v>
          </cell>
          <cell r="H566">
            <v>1065</v>
          </cell>
          <cell r="I566" t="str">
            <v>деп</v>
          </cell>
          <cell r="J566">
            <v>38314</v>
          </cell>
        </row>
        <row r="567">
          <cell r="A567">
            <v>53706529</v>
          </cell>
          <cell r="B567" t="str">
            <v>ГРАНД-СЕРВИС</v>
          </cell>
          <cell r="C567" t="str">
            <v>МОС-ТОВ-КУР  (МСK)</v>
          </cell>
          <cell r="D567">
            <v>32143</v>
          </cell>
          <cell r="E567">
            <v>37768</v>
          </cell>
          <cell r="F567">
            <v>163</v>
          </cell>
          <cell r="G567">
            <v>35960</v>
          </cell>
          <cell r="H567">
            <v>1065</v>
          </cell>
          <cell r="I567" t="str">
            <v>деп</v>
          </cell>
          <cell r="J567">
            <v>38318</v>
          </cell>
        </row>
        <row r="568">
          <cell r="A568">
            <v>53706537</v>
          </cell>
          <cell r="B568" t="str">
            <v>ГРАНД-СЕРВИС</v>
          </cell>
          <cell r="C568" t="str">
            <v>МОС-ТОВ-КУР  (МСK)</v>
          </cell>
          <cell r="D568">
            <v>32143</v>
          </cell>
          <cell r="E568">
            <v>37800</v>
          </cell>
          <cell r="F568">
            <v>163</v>
          </cell>
          <cell r="G568">
            <v>36455</v>
          </cell>
          <cell r="H568">
            <v>1065</v>
          </cell>
          <cell r="I568" t="str">
            <v>деп</v>
          </cell>
          <cell r="J568">
            <v>38349</v>
          </cell>
        </row>
        <row r="569">
          <cell r="A569">
            <v>53706545</v>
          </cell>
          <cell r="B569" t="str">
            <v>ГРАНД-СЕРВИС</v>
          </cell>
          <cell r="C569" t="str">
            <v>МОС-ТОВ-КУР  (МСK)</v>
          </cell>
          <cell r="D569">
            <v>32509</v>
          </cell>
          <cell r="E569">
            <v>37782</v>
          </cell>
          <cell r="F569">
            <v>163</v>
          </cell>
          <cell r="G569">
            <v>36501</v>
          </cell>
          <cell r="H569">
            <v>1065</v>
          </cell>
          <cell r="I569" t="str">
            <v>деп</v>
          </cell>
          <cell r="J569">
            <v>38331</v>
          </cell>
        </row>
        <row r="570">
          <cell r="A570">
            <v>53706552</v>
          </cell>
          <cell r="B570" t="str">
            <v>ГРАНД-СЕРВИС</v>
          </cell>
          <cell r="C570" t="str">
            <v>МОС-ТОВ-КУР  (МСK)</v>
          </cell>
          <cell r="D570">
            <v>32051</v>
          </cell>
          <cell r="E570">
            <v>37862</v>
          </cell>
          <cell r="F570">
            <v>163</v>
          </cell>
          <cell r="G570">
            <v>35941</v>
          </cell>
          <cell r="H570">
            <v>1065</v>
          </cell>
          <cell r="I570" t="str">
            <v>деп</v>
          </cell>
          <cell r="J570">
            <v>38411</v>
          </cell>
        </row>
        <row r="571">
          <cell r="A571">
            <v>53706586</v>
          </cell>
          <cell r="B571" t="str">
            <v>ГРАНД-СЕРВИС</v>
          </cell>
          <cell r="C571" t="str">
            <v>МОС-ТОВ-КУР  (МСK)</v>
          </cell>
          <cell r="D571">
            <v>32143</v>
          </cell>
          <cell r="E571">
            <v>37970</v>
          </cell>
          <cell r="F571">
            <v>163</v>
          </cell>
          <cell r="G571">
            <v>36475</v>
          </cell>
          <cell r="H571">
            <v>1065</v>
          </cell>
          <cell r="I571" t="str">
            <v>деп</v>
          </cell>
          <cell r="J571">
            <v>38518</v>
          </cell>
        </row>
        <row r="572">
          <cell r="A572">
            <v>53706776</v>
          </cell>
          <cell r="B572" t="str">
            <v>ГРАНД-СЕРВИС</v>
          </cell>
          <cell r="C572" t="str">
            <v>МОС-ТОВ-КУР  (МСK)</v>
          </cell>
          <cell r="D572">
            <v>37894</v>
          </cell>
          <cell r="F572">
            <v>0</v>
          </cell>
          <cell r="H572">
            <v>0</v>
          </cell>
          <cell r="I572" t="str">
            <v>деп</v>
          </cell>
          <cell r="J572">
            <v>38806</v>
          </cell>
        </row>
        <row r="573">
          <cell r="A573">
            <v>53706784</v>
          </cell>
          <cell r="B573" t="str">
            <v>ГРАНД-СЕРВИС</v>
          </cell>
          <cell r="C573" t="str">
            <v>МОС-ТОВ-КУР  (МСK)</v>
          </cell>
          <cell r="D573">
            <v>37894</v>
          </cell>
          <cell r="F573">
            <v>0</v>
          </cell>
          <cell r="H573">
            <v>0</v>
          </cell>
          <cell r="I573" t="str">
            <v>деп</v>
          </cell>
          <cell r="J573">
            <v>38806</v>
          </cell>
        </row>
        <row r="574">
          <cell r="A574">
            <v>58726993</v>
          </cell>
          <cell r="B574" t="str">
            <v>ГРАНД-СЕРВИС</v>
          </cell>
          <cell r="C574" t="str">
            <v>МОС-ТОВ-КУР  (МСK)</v>
          </cell>
          <cell r="D574">
            <v>33171</v>
          </cell>
          <cell r="E574">
            <v>37489</v>
          </cell>
          <cell r="F574">
            <v>350</v>
          </cell>
          <cell r="H574">
            <v>0</v>
          </cell>
          <cell r="I574" t="str">
            <v>деп</v>
          </cell>
          <cell r="J574">
            <v>38038</v>
          </cell>
        </row>
        <row r="575">
          <cell r="A575">
            <v>58727090</v>
          </cell>
          <cell r="B575" t="str">
            <v>ГРАНД-СЕРВИС</v>
          </cell>
          <cell r="C575" t="str">
            <v>МОС-ТОВ-КУР  (МСK)</v>
          </cell>
          <cell r="D575">
            <v>33171</v>
          </cell>
          <cell r="E575">
            <v>37489</v>
          </cell>
          <cell r="F575">
            <v>350</v>
          </cell>
          <cell r="H575">
            <v>0</v>
          </cell>
          <cell r="I575" t="str">
            <v>деп</v>
          </cell>
          <cell r="J575">
            <v>38038</v>
          </cell>
        </row>
        <row r="576">
          <cell r="A576">
            <v>58727199</v>
          </cell>
          <cell r="B576" t="str">
            <v>ГРАНД-СЕРВИС</v>
          </cell>
          <cell r="C576" t="str">
            <v>МОС-ТОВ-КУР  (МСK)</v>
          </cell>
          <cell r="D576">
            <v>33171</v>
          </cell>
          <cell r="E576">
            <v>37489</v>
          </cell>
          <cell r="F576">
            <v>350</v>
          </cell>
          <cell r="H576">
            <v>0</v>
          </cell>
          <cell r="I576" t="str">
            <v>деп</v>
          </cell>
          <cell r="J576">
            <v>38038</v>
          </cell>
        </row>
        <row r="577">
          <cell r="A577">
            <v>58727298</v>
          </cell>
          <cell r="B577" t="str">
            <v>ГРАНД-СЕРВИС</v>
          </cell>
          <cell r="C577" t="str">
            <v>МОС-ТОВ-КУР  (МСK)</v>
          </cell>
          <cell r="D577">
            <v>33171</v>
          </cell>
          <cell r="E577">
            <v>37489</v>
          </cell>
          <cell r="F577">
            <v>350</v>
          </cell>
          <cell r="H577">
            <v>0</v>
          </cell>
          <cell r="I577" t="str">
            <v>деп</v>
          </cell>
          <cell r="J577">
            <v>38038</v>
          </cell>
        </row>
        <row r="578">
          <cell r="A578">
            <v>58740705</v>
          </cell>
          <cell r="B578" t="str">
            <v>ГРАНД-СЕРВИС</v>
          </cell>
          <cell r="C578" t="str">
            <v>МОС-ТОВ-КУР  (МСK)</v>
          </cell>
          <cell r="D578">
            <v>33234</v>
          </cell>
          <cell r="E578">
            <v>37776</v>
          </cell>
          <cell r="F578">
            <v>350</v>
          </cell>
          <cell r="H578">
            <v>0</v>
          </cell>
          <cell r="I578" t="str">
            <v>деп</v>
          </cell>
          <cell r="J578">
            <v>38325</v>
          </cell>
        </row>
        <row r="579">
          <cell r="A579">
            <v>58740820</v>
          </cell>
          <cell r="B579" t="str">
            <v>ГРАНД-СЕРВИС</v>
          </cell>
          <cell r="C579" t="str">
            <v>МОС-ТОВ-КУР  (МСK)</v>
          </cell>
          <cell r="D579">
            <v>32143</v>
          </cell>
          <cell r="E579">
            <v>37764</v>
          </cell>
          <cell r="F579">
            <v>163</v>
          </cell>
          <cell r="G579">
            <v>36487</v>
          </cell>
          <cell r="H579">
            <v>1065</v>
          </cell>
          <cell r="I579" t="str">
            <v>деп</v>
          </cell>
          <cell r="J579">
            <v>38314</v>
          </cell>
        </row>
        <row r="580">
          <cell r="A580">
            <v>58740838</v>
          </cell>
          <cell r="B580" t="str">
            <v>ГРАНД-СЕРВИС</v>
          </cell>
          <cell r="C580" t="str">
            <v>МОС-ТОВ-КУР  (МСK)</v>
          </cell>
          <cell r="D580">
            <v>32143</v>
          </cell>
          <cell r="E580">
            <v>37764</v>
          </cell>
          <cell r="F580">
            <v>163</v>
          </cell>
          <cell r="G580">
            <v>36487</v>
          </cell>
          <cell r="H580">
            <v>1065</v>
          </cell>
          <cell r="I580" t="str">
            <v>деп</v>
          </cell>
          <cell r="J580">
            <v>38314</v>
          </cell>
        </row>
        <row r="581">
          <cell r="A581">
            <v>58740846</v>
          </cell>
          <cell r="B581" t="str">
            <v>ГРАНД-СЕРВИС</v>
          </cell>
          <cell r="C581" t="str">
            <v>МОС-ТОВ-КУР  (МСK)</v>
          </cell>
          <cell r="D581">
            <v>32143</v>
          </cell>
          <cell r="E581">
            <v>37764</v>
          </cell>
          <cell r="F581">
            <v>163</v>
          </cell>
          <cell r="G581">
            <v>36487</v>
          </cell>
          <cell r="H581">
            <v>1065</v>
          </cell>
          <cell r="I581" t="str">
            <v>деп</v>
          </cell>
          <cell r="J581">
            <v>38314</v>
          </cell>
        </row>
        <row r="582">
          <cell r="A582">
            <v>58740853</v>
          </cell>
          <cell r="B582" t="str">
            <v>ГРАНД-СЕРВИС</v>
          </cell>
          <cell r="C582" t="str">
            <v>МОС-ТОВ-КУР  (МСK)</v>
          </cell>
          <cell r="D582">
            <v>32143</v>
          </cell>
          <cell r="E582">
            <v>37764</v>
          </cell>
          <cell r="F582">
            <v>163</v>
          </cell>
          <cell r="G582">
            <v>36487</v>
          </cell>
          <cell r="H582">
            <v>1065</v>
          </cell>
          <cell r="I582" t="str">
            <v>деп</v>
          </cell>
          <cell r="J582">
            <v>38314</v>
          </cell>
        </row>
        <row r="583">
          <cell r="A583">
            <v>58740861</v>
          </cell>
          <cell r="B583" t="str">
            <v>ГРАНД-СЕРВИС</v>
          </cell>
          <cell r="C583" t="str">
            <v>МОС-ТОВ-КУР  (МСK)</v>
          </cell>
          <cell r="D583">
            <v>32143</v>
          </cell>
          <cell r="E583">
            <v>37768</v>
          </cell>
          <cell r="F583">
            <v>163</v>
          </cell>
          <cell r="G583">
            <v>35960</v>
          </cell>
          <cell r="H583">
            <v>1065</v>
          </cell>
          <cell r="I583" t="str">
            <v>деп</v>
          </cell>
          <cell r="J583">
            <v>38318</v>
          </cell>
        </row>
        <row r="584">
          <cell r="A584">
            <v>58740879</v>
          </cell>
          <cell r="B584" t="str">
            <v>ГРАНД-СЕРВИС</v>
          </cell>
          <cell r="C584" t="str">
            <v>МОС-ТОВ-КУР  (МСK)</v>
          </cell>
          <cell r="D584">
            <v>32143</v>
          </cell>
          <cell r="E584">
            <v>37768</v>
          </cell>
          <cell r="F584">
            <v>163</v>
          </cell>
          <cell r="G584">
            <v>35960</v>
          </cell>
          <cell r="H584">
            <v>1065</v>
          </cell>
          <cell r="I584" t="str">
            <v>деп</v>
          </cell>
          <cell r="J584">
            <v>38318</v>
          </cell>
        </row>
        <row r="585">
          <cell r="A585">
            <v>58740887</v>
          </cell>
          <cell r="B585" t="str">
            <v>ГРАНД-СЕРВИС</v>
          </cell>
          <cell r="C585" t="str">
            <v>МОС-ТОВ-КУР  (МСK)</v>
          </cell>
          <cell r="D585">
            <v>32143</v>
          </cell>
          <cell r="E585">
            <v>37768</v>
          </cell>
          <cell r="F585">
            <v>163</v>
          </cell>
          <cell r="G585">
            <v>35960</v>
          </cell>
          <cell r="H585">
            <v>1065</v>
          </cell>
          <cell r="I585" t="str">
            <v>деп</v>
          </cell>
          <cell r="J585">
            <v>38318</v>
          </cell>
        </row>
        <row r="586">
          <cell r="A586">
            <v>58740903</v>
          </cell>
          <cell r="B586" t="str">
            <v>ГРАНД-СЕРВИС</v>
          </cell>
          <cell r="C586" t="str">
            <v>МОС-ТОВ-КУР  (МСK)</v>
          </cell>
          <cell r="D586">
            <v>32143</v>
          </cell>
          <cell r="E586">
            <v>37768</v>
          </cell>
          <cell r="F586">
            <v>163</v>
          </cell>
          <cell r="G586">
            <v>35960</v>
          </cell>
          <cell r="H586">
            <v>1065</v>
          </cell>
          <cell r="I586" t="str">
            <v>деп</v>
          </cell>
          <cell r="J586">
            <v>38318</v>
          </cell>
        </row>
        <row r="587">
          <cell r="A587">
            <v>58740911</v>
          </cell>
          <cell r="B587" t="str">
            <v>ГРАНД-СЕРВИС</v>
          </cell>
          <cell r="C587" t="str">
            <v>МОС-ТОВ-КУР  (МСK)</v>
          </cell>
          <cell r="D587">
            <v>32143</v>
          </cell>
          <cell r="E587">
            <v>37800</v>
          </cell>
          <cell r="F587">
            <v>163</v>
          </cell>
          <cell r="G587">
            <v>36455</v>
          </cell>
          <cell r="H587">
            <v>1065</v>
          </cell>
          <cell r="I587" t="str">
            <v>деп</v>
          </cell>
          <cell r="J587">
            <v>38349</v>
          </cell>
        </row>
        <row r="588">
          <cell r="A588">
            <v>58740929</v>
          </cell>
          <cell r="B588" t="str">
            <v>ГРАНД-СЕРВИС</v>
          </cell>
          <cell r="C588" t="str">
            <v>МОС-ТОВ-КУР  (МСK)</v>
          </cell>
          <cell r="D588">
            <v>32143</v>
          </cell>
          <cell r="E588">
            <v>37800</v>
          </cell>
          <cell r="F588">
            <v>163</v>
          </cell>
          <cell r="G588">
            <v>36455</v>
          </cell>
          <cell r="H588">
            <v>1065</v>
          </cell>
          <cell r="I588" t="str">
            <v>деп</v>
          </cell>
          <cell r="J588">
            <v>38349</v>
          </cell>
        </row>
        <row r="589">
          <cell r="A589">
            <v>58740937</v>
          </cell>
          <cell r="B589" t="str">
            <v>ГРАНД-СЕРВИС</v>
          </cell>
          <cell r="C589" t="str">
            <v>МОС-ТОВ-КУР  (МСK)</v>
          </cell>
          <cell r="D589">
            <v>32143</v>
          </cell>
          <cell r="E589">
            <v>37800</v>
          </cell>
          <cell r="F589">
            <v>163</v>
          </cell>
          <cell r="G589">
            <v>36455</v>
          </cell>
          <cell r="H589">
            <v>1065</v>
          </cell>
          <cell r="I589" t="str">
            <v>деп</v>
          </cell>
          <cell r="J589">
            <v>38349</v>
          </cell>
        </row>
        <row r="590">
          <cell r="A590">
            <v>58740945</v>
          </cell>
          <cell r="B590" t="str">
            <v>ГРАНД-СЕРВИС</v>
          </cell>
          <cell r="C590" t="str">
            <v>МОС-ТОВ-КУР  (МСK)</v>
          </cell>
          <cell r="D590">
            <v>32143</v>
          </cell>
          <cell r="E590">
            <v>37800</v>
          </cell>
          <cell r="F590">
            <v>163</v>
          </cell>
          <cell r="G590">
            <v>36455</v>
          </cell>
          <cell r="H590">
            <v>1065</v>
          </cell>
          <cell r="I590" t="str">
            <v>деп</v>
          </cell>
          <cell r="J590">
            <v>38349</v>
          </cell>
        </row>
        <row r="591">
          <cell r="A591">
            <v>58741018</v>
          </cell>
          <cell r="B591" t="str">
            <v>ГРАНД-СЕРВИС</v>
          </cell>
          <cell r="C591" t="str">
            <v>МОС-ТОВ-КУР  (МСK)</v>
          </cell>
          <cell r="D591">
            <v>32509</v>
          </cell>
          <cell r="E591">
            <v>37782</v>
          </cell>
          <cell r="F591">
            <v>163</v>
          </cell>
          <cell r="G591">
            <v>36501</v>
          </cell>
          <cell r="H591">
            <v>1065</v>
          </cell>
          <cell r="I591" t="str">
            <v>деп</v>
          </cell>
          <cell r="J591">
            <v>38331</v>
          </cell>
        </row>
        <row r="592">
          <cell r="A592">
            <v>58741026</v>
          </cell>
          <cell r="B592" t="str">
            <v>ГРАНД-СЕРВИС</v>
          </cell>
          <cell r="C592" t="str">
            <v>МОС-ТОВ-КУР  (МСK)</v>
          </cell>
          <cell r="D592">
            <v>32509</v>
          </cell>
          <cell r="E592">
            <v>37782</v>
          </cell>
          <cell r="F592">
            <v>163</v>
          </cell>
          <cell r="G592">
            <v>36501</v>
          </cell>
          <cell r="H592">
            <v>1065</v>
          </cell>
          <cell r="I592" t="str">
            <v>деп</v>
          </cell>
          <cell r="J592">
            <v>38331</v>
          </cell>
        </row>
        <row r="593">
          <cell r="A593">
            <v>58741034</v>
          </cell>
          <cell r="B593" t="str">
            <v>ГРАНД-СЕРВИС</v>
          </cell>
          <cell r="C593" t="str">
            <v>МОС-ТОВ-КУР  (МСK)</v>
          </cell>
          <cell r="D593">
            <v>32509</v>
          </cell>
          <cell r="E593">
            <v>37782</v>
          </cell>
          <cell r="F593">
            <v>163</v>
          </cell>
          <cell r="G593">
            <v>36501</v>
          </cell>
          <cell r="H593">
            <v>1065</v>
          </cell>
          <cell r="I593" t="str">
            <v>деп</v>
          </cell>
          <cell r="J593">
            <v>38331</v>
          </cell>
        </row>
        <row r="594">
          <cell r="A594">
            <v>58741042</v>
          </cell>
          <cell r="B594" t="str">
            <v>ГРАНД-СЕРВИС</v>
          </cell>
          <cell r="C594" t="str">
            <v>МОС-ТОВ-КУР  (МСK)</v>
          </cell>
          <cell r="D594">
            <v>32509</v>
          </cell>
          <cell r="E594">
            <v>37782</v>
          </cell>
          <cell r="F594">
            <v>163</v>
          </cell>
          <cell r="G594">
            <v>36501</v>
          </cell>
          <cell r="H594">
            <v>1065</v>
          </cell>
          <cell r="I594" t="str">
            <v>деп</v>
          </cell>
          <cell r="J594">
            <v>38331</v>
          </cell>
        </row>
        <row r="595">
          <cell r="A595">
            <v>58741059</v>
          </cell>
          <cell r="B595" t="str">
            <v>ГРАНД-СЕРВИС</v>
          </cell>
          <cell r="C595" t="str">
            <v>МОС-ТОВ-КУР  (МСK)</v>
          </cell>
          <cell r="D595">
            <v>32051</v>
          </cell>
          <cell r="E595">
            <v>37862</v>
          </cell>
          <cell r="F595">
            <v>163</v>
          </cell>
          <cell r="G595">
            <v>35941</v>
          </cell>
          <cell r="H595">
            <v>1065</v>
          </cell>
          <cell r="I595" t="str">
            <v>деп</v>
          </cell>
          <cell r="J595">
            <v>38411</v>
          </cell>
        </row>
        <row r="596">
          <cell r="A596">
            <v>58741067</v>
          </cell>
          <cell r="B596" t="str">
            <v>ГРАНД-СЕРВИС</v>
          </cell>
          <cell r="C596" t="str">
            <v>МОС-ТОВ-КУР  (МСK)</v>
          </cell>
          <cell r="D596">
            <v>32051</v>
          </cell>
          <cell r="E596">
            <v>37862</v>
          </cell>
          <cell r="F596">
            <v>163</v>
          </cell>
          <cell r="G596">
            <v>35941</v>
          </cell>
          <cell r="H596">
            <v>1065</v>
          </cell>
          <cell r="I596" t="str">
            <v>деп</v>
          </cell>
          <cell r="J596">
            <v>38411</v>
          </cell>
        </row>
        <row r="597">
          <cell r="A597">
            <v>58741075</v>
          </cell>
          <cell r="B597" t="str">
            <v>ГРАНД-СЕРВИС</v>
          </cell>
          <cell r="C597" t="str">
            <v>МОС-ТОВ-КУР  (МСK)</v>
          </cell>
          <cell r="D597">
            <v>32051</v>
          </cell>
          <cell r="E597">
            <v>37862</v>
          </cell>
          <cell r="F597">
            <v>163</v>
          </cell>
          <cell r="G597">
            <v>35941</v>
          </cell>
          <cell r="H597">
            <v>1065</v>
          </cell>
          <cell r="I597" t="str">
            <v>деп</v>
          </cell>
          <cell r="J597">
            <v>38411</v>
          </cell>
        </row>
        <row r="598">
          <cell r="A598">
            <v>58741083</v>
          </cell>
          <cell r="B598" t="str">
            <v>ГРАНД-СЕРВИС</v>
          </cell>
          <cell r="C598" t="str">
            <v>МОС-ТОВ-КУР  (МСK)</v>
          </cell>
          <cell r="D598">
            <v>32051</v>
          </cell>
          <cell r="E598">
            <v>37862</v>
          </cell>
          <cell r="F598">
            <v>163</v>
          </cell>
          <cell r="G598">
            <v>35941</v>
          </cell>
          <cell r="H598">
            <v>1065</v>
          </cell>
          <cell r="I598" t="str">
            <v>деп</v>
          </cell>
          <cell r="J598">
            <v>38411</v>
          </cell>
        </row>
        <row r="599">
          <cell r="A599">
            <v>58741117</v>
          </cell>
          <cell r="B599" t="str">
            <v>ГРАНД-СЕРВИС</v>
          </cell>
          <cell r="C599" t="str">
            <v>МОС-ТОВ-КУР  (МСK)</v>
          </cell>
          <cell r="D599">
            <v>32143</v>
          </cell>
          <cell r="E599">
            <v>37970</v>
          </cell>
          <cell r="F599">
            <v>163</v>
          </cell>
          <cell r="G599">
            <v>36475</v>
          </cell>
          <cell r="H599">
            <v>1065</v>
          </cell>
          <cell r="I599" t="str">
            <v>деп</v>
          </cell>
          <cell r="J599">
            <v>38518</v>
          </cell>
        </row>
        <row r="600">
          <cell r="A600">
            <v>58741125</v>
          </cell>
          <cell r="B600" t="str">
            <v>ГРАНД-СЕРВИС</v>
          </cell>
          <cell r="C600" t="str">
            <v>МОС-ТОВ-КУР  (МСK)</v>
          </cell>
          <cell r="D600">
            <v>32143</v>
          </cell>
          <cell r="E600">
            <v>37970</v>
          </cell>
          <cell r="F600">
            <v>163</v>
          </cell>
          <cell r="G600">
            <v>36475</v>
          </cell>
          <cell r="H600">
            <v>1065</v>
          </cell>
          <cell r="I600" t="str">
            <v>деп</v>
          </cell>
          <cell r="J600">
            <v>38518</v>
          </cell>
        </row>
        <row r="601">
          <cell r="A601">
            <v>58741133</v>
          </cell>
          <cell r="B601" t="str">
            <v>ГРАНД-СЕРВИС</v>
          </cell>
          <cell r="C601" t="str">
            <v>МОС-ТОВ-КУР  (МСK)</v>
          </cell>
          <cell r="D601">
            <v>32143</v>
          </cell>
          <cell r="E601">
            <v>37970</v>
          </cell>
          <cell r="F601">
            <v>163</v>
          </cell>
          <cell r="G601">
            <v>36475</v>
          </cell>
          <cell r="H601">
            <v>1065</v>
          </cell>
          <cell r="I601" t="str">
            <v>деп</v>
          </cell>
          <cell r="J601">
            <v>38518</v>
          </cell>
        </row>
        <row r="602">
          <cell r="A602">
            <v>58741141</v>
          </cell>
          <cell r="B602" t="str">
            <v>ГРАНД-СЕРВИС</v>
          </cell>
          <cell r="C602" t="str">
            <v>МОС-ТОВ-КУР  (МСK)</v>
          </cell>
          <cell r="D602">
            <v>32143</v>
          </cell>
          <cell r="E602">
            <v>37970</v>
          </cell>
          <cell r="F602">
            <v>163</v>
          </cell>
          <cell r="G602">
            <v>36475</v>
          </cell>
          <cell r="H602">
            <v>1065</v>
          </cell>
          <cell r="I602" t="str">
            <v>деп</v>
          </cell>
          <cell r="J602">
            <v>38518</v>
          </cell>
        </row>
        <row r="603">
          <cell r="B603" t="str">
            <v>ГРАНД-СЕРВИС Количество</v>
          </cell>
          <cell r="D603">
            <v>38</v>
          </cell>
        </row>
        <row r="604">
          <cell r="A604">
            <v>53701454</v>
          </cell>
          <cell r="B604" t="str">
            <v>ГУДМАН</v>
          </cell>
          <cell r="C604" t="str">
            <v>МОС-ТОВ-КУР  (МСK)</v>
          </cell>
          <cell r="D604">
            <v>33543</v>
          </cell>
          <cell r="E604">
            <v>37778</v>
          </cell>
          <cell r="F604">
            <v>163</v>
          </cell>
          <cell r="H604">
            <v>0</v>
          </cell>
          <cell r="I604" t="str">
            <v>деп</v>
          </cell>
          <cell r="J604">
            <v>38327</v>
          </cell>
        </row>
        <row r="605">
          <cell r="A605">
            <v>53701736</v>
          </cell>
          <cell r="B605" t="str">
            <v>ГУДМАН</v>
          </cell>
          <cell r="C605" t="str">
            <v>ЛЮБЕРЦЫ 1    (МСK)</v>
          </cell>
          <cell r="D605">
            <v>33473</v>
          </cell>
          <cell r="E605">
            <v>37217</v>
          </cell>
          <cell r="F605">
            <v>335</v>
          </cell>
          <cell r="H605">
            <v>0</v>
          </cell>
          <cell r="I605" t="str">
            <v>кап</v>
          </cell>
          <cell r="J605">
            <v>38313</v>
          </cell>
        </row>
        <row r="606">
          <cell r="A606">
            <v>58339052</v>
          </cell>
          <cell r="B606" t="str">
            <v>ГУДМАН</v>
          </cell>
          <cell r="C606" t="str">
            <v>ЛЮБЕРЦЫ 1    (МСK)</v>
          </cell>
          <cell r="D606">
            <v>33473</v>
          </cell>
          <cell r="E606">
            <v>37974</v>
          </cell>
          <cell r="F606">
            <v>647</v>
          </cell>
          <cell r="H606">
            <v>0</v>
          </cell>
          <cell r="I606" t="str">
            <v>деп</v>
          </cell>
          <cell r="J606">
            <v>38705</v>
          </cell>
        </row>
        <row r="607">
          <cell r="A607">
            <v>58339060</v>
          </cell>
          <cell r="B607" t="str">
            <v>ГУДМАН</v>
          </cell>
          <cell r="C607" t="str">
            <v>ЛЮБЕРЦЫ 1    (МСK)</v>
          </cell>
          <cell r="D607">
            <v>33469</v>
          </cell>
          <cell r="E607">
            <v>37975</v>
          </cell>
          <cell r="F607">
            <v>647</v>
          </cell>
          <cell r="H607">
            <v>0</v>
          </cell>
          <cell r="I607" t="str">
            <v>деп</v>
          </cell>
          <cell r="J607">
            <v>38706</v>
          </cell>
        </row>
        <row r="608">
          <cell r="A608">
            <v>58339078</v>
          </cell>
          <cell r="B608" t="str">
            <v>ГУДМАН</v>
          </cell>
          <cell r="C608" t="str">
            <v>ЛЮБЕРЦЫ 1    (МСK)</v>
          </cell>
          <cell r="D608">
            <v>33493</v>
          </cell>
          <cell r="E608">
            <v>37973</v>
          </cell>
          <cell r="F608">
            <v>647</v>
          </cell>
          <cell r="H608">
            <v>0</v>
          </cell>
          <cell r="I608" t="str">
            <v>деп</v>
          </cell>
          <cell r="J608">
            <v>38704</v>
          </cell>
        </row>
        <row r="609">
          <cell r="A609">
            <v>58339086</v>
          </cell>
          <cell r="B609" t="str">
            <v>ГУДМАН</v>
          </cell>
          <cell r="C609" t="str">
            <v>ЛЮБЕРЦЫ 1    (МСK)</v>
          </cell>
          <cell r="D609">
            <v>33477</v>
          </cell>
          <cell r="E609">
            <v>37973</v>
          </cell>
          <cell r="F609">
            <v>647</v>
          </cell>
          <cell r="H609">
            <v>0</v>
          </cell>
          <cell r="I609" t="str">
            <v>деп</v>
          </cell>
          <cell r="J609">
            <v>38704</v>
          </cell>
        </row>
        <row r="610">
          <cell r="A610">
            <v>58724832</v>
          </cell>
          <cell r="B610" t="str">
            <v>ГУДМАН</v>
          </cell>
          <cell r="C610" t="str">
            <v>МОС-ТОВ-КУР  (МСK)</v>
          </cell>
          <cell r="D610">
            <v>33573</v>
          </cell>
          <cell r="E610">
            <v>37778</v>
          </cell>
          <cell r="F610">
            <v>163</v>
          </cell>
          <cell r="H610">
            <v>0</v>
          </cell>
          <cell r="I610" t="str">
            <v>деп</v>
          </cell>
          <cell r="J610">
            <v>38327</v>
          </cell>
        </row>
        <row r="611">
          <cell r="A611">
            <v>58724840</v>
          </cell>
          <cell r="B611" t="str">
            <v>ГУДМАН</v>
          </cell>
          <cell r="C611" t="str">
            <v>МОС-ТОВ-КУР  (МСK)</v>
          </cell>
          <cell r="D611">
            <v>33573</v>
          </cell>
          <cell r="E611">
            <v>37778</v>
          </cell>
          <cell r="F611">
            <v>163</v>
          </cell>
          <cell r="H611">
            <v>0</v>
          </cell>
          <cell r="I611" t="str">
            <v>деп</v>
          </cell>
          <cell r="J611">
            <v>38327</v>
          </cell>
        </row>
        <row r="612">
          <cell r="A612">
            <v>58724857</v>
          </cell>
          <cell r="B612" t="str">
            <v>ГУДМАН</v>
          </cell>
          <cell r="C612" t="str">
            <v>МОС-ТОВ-КУР  (МСK)</v>
          </cell>
          <cell r="D612">
            <v>33573</v>
          </cell>
          <cell r="E612">
            <v>37778</v>
          </cell>
          <cell r="F612">
            <v>163</v>
          </cell>
          <cell r="H612">
            <v>0</v>
          </cell>
          <cell r="I612" t="str">
            <v>деп</v>
          </cell>
          <cell r="J612">
            <v>38327</v>
          </cell>
        </row>
        <row r="613">
          <cell r="A613">
            <v>58724865</v>
          </cell>
          <cell r="B613" t="str">
            <v>ГУДМАН</v>
          </cell>
          <cell r="C613" t="str">
            <v>МОС-ТОВ-КУР  (МСK)</v>
          </cell>
          <cell r="D613">
            <v>33573</v>
          </cell>
          <cell r="E613">
            <v>37778</v>
          </cell>
          <cell r="F613">
            <v>163</v>
          </cell>
          <cell r="H613">
            <v>0</v>
          </cell>
          <cell r="I613" t="str">
            <v>деп</v>
          </cell>
          <cell r="J613">
            <v>38327</v>
          </cell>
        </row>
        <row r="614">
          <cell r="B614" t="str">
            <v>ГУДМАН Количество</v>
          </cell>
          <cell r="D614">
            <v>10</v>
          </cell>
        </row>
        <row r="615">
          <cell r="A615">
            <v>58342460</v>
          </cell>
          <cell r="B615" t="str">
            <v>ГУДП ТПП ДЦРС СЕВЕРНОЙ Ж.Д</v>
          </cell>
          <cell r="C615" t="str">
            <v>ВОРКУТА      (СЕВ)</v>
          </cell>
          <cell r="D615">
            <v>31017</v>
          </cell>
          <cell r="E615">
            <v>36936</v>
          </cell>
          <cell r="F615">
            <v>727</v>
          </cell>
          <cell r="H615">
            <v>0</v>
          </cell>
          <cell r="I615" t="str">
            <v>кап</v>
          </cell>
          <cell r="J615">
            <v>37482</v>
          </cell>
        </row>
        <row r="616">
          <cell r="B616" t="str">
            <v>ГУДП ТПП ДЦРС СЕВЕРНОЙ Ж.Д Количество</v>
          </cell>
          <cell r="D616">
            <v>1</v>
          </cell>
        </row>
        <row r="617">
          <cell r="A617">
            <v>53702874</v>
          </cell>
          <cell r="B617" t="str">
            <v>ГУП ДРСУ-1 АВТОДОР.С-У-Ч.</v>
          </cell>
          <cell r="C617" t="str">
            <v>ИГЛИНО       (КБШ)</v>
          </cell>
          <cell r="D617">
            <v>33970</v>
          </cell>
          <cell r="E617">
            <v>36495</v>
          </cell>
          <cell r="F617">
            <v>598</v>
          </cell>
          <cell r="G617">
            <v>37331</v>
          </cell>
          <cell r="H617">
            <v>594</v>
          </cell>
          <cell r="I617" t="str">
            <v>деп</v>
          </cell>
          <cell r="J617">
            <v>38427</v>
          </cell>
        </row>
        <row r="618">
          <cell r="B618" t="str">
            <v>ГУП ДРСУ-1 АВТОДОР.С-У-Ч. Количество</v>
          </cell>
          <cell r="D618">
            <v>1</v>
          </cell>
        </row>
        <row r="619">
          <cell r="A619">
            <v>53701124</v>
          </cell>
          <cell r="B619" t="str">
            <v>ДАЛЬМОРСНАБ</v>
          </cell>
          <cell r="C619" t="str">
            <v>УССУРИЙСК    (ДВС)</v>
          </cell>
          <cell r="D619">
            <v>33298</v>
          </cell>
          <cell r="E619">
            <v>37700</v>
          </cell>
          <cell r="F619">
            <v>557</v>
          </cell>
          <cell r="H619">
            <v>0</v>
          </cell>
          <cell r="I619" t="str">
            <v>деп</v>
          </cell>
          <cell r="J619">
            <v>38250</v>
          </cell>
        </row>
        <row r="620">
          <cell r="A620">
            <v>53705679</v>
          </cell>
          <cell r="B620" t="str">
            <v>ДАЛЬМОРСНАБ</v>
          </cell>
          <cell r="C620" t="str">
            <v>УССУРИЙСК    (ДВС)</v>
          </cell>
          <cell r="D620">
            <v>37057</v>
          </cell>
          <cell r="E620">
            <v>37979</v>
          </cell>
          <cell r="F620">
            <v>350</v>
          </cell>
          <cell r="H620">
            <v>0</v>
          </cell>
          <cell r="I620" t="str">
            <v>деп</v>
          </cell>
          <cell r="J620">
            <v>38527</v>
          </cell>
        </row>
        <row r="621">
          <cell r="A621">
            <v>58722653</v>
          </cell>
          <cell r="B621" t="str">
            <v>ДАЛЬМОРСНАБ</v>
          </cell>
          <cell r="C621" t="str">
            <v>УССУРИЙСК    (ДВС)</v>
          </cell>
          <cell r="D621">
            <v>33298</v>
          </cell>
          <cell r="E621">
            <v>37700</v>
          </cell>
          <cell r="F621">
            <v>557</v>
          </cell>
          <cell r="H621">
            <v>0</v>
          </cell>
          <cell r="I621" t="str">
            <v>деп</v>
          </cell>
          <cell r="J621">
            <v>38250</v>
          </cell>
        </row>
        <row r="622">
          <cell r="A622">
            <v>58722661</v>
          </cell>
          <cell r="B622" t="str">
            <v>ДАЛЬМОРСНАБ</v>
          </cell>
          <cell r="C622" t="str">
            <v>УССУРИЙСК    (ДВС)</v>
          </cell>
          <cell r="D622">
            <v>33298</v>
          </cell>
          <cell r="E622">
            <v>37700</v>
          </cell>
          <cell r="F622">
            <v>557</v>
          </cell>
          <cell r="H622">
            <v>0</v>
          </cell>
          <cell r="I622" t="str">
            <v>деп</v>
          </cell>
          <cell r="J622">
            <v>38250</v>
          </cell>
        </row>
        <row r="623">
          <cell r="A623">
            <v>58722679</v>
          </cell>
          <cell r="B623" t="str">
            <v>ДАЛЬМОРСНАБ</v>
          </cell>
          <cell r="C623" t="str">
            <v>УССУРИЙСК    (ДВС)</v>
          </cell>
          <cell r="D623">
            <v>33298</v>
          </cell>
          <cell r="E623">
            <v>37700</v>
          </cell>
          <cell r="F623">
            <v>557</v>
          </cell>
          <cell r="H623">
            <v>0</v>
          </cell>
          <cell r="I623" t="str">
            <v>деп</v>
          </cell>
          <cell r="J623">
            <v>38250</v>
          </cell>
        </row>
        <row r="624">
          <cell r="A624">
            <v>58722687</v>
          </cell>
          <cell r="B624" t="str">
            <v>ДАЛЬМОРСНАБ</v>
          </cell>
          <cell r="C624" t="str">
            <v>УССУРИЙСК    (ДВС)</v>
          </cell>
          <cell r="D624">
            <v>33298</v>
          </cell>
          <cell r="E624">
            <v>37700</v>
          </cell>
          <cell r="F624">
            <v>557</v>
          </cell>
          <cell r="H624">
            <v>0</v>
          </cell>
          <cell r="I624" t="str">
            <v>деп</v>
          </cell>
          <cell r="J624">
            <v>38250</v>
          </cell>
        </row>
        <row r="625">
          <cell r="A625">
            <v>58724949</v>
          </cell>
          <cell r="B625" t="str">
            <v>ДАЛЬМОРСНАБ</v>
          </cell>
          <cell r="C625" t="str">
            <v>УССУРИЙСК    (ДВС)</v>
          </cell>
          <cell r="D625">
            <v>37057</v>
          </cell>
          <cell r="E625">
            <v>37979</v>
          </cell>
          <cell r="F625">
            <v>350</v>
          </cell>
          <cell r="H625">
            <v>0</v>
          </cell>
          <cell r="I625" t="str">
            <v>деп</v>
          </cell>
          <cell r="J625">
            <v>38527</v>
          </cell>
        </row>
        <row r="626">
          <cell r="A626">
            <v>58724956</v>
          </cell>
          <cell r="B626" t="str">
            <v>ДАЛЬМОРСНАБ</v>
          </cell>
          <cell r="C626" t="str">
            <v>УССУРИЙСК    (ДВС)</v>
          </cell>
          <cell r="D626">
            <v>37057</v>
          </cell>
          <cell r="E626">
            <v>37979</v>
          </cell>
          <cell r="F626">
            <v>350</v>
          </cell>
          <cell r="H626">
            <v>0</v>
          </cell>
          <cell r="I626" t="str">
            <v>деп</v>
          </cell>
          <cell r="J626">
            <v>38527</v>
          </cell>
        </row>
        <row r="627">
          <cell r="A627">
            <v>58724964</v>
          </cell>
          <cell r="B627" t="str">
            <v>ДАЛЬМОРСНАБ</v>
          </cell>
          <cell r="C627" t="str">
            <v>УССУРИЙСК    (ДВС)</v>
          </cell>
          <cell r="D627">
            <v>37057</v>
          </cell>
          <cell r="E627">
            <v>37979</v>
          </cell>
          <cell r="F627">
            <v>350</v>
          </cell>
          <cell r="H627">
            <v>0</v>
          </cell>
          <cell r="I627" t="str">
            <v>деп</v>
          </cell>
          <cell r="J627">
            <v>38527</v>
          </cell>
        </row>
        <row r="628">
          <cell r="A628">
            <v>58724972</v>
          </cell>
          <cell r="B628" t="str">
            <v>ДАЛЬМОРСНАБ</v>
          </cell>
          <cell r="C628" t="str">
            <v>УССУРИЙСК    (ДВС)</v>
          </cell>
          <cell r="D628">
            <v>37057</v>
          </cell>
          <cell r="E628">
            <v>37979</v>
          </cell>
          <cell r="F628">
            <v>350</v>
          </cell>
          <cell r="H628">
            <v>0</v>
          </cell>
          <cell r="I628" t="str">
            <v>деп</v>
          </cell>
          <cell r="J628">
            <v>38527</v>
          </cell>
        </row>
        <row r="629">
          <cell r="B629" t="str">
            <v>ДАЛЬМОРСНАБ Количество</v>
          </cell>
          <cell r="D629">
            <v>10</v>
          </cell>
        </row>
        <row r="630">
          <cell r="A630">
            <v>53700837</v>
          </cell>
          <cell r="B630" t="str">
            <v>ДАЛЬПРОМЖЕЛДОРТРАНС АРТЕМ.</v>
          </cell>
          <cell r="C630" t="str">
            <v>АРТЕМ-ПРИМ 1 (ДВС)</v>
          </cell>
          <cell r="D630">
            <v>33451</v>
          </cell>
          <cell r="E630">
            <v>37697</v>
          </cell>
          <cell r="F630">
            <v>163</v>
          </cell>
          <cell r="I630" t="str">
            <v>кап</v>
          </cell>
          <cell r="J630">
            <v>38793</v>
          </cell>
        </row>
        <row r="631">
          <cell r="B631" t="str">
            <v>ДАЛЬПРОМЖЕЛДОРТРАНС АРТЕМ. Количество</v>
          </cell>
          <cell r="D631">
            <v>1</v>
          </cell>
        </row>
        <row r="632">
          <cell r="A632">
            <v>53700811</v>
          </cell>
          <cell r="B632" t="str">
            <v>ДАЛЬПРОМЖЕЛДОРТРАНС УССУР.</v>
          </cell>
          <cell r="C632" t="str">
            <v>УССУРИЙСК    (ДВС)</v>
          </cell>
          <cell r="D632">
            <v>33239</v>
          </cell>
          <cell r="E632">
            <v>37195</v>
          </cell>
          <cell r="F632">
            <v>163</v>
          </cell>
          <cell r="I632" t="str">
            <v>кап</v>
          </cell>
          <cell r="J632">
            <v>38291</v>
          </cell>
        </row>
        <row r="633">
          <cell r="A633">
            <v>53700829</v>
          </cell>
          <cell r="B633" t="str">
            <v>ДАЛЬПРОМЖЕЛДОРТРАНС УССУР.</v>
          </cell>
          <cell r="C633" t="str">
            <v>УССУРИЙСК    (ДВС)</v>
          </cell>
          <cell r="D633">
            <v>33239</v>
          </cell>
          <cell r="E633">
            <v>38015</v>
          </cell>
          <cell r="F633">
            <v>163</v>
          </cell>
          <cell r="I633" t="str">
            <v>кап</v>
          </cell>
          <cell r="J633">
            <v>39111</v>
          </cell>
        </row>
        <row r="634">
          <cell r="A634">
            <v>53700845</v>
          </cell>
          <cell r="B634" t="str">
            <v>ДАЛЬПРОМЖЕЛДОРТРАНС УССУР.</v>
          </cell>
          <cell r="C634" t="str">
            <v>УССУРИЙСК    (ДВС)</v>
          </cell>
          <cell r="D634">
            <v>33239</v>
          </cell>
          <cell r="E634">
            <v>37279</v>
          </cell>
          <cell r="F634">
            <v>163</v>
          </cell>
          <cell r="I634" t="str">
            <v>кап</v>
          </cell>
          <cell r="J634">
            <v>38375</v>
          </cell>
        </row>
        <row r="635">
          <cell r="A635">
            <v>53700852</v>
          </cell>
          <cell r="B635" t="str">
            <v>ДАЛЬПРОМЖЕЛДОРТРАНС УССУР.</v>
          </cell>
          <cell r="C635" t="str">
            <v>УССУРИЙСК    (ДВС)</v>
          </cell>
          <cell r="D635">
            <v>33239</v>
          </cell>
          <cell r="E635">
            <v>37216</v>
          </cell>
          <cell r="F635">
            <v>163</v>
          </cell>
          <cell r="I635" t="str">
            <v>кап</v>
          </cell>
          <cell r="J635">
            <v>38312</v>
          </cell>
        </row>
        <row r="636">
          <cell r="A636">
            <v>53700860</v>
          </cell>
          <cell r="B636" t="str">
            <v>ДАЛЬПРОМЖЕЛДОРТРАНС УССУР.</v>
          </cell>
          <cell r="C636" t="str">
            <v>УССУРИЙСК    (ДВС)</v>
          </cell>
          <cell r="D636">
            <v>33239</v>
          </cell>
          <cell r="E636">
            <v>38014</v>
          </cell>
          <cell r="F636">
            <v>163</v>
          </cell>
          <cell r="I636" t="str">
            <v>кап</v>
          </cell>
          <cell r="J636">
            <v>39110</v>
          </cell>
        </row>
        <row r="637">
          <cell r="B637" t="str">
            <v>ДАЛЬПРОМЖЕЛДОРТРАНС УССУР. Количество</v>
          </cell>
          <cell r="D637">
            <v>5</v>
          </cell>
        </row>
        <row r="638">
          <cell r="A638">
            <v>53704524</v>
          </cell>
          <cell r="B638" t="str">
            <v>ДВС УНИВЕРСИТЕТ ПУТ.СООБЩ.</v>
          </cell>
          <cell r="C638" t="str">
            <v>ХАБАРОВСК 1  (ДВС)</v>
          </cell>
          <cell r="D638">
            <v>30437</v>
          </cell>
          <cell r="E638">
            <v>37791</v>
          </cell>
          <cell r="F638">
            <v>886</v>
          </cell>
          <cell r="G638">
            <v>34667</v>
          </cell>
          <cell r="H638">
            <v>0</v>
          </cell>
          <cell r="I638" t="str">
            <v>деп</v>
          </cell>
          <cell r="J638">
            <v>38340</v>
          </cell>
        </row>
        <row r="639">
          <cell r="A639">
            <v>58725748</v>
          </cell>
          <cell r="B639" t="str">
            <v>ДВС УНИВЕРСИТЕТ ПУТ.СООБЩ.</v>
          </cell>
          <cell r="C639" t="str">
            <v>ХАБАРОВСК 1  (ДВС)</v>
          </cell>
          <cell r="D639">
            <v>30437</v>
          </cell>
          <cell r="E639">
            <v>37791</v>
          </cell>
          <cell r="F639">
            <v>886</v>
          </cell>
          <cell r="G639">
            <v>34667</v>
          </cell>
          <cell r="H639">
            <v>0</v>
          </cell>
          <cell r="I639" t="str">
            <v>деп</v>
          </cell>
          <cell r="J639">
            <v>38340</v>
          </cell>
        </row>
        <row r="640">
          <cell r="A640">
            <v>58725755</v>
          </cell>
          <cell r="B640" t="str">
            <v>ДВС УНИВЕРСИТЕТ ПУТ.СООБЩ.</v>
          </cell>
          <cell r="C640" t="str">
            <v>ХАБАРОВСК 1  (ДВС)</v>
          </cell>
          <cell r="D640">
            <v>30437</v>
          </cell>
          <cell r="E640">
            <v>37791</v>
          </cell>
          <cell r="F640">
            <v>886</v>
          </cell>
          <cell r="G640">
            <v>34667</v>
          </cell>
          <cell r="H640">
            <v>0</v>
          </cell>
          <cell r="I640" t="str">
            <v>деп</v>
          </cell>
          <cell r="J640">
            <v>38340</v>
          </cell>
        </row>
        <row r="641">
          <cell r="A641">
            <v>58725763</v>
          </cell>
          <cell r="B641" t="str">
            <v>ДВС УНИВЕРСИТЕТ ПУТ.СООБЩ.</v>
          </cell>
          <cell r="C641" t="str">
            <v>ХАБАРОВСК 1  (ДВС)</v>
          </cell>
          <cell r="D641">
            <v>30437</v>
          </cell>
          <cell r="E641">
            <v>37791</v>
          </cell>
          <cell r="F641">
            <v>886</v>
          </cell>
          <cell r="G641">
            <v>34667</v>
          </cell>
          <cell r="H641">
            <v>0</v>
          </cell>
          <cell r="I641" t="str">
            <v>деп</v>
          </cell>
          <cell r="J641">
            <v>38340</v>
          </cell>
        </row>
        <row r="642">
          <cell r="A642">
            <v>58725771</v>
          </cell>
          <cell r="B642" t="str">
            <v>ДВС УНИВЕРСИТЕТ ПУТ.СООБЩ.</v>
          </cell>
          <cell r="C642" t="str">
            <v>ХАБАРОВСК 1  (ДВС)</v>
          </cell>
          <cell r="D642">
            <v>30437</v>
          </cell>
          <cell r="E642">
            <v>37791</v>
          </cell>
          <cell r="F642">
            <v>886</v>
          </cell>
          <cell r="G642">
            <v>34667</v>
          </cell>
          <cell r="H642">
            <v>0</v>
          </cell>
          <cell r="I642" t="str">
            <v>деп</v>
          </cell>
          <cell r="J642">
            <v>38340</v>
          </cell>
        </row>
        <row r="643">
          <cell r="B643" t="str">
            <v>ДВС УНИВЕРСИТЕТ ПУТ.СООБЩ. Количество</v>
          </cell>
          <cell r="D643">
            <v>5</v>
          </cell>
        </row>
        <row r="644">
          <cell r="A644">
            <v>58725854</v>
          </cell>
          <cell r="B644" t="str">
            <v>ДЕЛО ЦЕНТР</v>
          </cell>
          <cell r="C644" t="str">
            <v>МЫС-ЧУРКИН   (ДВС)</v>
          </cell>
          <cell r="D644">
            <v>33415</v>
          </cell>
          <cell r="E644">
            <v>38005</v>
          </cell>
          <cell r="F644">
            <v>163</v>
          </cell>
          <cell r="I644" t="str">
            <v>деп</v>
          </cell>
          <cell r="J644">
            <v>38430</v>
          </cell>
        </row>
        <row r="645">
          <cell r="A645">
            <v>58725862</v>
          </cell>
          <cell r="B645" t="str">
            <v>ДЕЛО ЦЕНТР</v>
          </cell>
          <cell r="C645" t="str">
            <v>МЫС-ЧУРКИН   (ДВС)</v>
          </cell>
          <cell r="D645">
            <v>33415</v>
          </cell>
          <cell r="E645">
            <v>38000</v>
          </cell>
          <cell r="F645">
            <v>163</v>
          </cell>
          <cell r="I645" t="str">
            <v>деп</v>
          </cell>
          <cell r="J645">
            <v>38425</v>
          </cell>
        </row>
        <row r="646">
          <cell r="B646" t="str">
            <v>ДЕЛО ЦЕНТР Количество</v>
          </cell>
          <cell r="D646">
            <v>2</v>
          </cell>
        </row>
        <row r="647">
          <cell r="A647">
            <v>53701306</v>
          </cell>
          <cell r="B647" t="str">
            <v>ДОНАТОМСТРОЙ</v>
          </cell>
          <cell r="C647" t="str">
            <v>НОВОВОРОНЕЖС (ЮВС)</v>
          </cell>
          <cell r="D647">
            <v>25204</v>
          </cell>
          <cell r="E647">
            <v>34366</v>
          </cell>
          <cell r="G647">
            <v>32174</v>
          </cell>
          <cell r="I647" t="str">
            <v>деп</v>
          </cell>
          <cell r="J647">
            <v>35462</v>
          </cell>
        </row>
        <row r="648">
          <cell r="B648" t="str">
            <v>ДОНАТОМСТРОЙ Количество</v>
          </cell>
          <cell r="D648">
            <v>1</v>
          </cell>
        </row>
        <row r="649">
          <cell r="A649">
            <v>53702858</v>
          </cell>
          <cell r="B649" t="str">
            <v>ДОРСНАБСЕРВИС ГУП КК</v>
          </cell>
          <cell r="C649" t="str">
            <v>ЛАБИНСКАЯ    (СКВ)</v>
          </cell>
          <cell r="D649">
            <v>33970</v>
          </cell>
          <cell r="E649">
            <v>37775</v>
          </cell>
          <cell r="F649">
            <v>557</v>
          </cell>
          <cell r="H649">
            <v>0</v>
          </cell>
          <cell r="I649" t="str">
            <v>кап</v>
          </cell>
          <cell r="J649">
            <v>38871</v>
          </cell>
        </row>
        <row r="650">
          <cell r="A650">
            <v>53702866</v>
          </cell>
          <cell r="B650" t="str">
            <v>ДОРСНАБСЕРВИС ГУП КК</v>
          </cell>
          <cell r="C650" t="str">
            <v>ЛАБИНСКАЯ    (СКВ)</v>
          </cell>
          <cell r="D650">
            <v>33970</v>
          </cell>
          <cell r="E650">
            <v>37028</v>
          </cell>
          <cell r="F650">
            <v>557</v>
          </cell>
          <cell r="H650">
            <v>0</v>
          </cell>
          <cell r="I650" t="str">
            <v>деп</v>
          </cell>
          <cell r="J650">
            <v>38124</v>
          </cell>
        </row>
        <row r="651">
          <cell r="B651" t="str">
            <v>ДОРСНАБСЕРВИС ГУП КК Количество</v>
          </cell>
          <cell r="D651">
            <v>2</v>
          </cell>
        </row>
        <row r="652">
          <cell r="A652">
            <v>53703369</v>
          </cell>
          <cell r="B652" t="str">
            <v>ДРСУ-3 ЦЕНТРАВТОМАГИСТРАЛИ</v>
          </cell>
          <cell r="C652" t="str">
            <v>СОФРИНО      (МСK)</v>
          </cell>
          <cell r="D652">
            <v>26299</v>
          </cell>
          <cell r="E652">
            <v>34445</v>
          </cell>
        </row>
        <row r="653">
          <cell r="B653" t="str">
            <v>ДРСУ-3 ЦЕНТРАВТОМАГИСТРАЛИ Количество</v>
          </cell>
          <cell r="D653">
            <v>1</v>
          </cell>
        </row>
        <row r="654">
          <cell r="A654">
            <v>53703468</v>
          </cell>
          <cell r="B654" t="str">
            <v>ДСУ-1 АВТОДОРСТРОЙТРЕСТА-3</v>
          </cell>
          <cell r="C654" t="str">
            <v>ГРИВНО       (МСK)</v>
          </cell>
          <cell r="D654">
            <v>25204</v>
          </cell>
          <cell r="E654">
            <v>34151</v>
          </cell>
          <cell r="I654" t="str">
            <v>деп</v>
          </cell>
          <cell r="J654">
            <v>35247</v>
          </cell>
        </row>
        <row r="655">
          <cell r="B655" t="str">
            <v>ДСУ-1 АВТОДОРСТРОЙТРЕСТА-3 Количество</v>
          </cell>
          <cell r="D655">
            <v>1</v>
          </cell>
        </row>
        <row r="656">
          <cell r="A656">
            <v>58001843</v>
          </cell>
          <cell r="B656" t="str">
            <v>ЕВРОБАЙК-2</v>
          </cell>
          <cell r="C656" t="str">
            <v>ЛЮБЛИНО-СОРТ (МСK)</v>
          </cell>
          <cell r="D656">
            <v>31533</v>
          </cell>
          <cell r="E656">
            <v>37410</v>
          </cell>
          <cell r="F656">
            <v>792</v>
          </cell>
          <cell r="G656">
            <v>36742</v>
          </cell>
          <cell r="H656">
            <v>792</v>
          </cell>
          <cell r="I656" t="str">
            <v>деп</v>
          </cell>
          <cell r="J656">
            <v>38141</v>
          </cell>
        </row>
        <row r="657">
          <cell r="A657">
            <v>58001850</v>
          </cell>
          <cell r="B657" t="str">
            <v>ЕВРОБАЙК-2</v>
          </cell>
          <cell r="C657" t="str">
            <v>ЛЮБЛИНО-СОРТ (МСK)</v>
          </cell>
          <cell r="D657">
            <v>31533</v>
          </cell>
          <cell r="E657">
            <v>37421</v>
          </cell>
          <cell r="F657">
            <v>792</v>
          </cell>
          <cell r="G657">
            <v>36761</v>
          </cell>
          <cell r="H657">
            <v>792</v>
          </cell>
          <cell r="I657" t="str">
            <v>деп</v>
          </cell>
          <cell r="J657">
            <v>38152</v>
          </cell>
        </row>
        <row r="658">
          <cell r="A658">
            <v>58001868</v>
          </cell>
          <cell r="B658" t="str">
            <v>ЕВРОБАЙК-2</v>
          </cell>
          <cell r="C658" t="str">
            <v>ЛЮБЛИНО-СОРТ (МСK)</v>
          </cell>
          <cell r="D658">
            <v>31533</v>
          </cell>
          <cell r="E658">
            <v>37421</v>
          </cell>
          <cell r="F658">
            <v>792</v>
          </cell>
          <cell r="G658">
            <v>36712</v>
          </cell>
          <cell r="H658">
            <v>792</v>
          </cell>
          <cell r="I658" t="str">
            <v>деп</v>
          </cell>
          <cell r="J658">
            <v>38152</v>
          </cell>
        </row>
        <row r="659">
          <cell r="A659">
            <v>58001876</v>
          </cell>
          <cell r="B659" t="str">
            <v>ЕВРОБАЙК-2</v>
          </cell>
          <cell r="C659" t="str">
            <v>ЛЮБЛИНО-СОРТ (МСK)</v>
          </cell>
          <cell r="D659">
            <v>31533</v>
          </cell>
          <cell r="E659">
            <v>37410</v>
          </cell>
          <cell r="F659">
            <v>792</v>
          </cell>
          <cell r="G659">
            <v>36712</v>
          </cell>
          <cell r="H659">
            <v>792</v>
          </cell>
          <cell r="I659" t="str">
            <v>деп</v>
          </cell>
          <cell r="J659">
            <v>38141</v>
          </cell>
        </row>
        <row r="660">
          <cell r="A660">
            <v>58001884</v>
          </cell>
          <cell r="B660" t="str">
            <v>ЕВРОБАЙК-2</v>
          </cell>
          <cell r="C660" t="str">
            <v>ЛЮБЛИНО-СОРТ (МСK)</v>
          </cell>
          <cell r="D660">
            <v>31533</v>
          </cell>
          <cell r="E660">
            <v>37410</v>
          </cell>
          <cell r="F660">
            <v>792</v>
          </cell>
          <cell r="G660">
            <v>36712</v>
          </cell>
          <cell r="H660">
            <v>792</v>
          </cell>
          <cell r="I660" t="str">
            <v>деп</v>
          </cell>
          <cell r="J660">
            <v>38141</v>
          </cell>
        </row>
        <row r="661">
          <cell r="A661">
            <v>58001900</v>
          </cell>
          <cell r="B661" t="str">
            <v>ЕВРОБАЙК-2</v>
          </cell>
          <cell r="C661" t="str">
            <v>ЛЮБЛИНО-СОРТ (МСK)</v>
          </cell>
          <cell r="D661">
            <v>31533</v>
          </cell>
          <cell r="E661">
            <v>37421</v>
          </cell>
          <cell r="F661">
            <v>792</v>
          </cell>
          <cell r="G661">
            <v>36784</v>
          </cell>
          <cell r="H661">
            <v>792</v>
          </cell>
          <cell r="I661" t="str">
            <v>деп</v>
          </cell>
          <cell r="J661">
            <v>38152</v>
          </cell>
        </row>
        <row r="662">
          <cell r="A662">
            <v>58001918</v>
          </cell>
          <cell r="B662" t="str">
            <v>ЕВРОБАЙК-2</v>
          </cell>
          <cell r="C662" t="str">
            <v>ЛЮБЛИНО-СОРТ (МСK)</v>
          </cell>
          <cell r="D662">
            <v>31533</v>
          </cell>
          <cell r="E662">
            <v>37421</v>
          </cell>
          <cell r="F662">
            <v>792</v>
          </cell>
          <cell r="G662">
            <v>36787</v>
          </cell>
          <cell r="H662">
            <v>792</v>
          </cell>
          <cell r="I662" t="str">
            <v>деп</v>
          </cell>
          <cell r="J662">
            <v>38152</v>
          </cell>
        </row>
        <row r="663">
          <cell r="A663">
            <v>58001926</v>
          </cell>
          <cell r="B663" t="str">
            <v>ЕВРОБАЙК-2</v>
          </cell>
          <cell r="C663" t="str">
            <v>ЛЮБЛИНО-СОРТ (МСK)</v>
          </cell>
          <cell r="D663">
            <v>31533</v>
          </cell>
          <cell r="E663">
            <v>37410</v>
          </cell>
          <cell r="F663">
            <v>792</v>
          </cell>
          <cell r="G663">
            <v>36787</v>
          </cell>
          <cell r="H663">
            <v>792</v>
          </cell>
          <cell r="I663" t="str">
            <v>деп</v>
          </cell>
          <cell r="J663">
            <v>38141</v>
          </cell>
        </row>
        <row r="664">
          <cell r="A664">
            <v>58001934</v>
          </cell>
          <cell r="B664" t="str">
            <v>ЕВРОБАЙК-2</v>
          </cell>
          <cell r="C664" t="str">
            <v>ЛЮБЛИНО-СОРТ (МСK)</v>
          </cell>
          <cell r="D664">
            <v>31533</v>
          </cell>
          <cell r="E664">
            <v>37421</v>
          </cell>
          <cell r="F664">
            <v>792</v>
          </cell>
          <cell r="G664">
            <v>36787</v>
          </cell>
          <cell r="H664">
            <v>792</v>
          </cell>
          <cell r="I664" t="str">
            <v>деп</v>
          </cell>
          <cell r="J664">
            <v>38152</v>
          </cell>
        </row>
        <row r="665">
          <cell r="A665">
            <v>58001942</v>
          </cell>
          <cell r="B665" t="str">
            <v>ЕВРОБАЙК-2</v>
          </cell>
          <cell r="C665" t="str">
            <v>ЛЮБЛИНО-СОРТ (МСK)</v>
          </cell>
          <cell r="D665">
            <v>31533</v>
          </cell>
          <cell r="E665">
            <v>37410</v>
          </cell>
          <cell r="F665">
            <v>792</v>
          </cell>
          <cell r="G665">
            <v>36787</v>
          </cell>
          <cell r="H665">
            <v>792</v>
          </cell>
          <cell r="I665" t="str">
            <v>деп</v>
          </cell>
          <cell r="J665">
            <v>38141</v>
          </cell>
        </row>
        <row r="666">
          <cell r="B666" t="str">
            <v>ЕВРОБАЙК-2 Количество</v>
          </cell>
          <cell r="D666">
            <v>10</v>
          </cell>
        </row>
        <row r="667">
          <cell r="A667">
            <v>58332313</v>
          </cell>
          <cell r="B667" t="str">
            <v>ЕВРОСАЙТ</v>
          </cell>
          <cell r="C667" t="str">
            <v>ВИХОРЕВКА    (ВСБ)</v>
          </cell>
          <cell r="D667">
            <v>31934</v>
          </cell>
          <cell r="E667">
            <v>36978</v>
          </cell>
          <cell r="F667">
            <v>231</v>
          </cell>
          <cell r="H667">
            <v>0</v>
          </cell>
          <cell r="I667" t="str">
            <v>кап</v>
          </cell>
          <cell r="J667">
            <v>37708</v>
          </cell>
        </row>
        <row r="668">
          <cell r="B668" t="str">
            <v>ЕВРОСАЙТ Количество</v>
          </cell>
          <cell r="D668">
            <v>1</v>
          </cell>
        </row>
        <row r="669">
          <cell r="A669">
            <v>53402020</v>
          </cell>
          <cell r="B669" t="str">
            <v>ЖДТРАНС</v>
          </cell>
          <cell r="C669" t="str">
            <v>ЧЕМСКОЙ      (ЗСБ)</v>
          </cell>
          <cell r="D669">
            <v>32021</v>
          </cell>
          <cell r="E669">
            <v>34765</v>
          </cell>
          <cell r="F669">
            <v>635</v>
          </cell>
          <cell r="G669">
            <v>37337</v>
          </cell>
          <cell r="H669">
            <v>579</v>
          </cell>
          <cell r="I669" t="str">
            <v>деп</v>
          </cell>
          <cell r="J669">
            <v>38068</v>
          </cell>
        </row>
        <row r="670">
          <cell r="B670" t="str">
            <v>ЖДТРАНС Количество</v>
          </cell>
          <cell r="D670">
            <v>1</v>
          </cell>
        </row>
        <row r="671">
          <cell r="A671">
            <v>53400925</v>
          </cell>
          <cell r="B671" t="str">
            <v>ЖЕЛДОРТРЕСТ ГУП СМТ МПС РФ</v>
          </cell>
          <cell r="C671" t="str">
            <v>ХОВРИНО      (ОКТ)</v>
          </cell>
          <cell r="D671">
            <v>29281</v>
          </cell>
          <cell r="E671">
            <v>37494</v>
          </cell>
          <cell r="F671">
            <v>819</v>
          </cell>
          <cell r="G671">
            <v>33604</v>
          </cell>
          <cell r="H671">
            <v>819</v>
          </cell>
          <cell r="I671" t="str">
            <v>деп</v>
          </cell>
          <cell r="J671">
            <v>38043</v>
          </cell>
        </row>
        <row r="672">
          <cell r="A672">
            <v>53400933</v>
          </cell>
          <cell r="B672" t="str">
            <v>ЖЕЛДОРТРЕСТ ГУП СМТ МПС РФ</v>
          </cell>
          <cell r="C672" t="str">
            <v>ХОВРИНО      (ОКТ)</v>
          </cell>
          <cell r="D672">
            <v>29281</v>
          </cell>
          <cell r="E672">
            <v>37494</v>
          </cell>
          <cell r="F672">
            <v>819</v>
          </cell>
          <cell r="G672">
            <v>33604</v>
          </cell>
          <cell r="H672">
            <v>819</v>
          </cell>
          <cell r="I672" t="str">
            <v>деп</v>
          </cell>
          <cell r="J672">
            <v>38043</v>
          </cell>
        </row>
        <row r="673">
          <cell r="A673">
            <v>53702767</v>
          </cell>
          <cell r="B673" t="str">
            <v>ЖЕЛДОРТРЕСТ ГУП СМТ МПС РФ</v>
          </cell>
          <cell r="C673" t="str">
            <v>ХОВРИНО      (ОКТ)</v>
          </cell>
          <cell r="D673">
            <v>25934</v>
          </cell>
          <cell r="E673">
            <v>35309</v>
          </cell>
          <cell r="F673">
            <v>0</v>
          </cell>
          <cell r="G673">
            <v>33239</v>
          </cell>
          <cell r="H673">
            <v>0</v>
          </cell>
          <cell r="I673" t="str">
            <v>деп</v>
          </cell>
          <cell r="J673">
            <v>36404</v>
          </cell>
        </row>
        <row r="674">
          <cell r="A674">
            <v>53704227</v>
          </cell>
          <cell r="B674" t="str">
            <v>ЖЕЛДОРТРЕСТ ГУП СМТ МПС РФ</v>
          </cell>
          <cell r="C674" t="str">
            <v>ХОВРИНО      (ОКТ)</v>
          </cell>
          <cell r="D674">
            <v>25934</v>
          </cell>
          <cell r="E674">
            <v>38008</v>
          </cell>
          <cell r="F674">
            <v>350</v>
          </cell>
          <cell r="G674">
            <v>33543</v>
          </cell>
          <cell r="H674">
            <v>0</v>
          </cell>
          <cell r="I674" t="str">
            <v>деп</v>
          </cell>
          <cell r="J674">
            <v>39104</v>
          </cell>
        </row>
        <row r="675">
          <cell r="A675">
            <v>53704243</v>
          </cell>
          <cell r="B675" t="str">
            <v>ЖЕЛДОРТРЕСТ ГУП СМТ МПС РФ</v>
          </cell>
          <cell r="C675" t="str">
            <v>ХОВРИНО      (ОКТ)</v>
          </cell>
          <cell r="D675">
            <v>26115</v>
          </cell>
          <cell r="E675">
            <v>37828</v>
          </cell>
          <cell r="F675">
            <v>350</v>
          </cell>
          <cell r="G675">
            <v>33482</v>
          </cell>
          <cell r="H675">
            <v>0</v>
          </cell>
          <cell r="I675" t="str">
            <v>деп</v>
          </cell>
          <cell r="J675">
            <v>38924</v>
          </cell>
        </row>
        <row r="676">
          <cell r="B676" t="str">
            <v>ЖЕЛДОРТРЕСТ ГУП СМТ МПС РФ Количество</v>
          </cell>
          <cell r="D676">
            <v>5</v>
          </cell>
        </row>
        <row r="677">
          <cell r="A677">
            <v>53700928</v>
          </cell>
          <cell r="B677" t="str">
            <v>ЖЕЛДОРЭКСПЕДИЦИЯ</v>
          </cell>
          <cell r="C677" t="str">
            <v>МОС-ПАС-ЯРОС (МСK)</v>
          </cell>
          <cell r="D677">
            <v>33356</v>
          </cell>
          <cell r="E677">
            <v>37200</v>
          </cell>
          <cell r="F677">
            <v>350</v>
          </cell>
          <cell r="H677">
            <v>0</v>
          </cell>
          <cell r="I677" t="str">
            <v>деп</v>
          </cell>
          <cell r="J677">
            <v>37746</v>
          </cell>
        </row>
        <row r="678">
          <cell r="A678">
            <v>53701009</v>
          </cell>
          <cell r="B678" t="str">
            <v>ЖЕЛДОРЭКСПЕДИЦИЯ</v>
          </cell>
          <cell r="C678" t="str">
            <v>МОС-ПАС-ЯРОС (МСK)</v>
          </cell>
          <cell r="D678">
            <v>33390</v>
          </cell>
          <cell r="E678">
            <v>37085</v>
          </cell>
          <cell r="F678">
            <v>819</v>
          </cell>
          <cell r="H678">
            <v>0</v>
          </cell>
          <cell r="I678" t="str">
            <v>деп</v>
          </cell>
          <cell r="J678">
            <v>37634</v>
          </cell>
        </row>
        <row r="679">
          <cell r="A679">
            <v>53701132</v>
          </cell>
          <cell r="B679" t="str">
            <v>ЖЕЛДОРЭКСПЕДИЦИЯ</v>
          </cell>
          <cell r="C679" t="str">
            <v>МОС-ПАС-ЯРОС (МСK)</v>
          </cell>
          <cell r="D679">
            <v>33543</v>
          </cell>
          <cell r="E679">
            <v>37889</v>
          </cell>
          <cell r="F679">
            <v>163</v>
          </cell>
          <cell r="H679">
            <v>0</v>
          </cell>
          <cell r="I679" t="str">
            <v>деп</v>
          </cell>
          <cell r="J679">
            <v>38436</v>
          </cell>
        </row>
        <row r="680">
          <cell r="A680">
            <v>53701439</v>
          </cell>
          <cell r="B680" t="str">
            <v>ЖЕЛДОРЭКСПЕДИЦИЯ</v>
          </cell>
          <cell r="C680" t="str">
            <v>МОС-ПАС-ЯРОС (МСK)</v>
          </cell>
          <cell r="D680">
            <v>33025</v>
          </cell>
          <cell r="E680">
            <v>37076</v>
          </cell>
          <cell r="F680">
            <v>350</v>
          </cell>
          <cell r="H680">
            <v>0</v>
          </cell>
          <cell r="I680" t="str">
            <v>деп</v>
          </cell>
          <cell r="J680">
            <v>37625</v>
          </cell>
        </row>
        <row r="681">
          <cell r="A681">
            <v>53705521</v>
          </cell>
          <cell r="B681" t="str">
            <v>ЖЕЛДОРЭКСПЕДИЦИЯ</v>
          </cell>
          <cell r="C681" t="str">
            <v>МОС-ПАС-ЯРОС (МСK)</v>
          </cell>
          <cell r="D681">
            <v>33086</v>
          </cell>
          <cell r="E681">
            <v>37082</v>
          </cell>
          <cell r="F681">
            <v>0</v>
          </cell>
          <cell r="H681">
            <v>0</v>
          </cell>
          <cell r="I681" t="str">
            <v>деп</v>
          </cell>
          <cell r="J681">
            <v>37631</v>
          </cell>
        </row>
        <row r="682">
          <cell r="A682">
            <v>58728668</v>
          </cell>
          <cell r="B682" t="str">
            <v>ЖЕЛДОРЭКСПЕДИЦИЯ</v>
          </cell>
          <cell r="C682" t="str">
            <v>МОС-ПАС-ЯРОС (МСK)</v>
          </cell>
          <cell r="D682">
            <v>33055</v>
          </cell>
          <cell r="E682">
            <v>37076</v>
          </cell>
          <cell r="F682">
            <v>350</v>
          </cell>
          <cell r="H682">
            <v>0</v>
          </cell>
          <cell r="I682" t="str">
            <v>деп</v>
          </cell>
          <cell r="J682">
            <v>37625</v>
          </cell>
        </row>
        <row r="683">
          <cell r="A683">
            <v>58728676</v>
          </cell>
          <cell r="B683" t="str">
            <v>ЖЕЛДОРЭКСПЕДИЦИЯ</v>
          </cell>
          <cell r="C683" t="str">
            <v>МОС-ПАС-ЯРОС (МСK)</v>
          </cell>
          <cell r="D683">
            <v>32964</v>
          </cell>
          <cell r="E683">
            <v>37076</v>
          </cell>
          <cell r="F683">
            <v>350</v>
          </cell>
          <cell r="H683">
            <v>0</v>
          </cell>
          <cell r="I683" t="str">
            <v>деп</v>
          </cell>
          <cell r="J683">
            <v>37625</v>
          </cell>
        </row>
        <row r="684">
          <cell r="A684">
            <v>58728684</v>
          </cell>
          <cell r="B684" t="str">
            <v>ЖЕЛДОРЭКСПЕДИЦИЯ</v>
          </cell>
          <cell r="C684" t="str">
            <v>МОС-ПАС-ЯРОС (МСK)</v>
          </cell>
          <cell r="D684">
            <v>32994</v>
          </cell>
          <cell r="E684">
            <v>37076</v>
          </cell>
          <cell r="F684">
            <v>350</v>
          </cell>
          <cell r="H684">
            <v>0</v>
          </cell>
          <cell r="I684" t="str">
            <v>деп</v>
          </cell>
          <cell r="J684">
            <v>37625</v>
          </cell>
        </row>
        <row r="685">
          <cell r="A685">
            <v>58728700</v>
          </cell>
          <cell r="B685" t="str">
            <v>ЖЕЛДОРЭКСПЕДИЦИЯ</v>
          </cell>
          <cell r="C685" t="str">
            <v>МОС-ПАС-ЯРОС (МСK)</v>
          </cell>
          <cell r="D685">
            <v>33055</v>
          </cell>
          <cell r="E685">
            <v>37076</v>
          </cell>
          <cell r="F685">
            <v>350</v>
          </cell>
          <cell r="H685">
            <v>0</v>
          </cell>
          <cell r="I685" t="str">
            <v>деп</v>
          </cell>
          <cell r="J685">
            <v>37625</v>
          </cell>
        </row>
        <row r="686">
          <cell r="A686">
            <v>58729260</v>
          </cell>
          <cell r="B686" t="str">
            <v>ЖЕЛДОРЭКСПЕДИЦИЯ</v>
          </cell>
          <cell r="C686" t="str">
            <v>МОС-ПАС-ЯРОС (МСK)</v>
          </cell>
          <cell r="D686">
            <v>33086</v>
          </cell>
          <cell r="E686">
            <v>37082</v>
          </cell>
          <cell r="F686">
            <v>0</v>
          </cell>
          <cell r="H686">
            <v>0</v>
          </cell>
          <cell r="I686" t="str">
            <v>деп</v>
          </cell>
          <cell r="J686">
            <v>37631</v>
          </cell>
        </row>
        <row r="687">
          <cell r="A687">
            <v>58729278</v>
          </cell>
          <cell r="B687" t="str">
            <v>ЖЕЛДОРЭКСПЕДИЦИЯ</v>
          </cell>
          <cell r="C687" t="str">
            <v>МОС-ПАС-ЯРОС (МСK)</v>
          </cell>
          <cell r="D687">
            <v>33086</v>
          </cell>
          <cell r="E687">
            <v>37082</v>
          </cell>
          <cell r="F687">
            <v>0</v>
          </cell>
          <cell r="H687">
            <v>0</v>
          </cell>
          <cell r="I687" t="str">
            <v>деп</v>
          </cell>
          <cell r="J687">
            <v>37631</v>
          </cell>
        </row>
        <row r="688">
          <cell r="A688">
            <v>58729286</v>
          </cell>
          <cell r="B688" t="str">
            <v>ЖЕЛДОРЭКСПЕДИЦИЯ</v>
          </cell>
          <cell r="C688" t="str">
            <v>МОС-ПАС-ЯРОС (МСK)</v>
          </cell>
          <cell r="D688">
            <v>33086</v>
          </cell>
          <cell r="E688">
            <v>37082</v>
          </cell>
          <cell r="F688">
            <v>0</v>
          </cell>
          <cell r="H688">
            <v>0</v>
          </cell>
          <cell r="I688" t="str">
            <v>деп</v>
          </cell>
          <cell r="J688">
            <v>37631</v>
          </cell>
        </row>
        <row r="689">
          <cell r="A689">
            <v>58729302</v>
          </cell>
          <cell r="B689" t="str">
            <v>ЖЕЛДОРЭКСПЕДИЦИЯ</v>
          </cell>
          <cell r="C689" t="str">
            <v>МОС-ПАС-ЯРОС (МСK)</v>
          </cell>
          <cell r="D689">
            <v>33086</v>
          </cell>
          <cell r="E689">
            <v>37082</v>
          </cell>
          <cell r="F689">
            <v>0</v>
          </cell>
          <cell r="H689">
            <v>0</v>
          </cell>
          <cell r="I689" t="str">
            <v>деп</v>
          </cell>
          <cell r="J689">
            <v>37631</v>
          </cell>
        </row>
        <row r="690">
          <cell r="A690">
            <v>58741737</v>
          </cell>
          <cell r="B690" t="str">
            <v>ЖЕЛДОРЭКСПЕДИЦИЯ</v>
          </cell>
          <cell r="C690" t="str">
            <v>МОС-ПАС-ЯРОС (МСK)</v>
          </cell>
          <cell r="D690">
            <v>33543</v>
          </cell>
          <cell r="E690">
            <v>37889</v>
          </cell>
          <cell r="F690">
            <v>163</v>
          </cell>
          <cell r="H690">
            <v>0</v>
          </cell>
          <cell r="I690" t="str">
            <v>деп</v>
          </cell>
          <cell r="J690">
            <v>38436</v>
          </cell>
        </row>
        <row r="691">
          <cell r="A691">
            <v>58741745</v>
          </cell>
          <cell r="B691" t="str">
            <v>ЖЕЛДОРЭКСПЕДИЦИЯ</v>
          </cell>
          <cell r="C691" t="str">
            <v>МОС-ПАС-ЯРОС (МСK)</v>
          </cell>
          <cell r="D691">
            <v>33543</v>
          </cell>
          <cell r="E691">
            <v>37889</v>
          </cell>
          <cell r="F691">
            <v>163</v>
          </cell>
          <cell r="H691">
            <v>0</v>
          </cell>
          <cell r="I691" t="str">
            <v>деп</v>
          </cell>
          <cell r="J691">
            <v>38436</v>
          </cell>
        </row>
        <row r="692">
          <cell r="A692">
            <v>58741752</v>
          </cell>
          <cell r="B692" t="str">
            <v>ЖЕЛДОРЭКСПЕДИЦИЯ</v>
          </cell>
          <cell r="C692" t="str">
            <v>МОС-ПАС-ЯРОС (МСK)</v>
          </cell>
          <cell r="D692">
            <v>33543</v>
          </cell>
          <cell r="E692">
            <v>37889</v>
          </cell>
          <cell r="F692">
            <v>163</v>
          </cell>
          <cell r="H692">
            <v>0</v>
          </cell>
          <cell r="I692" t="str">
            <v>деп</v>
          </cell>
          <cell r="J692">
            <v>38436</v>
          </cell>
        </row>
        <row r="693">
          <cell r="A693">
            <v>58741760</v>
          </cell>
          <cell r="B693" t="str">
            <v>ЖЕЛДОРЭКСПЕДИЦИЯ</v>
          </cell>
          <cell r="C693" t="str">
            <v>МОС-ПАС-ЯРОС (МСK)</v>
          </cell>
          <cell r="D693">
            <v>33543</v>
          </cell>
          <cell r="E693">
            <v>37889</v>
          </cell>
          <cell r="F693">
            <v>163</v>
          </cell>
          <cell r="H693">
            <v>0</v>
          </cell>
          <cell r="I693" t="str">
            <v>деп</v>
          </cell>
          <cell r="J693">
            <v>38436</v>
          </cell>
        </row>
        <row r="694">
          <cell r="A694">
            <v>58741778</v>
          </cell>
          <cell r="B694" t="str">
            <v>ЖЕЛДОРЭКСПЕДИЦИЯ</v>
          </cell>
          <cell r="C694" t="str">
            <v>МОС-ПАС-ЯРОС (МСK)</v>
          </cell>
          <cell r="D694">
            <v>33390</v>
          </cell>
          <cell r="E694">
            <v>37085</v>
          </cell>
          <cell r="F694">
            <v>819</v>
          </cell>
          <cell r="H694">
            <v>0</v>
          </cell>
          <cell r="I694" t="str">
            <v>деп</v>
          </cell>
          <cell r="J694">
            <v>37634</v>
          </cell>
        </row>
        <row r="695">
          <cell r="A695">
            <v>58741786</v>
          </cell>
          <cell r="B695" t="str">
            <v>ЖЕЛДОРЭКСПЕДИЦИЯ</v>
          </cell>
          <cell r="C695" t="str">
            <v>МОС-ПАС-ЯРОС (МСK)</v>
          </cell>
          <cell r="D695">
            <v>33390</v>
          </cell>
          <cell r="E695">
            <v>37085</v>
          </cell>
          <cell r="F695">
            <v>819</v>
          </cell>
          <cell r="H695">
            <v>0</v>
          </cell>
          <cell r="I695" t="str">
            <v>деп</v>
          </cell>
          <cell r="J695">
            <v>37634</v>
          </cell>
        </row>
        <row r="696">
          <cell r="A696">
            <v>58741802</v>
          </cell>
          <cell r="B696" t="str">
            <v>ЖЕЛДОРЭКСПЕДИЦИЯ</v>
          </cell>
          <cell r="C696" t="str">
            <v>МОС-ПАС-ЯРОС (МСK)</v>
          </cell>
          <cell r="D696">
            <v>33388</v>
          </cell>
          <cell r="E696">
            <v>37200</v>
          </cell>
          <cell r="F696">
            <v>350</v>
          </cell>
          <cell r="H696">
            <v>0</v>
          </cell>
          <cell r="I696" t="str">
            <v>деп</v>
          </cell>
          <cell r="J696">
            <v>37746</v>
          </cell>
        </row>
        <row r="697">
          <cell r="A697">
            <v>58741810</v>
          </cell>
          <cell r="B697" t="str">
            <v>ЖЕЛДОРЭКСПЕДИЦИЯ</v>
          </cell>
          <cell r="C697" t="str">
            <v>МОС-ПАС-ЯРОС (МСK)</v>
          </cell>
          <cell r="D697">
            <v>33388</v>
          </cell>
          <cell r="E697">
            <v>37200</v>
          </cell>
          <cell r="F697">
            <v>350</v>
          </cell>
          <cell r="H697">
            <v>0</v>
          </cell>
          <cell r="I697" t="str">
            <v>деп</v>
          </cell>
          <cell r="J697">
            <v>37746</v>
          </cell>
        </row>
        <row r="698">
          <cell r="B698" t="str">
            <v>ЖЕЛДОРЭКСПЕДИЦИЯ Количество</v>
          </cell>
          <cell r="D698">
            <v>21</v>
          </cell>
        </row>
        <row r="699">
          <cell r="A699">
            <v>58333402</v>
          </cell>
          <cell r="B699" t="str">
            <v>ЗАВОЛЖСКИЙ ХИМЗАВОД</v>
          </cell>
          <cell r="C699" t="str">
            <v>ЗАВОЛЖСК     (СЕВ)</v>
          </cell>
          <cell r="D699">
            <v>24108</v>
          </cell>
        </row>
        <row r="700">
          <cell r="A700">
            <v>58333428</v>
          </cell>
          <cell r="B700" t="str">
            <v>ЗАВОЛЖСКИЙ ХИМЗАВОД</v>
          </cell>
          <cell r="C700" t="str">
            <v>ЗАВОЛЖСК     (СЕВ)</v>
          </cell>
          <cell r="D700">
            <v>24108</v>
          </cell>
          <cell r="E700">
            <v>33939</v>
          </cell>
        </row>
        <row r="701">
          <cell r="B701" t="str">
            <v>ЗАВОЛЖСКИЙ ХИМЗАВОД Количество</v>
          </cell>
          <cell r="D701">
            <v>2</v>
          </cell>
        </row>
        <row r="702">
          <cell r="A702">
            <v>58724980</v>
          </cell>
          <cell r="B702" t="str">
            <v>ЗАПСИБМЕТКОМБИНАТ</v>
          </cell>
          <cell r="C702" t="str">
            <v>НОВОКУЗ.-СЕВ (ЗСБ)</v>
          </cell>
          <cell r="D702">
            <v>33604</v>
          </cell>
          <cell r="F702">
            <v>0</v>
          </cell>
          <cell r="H702">
            <v>0</v>
          </cell>
          <cell r="I702" t="str">
            <v>деп</v>
          </cell>
          <cell r="J702">
            <v>34516</v>
          </cell>
        </row>
        <row r="703">
          <cell r="A703">
            <v>58725003</v>
          </cell>
          <cell r="B703" t="str">
            <v>ЗАПСИБМЕТКОМБИНАТ</v>
          </cell>
          <cell r="C703" t="str">
            <v>НОВОКУЗ.-СЕВ (ЗСБ)</v>
          </cell>
          <cell r="D703">
            <v>33604</v>
          </cell>
          <cell r="F703">
            <v>0</v>
          </cell>
          <cell r="H703">
            <v>0</v>
          </cell>
          <cell r="I703" t="str">
            <v>деп</v>
          </cell>
          <cell r="J703">
            <v>34516</v>
          </cell>
        </row>
        <row r="704">
          <cell r="A704">
            <v>58725011</v>
          </cell>
          <cell r="B704" t="str">
            <v>ЗАПСИБМЕТКОМБИНАТ</v>
          </cell>
          <cell r="C704" t="str">
            <v>НОВОКУЗ.-СЕВ (ЗСБ)</v>
          </cell>
          <cell r="D704">
            <v>33604</v>
          </cell>
          <cell r="F704">
            <v>0</v>
          </cell>
          <cell r="H704">
            <v>0</v>
          </cell>
          <cell r="I704" t="str">
            <v>деп</v>
          </cell>
          <cell r="J704">
            <v>34516</v>
          </cell>
        </row>
        <row r="705">
          <cell r="A705">
            <v>58725029</v>
          </cell>
          <cell r="B705" t="str">
            <v>ЗАПСИБМЕТКОМБИНАТ</v>
          </cell>
          <cell r="C705" t="str">
            <v>НОВОКУЗ.-СЕВ (ЗСБ)</v>
          </cell>
          <cell r="D705">
            <v>33604</v>
          </cell>
          <cell r="F705">
            <v>0</v>
          </cell>
          <cell r="H705">
            <v>0</v>
          </cell>
          <cell r="I705" t="str">
            <v>деп</v>
          </cell>
          <cell r="J705">
            <v>34516</v>
          </cell>
        </row>
        <row r="706">
          <cell r="B706" t="str">
            <v>ЗАПСИБМЕТКОМБИНАТ Количество</v>
          </cell>
          <cell r="D706">
            <v>4</v>
          </cell>
        </row>
        <row r="707">
          <cell r="A707">
            <v>53702122</v>
          </cell>
          <cell r="B707" t="str">
            <v>ИНДИВИД.ПРЕДПР.ЛАТУХОВ В.А</v>
          </cell>
          <cell r="C707" t="str">
            <v>ШАРТАШ       (СВР)</v>
          </cell>
          <cell r="D707">
            <v>33694</v>
          </cell>
          <cell r="E707">
            <v>37840</v>
          </cell>
          <cell r="F707">
            <v>819</v>
          </cell>
          <cell r="H707">
            <v>0</v>
          </cell>
          <cell r="I707" t="str">
            <v>деп</v>
          </cell>
          <cell r="J707">
            <v>38390</v>
          </cell>
        </row>
        <row r="708">
          <cell r="A708">
            <v>58339896</v>
          </cell>
          <cell r="B708" t="str">
            <v>ИНДИВИД.ПРЕДПР.ЛАТУХОВ В.А</v>
          </cell>
          <cell r="C708" t="str">
            <v>ШАРТАШ       (СВР)</v>
          </cell>
          <cell r="D708">
            <v>34040</v>
          </cell>
          <cell r="E708">
            <v>37840</v>
          </cell>
          <cell r="F708">
            <v>819</v>
          </cell>
          <cell r="H708">
            <v>0</v>
          </cell>
          <cell r="I708" t="str">
            <v>деп</v>
          </cell>
          <cell r="J708">
            <v>38390</v>
          </cell>
        </row>
        <row r="709">
          <cell r="A709">
            <v>58339912</v>
          </cell>
          <cell r="B709" t="str">
            <v>ИНДИВИД.ПРЕДПР.ЛАТУХОВ В.А</v>
          </cell>
          <cell r="C709" t="str">
            <v>ШАРТАШ       (СВР)</v>
          </cell>
          <cell r="D709">
            <v>34040</v>
          </cell>
          <cell r="E709">
            <v>37840</v>
          </cell>
          <cell r="F709">
            <v>819</v>
          </cell>
          <cell r="H709">
            <v>0</v>
          </cell>
          <cell r="I709" t="str">
            <v>деп</v>
          </cell>
          <cell r="J709">
            <v>38390</v>
          </cell>
        </row>
        <row r="710">
          <cell r="B710" t="str">
            <v>ИНДИВИД.ПРЕДПР.ЛАТУХОВ В.А Количество</v>
          </cell>
          <cell r="D710">
            <v>3</v>
          </cell>
        </row>
        <row r="711">
          <cell r="A711">
            <v>53703377</v>
          </cell>
          <cell r="B711" t="str">
            <v>ИНЕЙ МП</v>
          </cell>
          <cell r="C711" t="str">
            <v>БЕКАСОВО-СРТ (МСK)</v>
          </cell>
          <cell r="D711">
            <v>26299</v>
          </cell>
          <cell r="E711">
            <v>34081</v>
          </cell>
        </row>
        <row r="712">
          <cell r="A712">
            <v>58722307</v>
          </cell>
          <cell r="B712" t="str">
            <v>ИНЕЙ МП</v>
          </cell>
          <cell r="C712" t="str">
            <v>БЕКАСОВО-СРТ (МСK)</v>
          </cell>
          <cell r="D712">
            <v>26299</v>
          </cell>
          <cell r="E712">
            <v>34081</v>
          </cell>
        </row>
        <row r="713">
          <cell r="A713">
            <v>58722315</v>
          </cell>
          <cell r="B713" t="str">
            <v>ИНЕЙ МП</v>
          </cell>
          <cell r="C713" t="str">
            <v>БЕКАСОВО-СРТ (МСK)</v>
          </cell>
          <cell r="D713">
            <v>26299</v>
          </cell>
          <cell r="E713">
            <v>34081</v>
          </cell>
        </row>
        <row r="714">
          <cell r="A714">
            <v>58722323</v>
          </cell>
          <cell r="B714" t="str">
            <v>ИНЕЙ МП</v>
          </cell>
          <cell r="C714" t="str">
            <v>БЕКАСОВО-СРТ (МСK)</v>
          </cell>
          <cell r="D714">
            <v>26299</v>
          </cell>
          <cell r="E714">
            <v>33983</v>
          </cell>
        </row>
        <row r="715">
          <cell r="A715">
            <v>58722331</v>
          </cell>
          <cell r="B715" t="str">
            <v>ИНЕЙ МП</v>
          </cell>
          <cell r="C715" t="str">
            <v>БЕКАСОВО-СРТ (МСK)</v>
          </cell>
          <cell r="D715">
            <v>26299</v>
          </cell>
          <cell r="E715">
            <v>34081</v>
          </cell>
        </row>
        <row r="716">
          <cell r="B716" t="str">
            <v>ИНЕЙ МП Количество</v>
          </cell>
          <cell r="D716">
            <v>5</v>
          </cell>
        </row>
        <row r="717">
          <cell r="A717">
            <v>53704276</v>
          </cell>
          <cell r="B717" t="str">
            <v>ИНФОТЕХ</v>
          </cell>
          <cell r="C717" t="str">
            <v>ОРДЖОНИКИДЗЕ (МСK)</v>
          </cell>
          <cell r="D717">
            <v>28307</v>
          </cell>
          <cell r="E717">
            <v>37060</v>
          </cell>
          <cell r="F717">
            <v>335</v>
          </cell>
          <cell r="G717">
            <v>37680</v>
          </cell>
          <cell r="H717">
            <v>886</v>
          </cell>
          <cell r="I717" t="str">
            <v>деп</v>
          </cell>
          <cell r="J717">
            <v>38776</v>
          </cell>
        </row>
        <row r="718">
          <cell r="A718">
            <v>58721143</v>
          </cell>
          <cell r="B718" t="str">
            <v>ИНФОТЕХ</v>
          </cell>
          <cell r="C718" t="str">
            <v>ОРДЖОНИКИДЗЕ (МСK)</v>
          </cell>
          <cell r="D718">
            <v>28307</v>
          </cell>
          <cell r="E718">
            <v>36914</v>
          </cell>
          <cell r="F718">
            <v>335</v>
          </cell>
          <cell r="G718">
            <v>37680</v>
          </cell>
          <cell r="H718">
            <v>886</v>
          </cell>
          <cell r="I718" t="str">
            <v>деп</v>
          </cell>
          <cell r="J718">
            <v>38411</v>
          </cell>
        </row>
        <row r="719">
          <cell r="A719">
            <v>58724444</v>
          </cell>
          <cell r="B719" t="str">
            <v>ИНФОТЕХ</v>
          </cell>
          <cell r="C719" t="str">
            <v>ОРДЖОНИКИДЗЕ (МСK)</v>
          </cell>
          <cell r="D719">
            <v>28307</v>
          </cell>
          <cell r="E719">
            <v>37060</v>
          </cell>
          <cell r="F719">
            <v>335</v>
          </cell>
          <cell r="G719">
            <v>37680</v>
          </cell>
          <cell r="H719">
            <v>886</v>
          </cell>
          <cell r="I719" t="str">
            <v>деп</v>
          </cell>
          <cell r="J719">
            <v>38411</v>
          </cell>
        </row>
        <row r="720">
          <cell r="A720">
            <v>58724451</v>
          </cell>
          <cell r="B720" t="str">
            <v>ИНФОТЕХ</v>
          </cell>
          <cell r="C720" t="str">
            <v>ОРДЖОНИКИДЗЕ (МСK)</v>
          </cell>
          <cell r="D720">
            <v>28307</v>
          </cell>
          <cell r="E720">
            <v>37060</v>
          </cell>
          <cell r="F720">
            <v>335</v>
          </cell>
          <cell r="G720">
            <v>37680</v>
          </cell>
          <cell r="H720">
            <v>886</v>
          </cell>
          <cell r="I720" t="str">
            <v>деп</v>
          </cell>
          <cell r="J720">
            <v>38411</v>
          </cell>
        </row>
        <row r="721">
          <cell r="A721">
            <v>58724469</v>
          </cell>
          <cell r="B721" t="str">
            <v>ИНФОТЕХ</v>
          </cell>
          <cell r="C721" t="str">
            <v>ОРДЖОНИКИДЗЕ (МСK)</v>
          </cell>
          <cell r="D721">
            <v>28307</v>
          </cell>
          <cell r="E721">
            <v>36916</v>
          </cell>
          <cell r="F721">
            <v>335</v>
          </cell>
          <cell r="G721">
            <v>37680</v>
          </cell>
          <cell r="H721">
            <v>886</v>
          </cell>
          <cell r="I721" t="str">
            <v>деп</v>
          </cell>
          <cell r="J721">
            <v>38411</v>
          </cell>
        </row>
        <row r="722">
          <cell r="B722" t="str">
            <v>ИНФОТЕХ Количество</v>
          </cell>
          <cell r="D722">
            <v>5</v>
          </cell>
        </row>
        <row r="723">
          <cell r="A723">
            <v>58724816</v>
          </cell>
          <cell r="B723" t="str">
            <v>КАУРИ</v>
          </cell>
          <cell r="C723" t="str">
            <v>БУГАЧ        (КРС)</v>
          </cell>
          <cell r="D723">
            <v>33512</v>
          </cell>
          <cell r="E723">
            <v>35423</v>
          </cell>
          <cell r="F723">
            <v>633</v>
          </cell>
          <cell r="H723">
            <v>0</v>
          </cell>
          <cell r="I723" t="str">
            <v>деп</v>
          </cell>
          <cell r="J723">
            <v>35970</v>
          </cell>
        </row>
        <row r="724">
          <cell r="A724">
            <v>58724824</v>
          </cell>
          <cell r="B724" t="str">
            <v>КАУРИ</v>
          </cell>
          <cell r="C724" t="str">
            <v>БУГАЧ        (КРС)</v>
          </cell>
          <cell r="D724">
            <v>33512</v>
          </cell>
          <cell r="E724">
            <v>35423</v>
          </cell>
          <cell r="F724">
            <v>633</v>
          </cell>
          <cell r="H724">
            <v>0</v>
          </cell>
          <cell r="I724" t="str">
            <v>деп</v>
          </cell>
          <cell r="J724">
            <v>35970</v>
          </cell>
        </row>
        <row r="725">
          <cell r="B725" t="str">
            <v>КАУРИ Количество</v>
          </cell>
          <cell r="D725">
            <v>2</v>
          </cell>
        </row>
        <row r="726">
          <cell r="A726">
            <v>53701611</v>
          </cell>
          <cell r="B726" t="str">
            <v>КБ СПЕЦМАШИНОСТРОЕНИЯ</v>
          </cell>
          <cell r="C726" t="str">
            <v>С-ПЕТЕР-БАЛТ (ОКТ)</v>
          </cell>
          <cell r="D726">
            <v>28550</v>
          </cell>
          <cell r="E726">
            <v>35493</v>
          </cell>
          <cell r="G726">
            <v>34840</v>
          </cell>
          <cell r="I726" t="str">
            <v>деп</v>
          </cell>
          <cell r="J726">
            <v>36589</v>
          </cell>
        </row>
        <row r="727">
          <cell r="A727">
            <v>53703575</v>
          </cell>
          <cell r="B727" t="str">
            <v>КБ СПЕЦМАШИНОСТРОЕНИЯ</v>
          </cell>
          <cell r="C727" t="str">
            <v>С-ПЕТЕР-БАЛТ (ОКТ)</v>
          </cell>
          <cell r="D727">
            <v>27485</v>
          </cell>
          <cell r="E727">
            <v>34775</v>
          </cell>
          <cell r="I727" t="str">
            <v>деп</v>
          </cell>
          <cell r="J727">
            <v>35871</v>
          </cell>
        </row>
        <row r="728">
          <cell r="A728">
            <v>53703583</v>
          </cell>
          <cell r="B728" t="str">
            <v>КБ СПЕЦМАШИНОСТРОЕНИЯ</v>
          </cell>
          <cell r="C728" t="str">
            <v>С-ПЕТЕР-БАЛТ (ОКТ)</v>
          </cell>
          <cell r="D728">
            <v>27426</v>
          </cell>
          <cell r="E728">
            <v>34776</v>
          </cell>
          <cell r="I728" t="str">
            <v>деп</v>
          </cell>
          <cell r="J728">
            <v>35872</v>
          </cell>
        </row>
        <row r="729">
          <cell r="B729" t="str">
            <v>КБ СПЕЦМАШИНОСТРОЕНИЯ Количество</v>
          </cell>
          <cell r="D729">
            <v>3</v>
          </cell>
        </row>
        <row r="730">
          <cell r="A730">
            <v>53702460</v>
          </cell>
          <cell r="B730" t="str">
            <v>КЕДР</v>
          </cell>
          <cell r="C730" t="str">
            <v>НИЖНЯЯ ТУРА  (СВР)</v>
          </cell>
          <cell r="D730">
            <v>26993</v>
          </cell>
          <cell r="E730">
            <v>35869</v>
          </cell>
          <cell r="G730">
            <v>37042</v>
          </cell>
          <cell r="H730">
            <v>557</v>
          </cell>
          <cell r="I730" t="str">
            <v>деп</v>
          </cell>
          <cell r="J730">
            <v>38138</v>
          </cell>
        </row>
        <row r="731">
          <cell r="A731">
            <v>58720939</v>
          </cell>
          <cell r="B731" t="str">
            <v>КЕДР</v>
          </cell>
          <cell r="C731" t="str">
            <v>НИЖНЯЯ ТУРА  (СВР)</v>
          </cell>
          <cell r="D731">
            <v>26993</v>
          </cell>
          <cell r="E731">
            <v>35869</v>
          </cell>
          <cell r="G731">
            <v>37042</v>
          </cell>
          <cell r="H731">
            <v>557</v>
          </cell>
          <cell r="I731" t="str">
            <v>деп</v>
          </cell>
          <cell r="J731">
            <v>37772</v>
          </cell>
        </row>
        <row r="732">
          <cell r="A732">
            <v>58720947</v>
          </cell>
          <cell r="B732" t="str">
            <v>КЕДР</v>
          </cell>
          <cell r="C732" t="str">
            <v>НИЖНЯЯ ТУРА  (СВР)</v>
          </cell>
          <cell r="D732">
            <v>26993</v>
          </cell>
          <cell r="E732">
            <v>35869</v>
          </cell>
          <cell r="G732">
            <v>37042</v>
          </cell>
          <cell r="H732">
            <v>557</v>
          </cell>
          <cell r="I732" t="str">
            <v>деп</v>
          </cell>
          <cell r="J732">
            <v>37772</v>
          </cell>
        </row>
        <row r="733">
          <cell r="A733">
            <v>58720954</v>
          </cell>
          <cell r="B733" t="str">
            <v>КЕДР</v>
          </cell>
          <cell r="C733" t="str">
            <v>НИЖНЯЯ ТУРА  (СВР)</v>
          </cell>
          <cell r="D733">
            <v>26993</v>
          </cell>
          <cell r="E733">
            <v>35869</v>
          </cell>
          <cell r="G733">
            <v>37042</v>
          </cell>
          <cell r="H733">
            <v>557</v>
          </cell>
          <cell r="I733" t="str">
            <v>деп</v>
          </cell>
          <cell r="J733">
            <v>37772</v>
          </cell>
        </row>
        <row r="734">
          <cell r="A734">
            <v>58720962</v>
          </cell>
          <cell r="B734" t="str">
            <v>КЕДР</v>
          </cell>
          <cell r="C734" t="str">
            <v>НИЖНЯЯ ТУРА  (СВР)</v>
          </cell>
          <cell r="D734">
            <v>26993</v>
          </cell>
          <cell r="E734">
            <v>35869</v>
          </cell>
          <cell r="G734">
            <v>37042</v>
          </cell>
          <cell r="H734">
            <v>557</v>
          </cell>
          <cell r="I734" t="str">
            <v>деп</v>
          </cell>
          <cell r="J734">
            <v>37772</v>
          </cell>
        </row>
        <row r="735">
          <cell r="B735" t="str">
            <v>КЕДР Количество</v>
          </cell>
          <cell r="D735">
            <v>5</v>
          </cell>
        </row>
        <row r="736">
          <cell r="A736">
            <v>58140807</v>
          </cell>
          <cell r="B736" t="str">
            <v>КИЗЛЯРСКИЙ ВИНСОВХОЗ</v>
          </cell>
          <cell r="C736" t="str">
            <v>КИЗЛЯР       (СКВ)</v>
          </cell>
          <cell r="D736">
            <v>22282</v>
          </cell>
          <cell r="E736">
            <v>36745</v>
          </cell>
          <cell r="F736">
            <v>557</v>
          </cell>
          <cell r="G736">
            <v>33430</v>
          </cell>
          <cell r="I736" t="str">
            <v>деп</v>
          </cell>
          <cell r="J736">
            <v>37475</v>
          </cell>
        </row>
        <row r="737">
          <cell r="A737">
            <v>58140815</v>
          </cell>
          <cell r="B737" t="str">
            <v>КИЗЛЯРСКИЙ ВИНСОВХОЗ</v>
          </cell>
          <cell r="C737" t="str">
            <v>КИЗЛЯР       (СКВ)</v>
          </cell>
          <cell r="D737">
            <v>22282</v>
          </cell>
          <cell r="E737">
            <v>35794</v>
          </cell>
          <cell r="G737">
            <v>35885</v>
          </cell>
          <cell r="I737" t="str">
            <v>деп</v>
          </cell>
          <cell r="J737">
            <v>36616</v>
          </cell>
        </row>
        <row r="738">
          <cell r="A738">
            <v>58140823</v>
          </cell>
          <cell r="B738" t="str">
            <v>КИЗЛЯРСКИЙ ВИНСОВХОЗ</v>
          </cell>
          <cell r="C738" t="str">
            <v>КИЗЛЯР       (СКВ)</v>
          </cell>
          <cell r="D738">
            <v>22282</v>
          </cell>
          <cell r="E738">
            <v>36745</v>
          </cell>
          <cell r="F738">
            <v>557</v>
          </cell>
          <cell r="G738">
            <v>35289</v>
          </cell>
          <cell r="I738" t="str">
            <v>деп</v>
          </cell>
          <cell r="J738">
            <v>37475</v>
          </cell>
        </row>
        <row r="739">
          <cell r="A739">
            <v>58140831</v>
          </cell>
          <cell r="B739" t="str">
            <v>КИЗЛЯРСКИЙ ВИНСОВХОЗ</v>
          </cell>
          <cell r="C739" t="str">
            <v>КИЗЛЯР       (СКВ)</v>
          </cell>
          <cell r="D739">
            <v>22282</v>
          </cell>
          <cell r="E739">
            <v>35864</v>
          </cell>
          <cell r="G739">
            <v>33876</v>
          </cell>
          <cell r="I739" t="str">
            <v>деп</v>
          </cell>
          <cell r="J739">
            <v>36595</v>
          </cell>
        </row>
        <row r="740">
          <cell r="A740">
            <v>58140849</v>
          </cell>
          <cell r="B740" t="str">
            <v>КИЗЛЯРСКИЙ ВИНСОВХОЗ</v>
          </cell>
          <cell r="C740" t="str">
            <v>КИЗЛЯР       (СКВ)</v>
          </cell>
          <cell r="D740">
            <v>22282</v>
          </cell>
          <cell r="E740">
            <v>36745</v>
          </cell>
          <cell r="F740">
            <v>557</v>
          </cell>
          <cell r="G740">
            <v>33430</v>
          </cell>
          <cell r="I740" t="str">
            <v>деп</v>
          </cell>
          <cell r="J740">
            <v>37475</v>
          </cell>
        </row>
        <row r="741">
          <cell r="B741" t="str">
            <v>КИЗЛЯРСКИЙ ВИНСОВХОЗ Количество</v>
          </cell>
          <cell r="D741">
            <v>5</v>
          </cell>
        </row>
        <row r="742">
          <cell r="A742">
            <v>58725789</v>
          </cell>
          <cell r="B742" t="str">
            <v>КИРОВ.ДИСТ.ВОДОСНАБЖ.ГОРЖД</v>
          </cell>
          <cell r="C742" t="str">
            <v>МУРАШИ       (ГOР)</v>
          </cell>
          <cell r="D742">
            <v>33198</v>
          </cell>
          <cell r="E742">
            <v>36465</v>
          </cell>
        </row>
        <row r="743">
          <cell r="B743" t="str">
            <v>КИРОВ.ДИСТ.ВОДОСНАБЖ.ГОРЖД Количество</v>
          </cell>
          <cell r="D743">
            <v>1</v>
          </cell>
        </row>
        <row r="744">
          <cell r="A744">
            <v>53402087</v>
          </cell>
          <cell r="B744" t="str">
            <v>КОЛОРТРАНС</v>
          </cell>
          <cell r="C744" t="str">
            <v>ПОДЛИПКИ-ДАЧ (МСK)</v>
          </cell>
          <cell r="D744">
            <v>29587</v>
          </cell>
          <cell r="F744">
            <v>0</v>
          </cell>
          <cell r="G744">
            <v>37790</v>
          </cell>
          <cell r="H744">
            <v>492</v>
          </cell>
          <cell r="I744" t="str">
            <v>деп</v>
          </cell>
          <cell r="J744">
            <v>38521</v>
          </cell>
        </row>
        <row r="745">
          <cell r="B745" t="str">
            <v>КОЛОРТРАНС Количество</v>
          </cell>
          <cell r="D745">
            <v>1</v>
          </cell>
        </row>
        <row r="746">
          <cell r="A746">
            <v>58330978</v>
          </cell>
          <cell r="B746" t="str">
            <v>КОМИТОРГНЕФТЬ</v>
          </cell>
          <cell r="C746" t="str">
            <v>УХТА         (СЕВ)</v>
          </cell>
          <cell r="D746">
            <v>31778</v>
          </cell>
          <cell r="E746">
            <v>35326</v>
          </cell>
        </row>
        <row r="747">
          <cell r="A747">
            <v>58331034</v>
          </cell>
          <cell r="B747" t="str">
            <v>КОМИТОРГНЕФТЬ</v>
          </cell>
          <cell r="C747" t="str">
            <v>УХТА         (СЕВ)</v>
          </cell>
          <cell r="D747">
            <v>31778</v>
          </cell>
          <cell r="E747">
            <v>35326</v>
          </cell>
        </row>
        <row r="748">
          <cell r="B748" t="str">
            <v>КОМИТОРГНЕФТЬ Количество</v>
          </cell>
          <cell r="D748">
            <v>2</v>
          </cell>
        </row>
        <row r="749">
          <cell r="A749">
            <v>53706719</v>
          </cell>
          <cell r="B749" t="str">
            <v>КОМП.ВОСТОЧНЫЙ МЕРИДИАН</v>
          </cell>
          <cell r="C749" t="str">
            <v>ВОЛКОВСКАЯ   (ОКТ)</v>
          </cell>
          <cell r="D749">
            <v>31472</v>
          </cell>
          <cell r="E749">
            <v>36358</v>
          </cell>
          <cell r="F749">
            <v>886</v>
          </cell>
          <cell r="G749">
            <v>37807</v>
          </cell>
          <cell r="H749">
            <v>886</v>
          </cell>
          <cell r="I749" t="str">
            <v>деп</v>
          </cell>
          <cell r="J749">
            <v>38357</v>
          </cell>
        </row>
        <row r="750">
          <cell r="A750">
            <v>53706842</v>
          </cell>
          <cell r="B750" t="str">
            <v>КОМП.ВОСТОЧНЫЙ МЕРИДИАН</v>
          </cell>
          <cell r="C750" t="str">
            <v>ВОЛКОВСКАЯ   (ОКТ)</v>
          </cell>
          <cell r="D750">
            <v>31472</v>
          </cell>
          <cell r="E750">
            <v>36140</v>
          </cell>
          <cell r="F750">
            <v>0</v>
          </cell>
          <cell r="G750">
            <v>37928</v>
          </cell>
          <cell r="H750">
            <v>0</v>
          </cell>
          <cell r="I750" t="str">
            <v>деп</v>
          </cell>
          <cell r="J750">
            <v>38475</v>
          </cell>
        </row>
        <row r="751">
          <cell r="A751">
            <v>53706859</v>
          </cell>
          <cell r="B751" t="str">
            <v>КОМП.ВОСТОЧНЫЙ МЕРИДИАН</v>
          </cell>
          <cell r="C751" t="str">
            <v>ВОЛКОВСКАЯ   (ОКТ)</v>
          </cell>
          <cell r="D751">
            <v>31444</v>
          </cell>
          <cell r="E751">
            <v>36834</v>
          </cell>
          <cell r="F751">
            <v>0</v>
          </cell>
          <cell r="G751">
            <v>37928</v>
          </cell>
          <cell r="H751">
            <v>0</v>
          </cell>
          <cell r="I751" t="str">
            <v>деп</v>
          </cell>
          <cell r="J751">
            <v>38475</v>
          </cell>
        </row>
        <row r="752">
          <cell r="A752">
            <v>53706867</v>
          </cell>
          <cell r="B752" t="str">
            <v>КОМП.ВОСТОЧНЫЙ МЕРИДИАН</v>
          </cell>
          <cell r="C752" t="str">
            <v>ВОЛКОВСКАЯ   (ОКТ)</v>
          </cell>
          <cell r="D752">
            <v>31444</v>
          </cell>
          <cell r="E752">
            <v>36355</v>
          </cell>
          <cell r="F752">
            <v>886</v>
          </cell>
          <cell r="G752">
            <v>37928</v>
          </cell>
          <cell r="H752">
            <v>0</v>
          </cell>
          <cell r="I752" t="str">
            <v>деп</v>
          </cell>
          <cell r="J752">
            <v>38475</v>
          </cell>
        </row>
        <row r="753">
          <cell r="A753">
            <v>58741604</v>
          </cell>
          <cell r="B753" t="str">
            <v>КОМП.ВОСТОЧНЫЙ МЕРИДИАН</v>
          </cell>
          <cell r="C753" t="str">
            <v>ВОЛКОВСКАЯ   (ОКТ)</v>
          </cell>
          <cell r="D753">
            <v>31472</v>
          </cell>
          <cell r="E753">
            <v>36358</v>
          </cell>
          <cell r="F753">
            <v>886</v>
          </cell>
          <cell r="G753">
            <v>37807</v>
          </cell>
          <cell r="H753">
            <v>886</v>
          </cell>
          <cell r="I753" t="str">
            <v>деп</v>
          </cell>
          <cell r="J753">
            <v>38357</v>
          </cell>
        </row>
        <row r="754">
          <cell r="A754">
            <v>58741612</v>
          </cell>
          <cell r="B754" t="str">
            <v>КОМП.ВОСТОЧНЫЙ МЕРИДИАН</v>
          </cell>
          <cell r="C754" t="str">
            <v>ВОЛКОВСКАЯ   (ОКТ)</v>
          </cell>
          <cell r="D754">
            <v>31444</v>
          </cell>
          <cell r="E754">
            <v>36358</v>
          </cell>
          <cell r="F754">
            <v>886</v>
          </cell>
          <cell r="G754">
            <v>37807</v>
          </cell>
          <cell r="H754">
            <v>886</v>
          </cell>
          <cell r="I754" t="str">
            <v>деп</v>
          </cell>
          <cell r="J754">
            <v>38357</v>
          </cell>
        </row>
        <row r="755">
          <cell r="A755">
            <v>58741620</v>
          </cell>
          <cell r="B755" t="str">
            <v>КОМП.ВОСТОЧНЫЙ МЕРИДИАН</v>
          </cell>
          <cell r="C755" t="str">
            <v>ВОЛКОВСКАЯ   (ОКТ)</v>
          </cell>
          <cell r="D755">
            <v>31472</v>
          </cell>
          <cell r="E755">
            <v>36358</v>
          </cell>
          <cell r="F755">
            <v>886</v>
          </cell>
          <cell r="G755">
            <v>37807</v>
          </cell>
          <cell r="H755">
            <v>886</v>
          </cell>
          <cell r="I755" t="str">
            <v>деп</v>
          </cell>
          <cell r="J755">
            <v>38357</v>
          </cell>
        </row>
        <row r="756">
          <cell r="A756">
            <v>58741638</v>
          </cell>
          <cell r="B756" t="str">
            <v>КОМП.ВОСТОЧНЫЙ МЕРИДИАН</v>
          </cell>
          <cell r="C756" t="str">
            <v>ВОЛКОВСКАЯ   (ОКТ)</v>
          </cell>
          <cell r="D756">
            <v>31472</v>
          </cell>
          <cell r="E756">
            <v>36358</v>
          </cell>
          <cell r="F756">
            <v>886</v>
          </cell>
          <cell r="G756">
            <v>37807</v>
          </cell>
          <cell r="H756">
            <v>886</v>
          </cell>
          <cell r="I756" t="str">
            <v>деп</v>
          </cell>
          <cell r="J756">
            <v>38357</v>
          </cell>
        </row>
        <row r="757">
          <cell r="A757">
            <v>58742180</v>
          </cell>
          <cell r="B757" t="str">
            <v>КОМП.ВОСТОЧНЫЙ МЕРИДИАН</v>
          </cell>
          <cell r="C757" t="str">
            <v>ВОЛКОВСКАЯ   (ОКТ)</v>
          </cell>
          <cell r="D757">
            <v>31472</v>
          </cell>
          <cell r="E757">
            <v>36140</v>
          </cell>
          <cell r="F757">
            <v>0</v>
          </cell>
          <cell r="G757">
            <v>37928</v>
          </cell>
          <cell r="H757">
            <v>0</v>
          </cell>
          <cell r="I757" t="str">
            <v>деп</v>
          </cell>
          <cell r="J757">
            <v>38475</v>
          </cell>
        </row>
        <row r="758">
          <cell r="A758">
            <v>58742206</v>
          </cell>
          <cell r="B758" t="str">
            <v>КОМП.ВОСТОЧНЫЙ МЕРИДИАН</v>
          </cell>
          <cell r="C758" t="str">
            <v>ВОЛКОВСКАЯ   (ОКТ)</v>
          </cell>
          <cell r="D758">
            <v>31472</v>
          </cell>
          <cell r="E758">
            <v>36140</v>
          </cell>
          <cell r="F758">
            <v>0</v>
          </cell>
          <cell r="G758">
            <v>37928</v>
          </cell>
          <cell r="H758">
            <v>0</v>
          </cell>
          <cell r="I758" t="str">
            <v>деп</v>
          </cell>
          <cell r="J758">
            <v>38475</v>
          </cell>
        </row>
        <row r="759">
          <cell r="A759">
            <v>58742214</v>
          </cell>
          <cell r="B759" t="str">
            <v>КОМП.ВОСТОЧНЫЙ МЕРИДИАН</v>
          </cell>
          <cell r="C759" t="str">
            <v>ВОЛКОВСКАЯ   (ОКТ)</v>
          </cell>
          <cell r="D759">
            <v>31472</v>
          </cell>
          <cell r="E759">
            <v>36140</v>
          </cell>
          <cell r="F759">
            <v>0</v>
          </cell>
          <cell r="G759">
            <v>37928</v>
          </cell>
          <cell r="H759">
            <v>0</v>
          </cell>
          <cell r="I759" t="str">
            <v>деп</v>
          </cell>
          <cell r="J759">
            <v>38475</v>
          </cell>
        </row>
        <row r="760">
          <cell r="A760">
            <v>58742222</v>
          </cell>
          <cell r="B760" t="str">
            <v>КОМП.ВОСТОЧНЫЙ МЕРИДИАН</v>
          </cell>
          <cell r="C760" t="str">
            <v>ВОЛКОВСКАЯ   (ОКТ)</v>
          </cell>
          <cell r="D760">
            <v>31472</v>
          </cell>
          <cell r="E760">
            <v>36140</v>
          </cell>
          <cell r="F760">
            <v>0</v>
          </cell>
          <cell r="G760">
            <v>37928</v>
          </cell>
          <cell r="H760">
            <v>0</v>
          </cell>
          <cell r="I760" t="str">
            <v>деп</v>
          </cell>
          <cell r="J760">
            <v>38475</v>
          </cell>
        </row>
        <row r="761">
          <cell r="A761">
            <v>58742230</v>
          </cell>
          <cell r="B761" t="str">
            <v>КОМП.ВОСТОЧНЫЙ МЕРИДИАН</v>
          </cell>
          <cell r="C761" t="str">
            <v>ВОЛКОВСКАЯ   (ОКТ)</v>
          </cell>
          <cell r="D761">
            <v>31444</v>
          </cell>
          <cell r="E761">
            <v>36529</v>
          </cell>
          <cell r="F761">
            <v>0</v>
          </cell>
          <cell r="G761">
            <v>37928</v>
          </cell>
          <cell r="H761">
            <v>0</v>
          </cell>
          <cell r="I761" t="str">
            <v>деп</v>
          </cell>
          <cell r="J761">
            <v>38475</v>
          </cell>
        </row>
        <row r="762">
          <cell r="A762">
            <v>58742248</v>
          </cell>
          <cell r="B762" t="str">
            <v>КОМП.ВОСТОЧНЫЙ МЕРИДИАН</v>
          </cell>
          <cell r="C762" t="str">
            <v>ВОЛКОВСКАЯ   (ОКТ)</v>
          </cell>
          <cell r="D762">
            <v>31444</v>
          </cell>
          <cell r="E762">
            <v>36529</v>
          </cell>
          <cell r="F762">
            <v>0</v>
          </cell>
          <cell r="G762">
            <v>37928</v>
          </cell>
          <cell r="H762">
            <v>0</v>
          </cell>
          <cell r="I762" t="str">
            <v>деп</v>
          </cell>
          <cell r="J762">
            <v>38475</v>
          </cell>
        </row>
        <row r="763">
          <cell r="A763">
            <v>58742255</v>
          </cell>
          <cell r="B763" t="str">
            <v>КОМП.ВОСТОЧНЫЙ МЕРИДИАН</v>
          </cell>
          <cell r="C763" t="str">
            <v>ВОЛКОВСКАЯ   (ОКТ)</v>
          </cell>
          <cell r="D763">
            <v>31444</v>
          </cell>
          <cell r="E763">
            <v>36529</v>
          </cell>
          <cell r="F763">
            <v>0</v>
          </cell>
          <cell r="G763">
            <v>37928</v>
          </cell>
          <cell r="H763">
            <v>0</v>
          </cell>
          <cell r="I763" t="str">
            <v>деп</v>
          </cell>
          <cell r="J763">
            <v>38475</v>
          </cell>
        </row>
        <row r="764">
          <cell r="A764">
            <v>58742263</v>
          </cell>
          <cell r="B764" t="str">
            <v>КОМП.ВОСТОЧНЫЙ МЕРИДИАН</v>
          </cell>
          <cell r="C764" t="str">
            <v>ВОЛКОВСКАЯ   (ОКТ)</v>
          </cell>
          <cell r="D764">
            <v>31444</v>
          </cell>
          <cell r="E764">
            <v>36529</v>
          </cell>
          <cell r="F764">
            <v>0</v>
          </cell>
          <cell r="G764">
            <v>37928</v>
          </cell>
          <cell r="H764">
            <v>0</v>
          </cell>
          <cell r="I764" t="str">
            <v>деп</v>
          </cell>
          <cell r="J764">
            <v>38475</v>
          </cell>
        </row>
        <row r="765">
          <cell r="A765">
            <v>58742271</v>
          </cell>
          <cell r="B765" t="str">
            <v>КОМП.ВОСТОЧНЫЙ МЕРИДИАН</v>
          </cell>
          <cell r="C765" t="str">
            <v>ВОЛКОВСКАЯ   (ОКТ)</v>
          </cell>
          <cell r="D765">
            <v>31444</v>
          </cell>
          <cell r="E765">
            <v>36355</v>
          </cell>
          <cell r="F765">
            <v>0</v>
          </cell>
          <cell r="G765">
            <v>37928</v>
          </cell>
          <cell r="H765">
            <v>0</v>
          </cell>
          <cell r="I765" t="str">
            <v>деп</v>
          </cell>
          <cell r="J765">
            <v>38475</v>
          </cell>
        </row>
        <row r="766">
          <cell r="A766">
            <v>58742289</v>
          </cell>
          <cell r="B766" t="str">
            <v>КОМП.ВОСТОЧНЫЙ МЕРИДИАН</v>
          </cell>
          <cell r="C766" t="str">
            <v>ВОЛКОВСКАЯ   (ОКТ)</v>
          </cell>
          <cell r="D766">
            <v>31444</v>
          </cell>
          <cell r="E766">
            <v>36355</v>
          </cell>
          <cell r="F766">
            <v>0</v>
          </cell>
          <cell r="G766">
            <v>37928</v>
          </cell>
          <cell r="H766">
            <v>0</v>
          </cell>
          <cell r="I766" t="str">
            <v>деп</v>
          </cell>
          <cell r="J766">
            <v>38475</v>
          </cell>
        </row>
        <row r="767">
          <cell r="A767">
            <v>58742305</v>
          </cell>
          <cell r="B767" t="str">
            <v>КОМП.ВОСТОЧНЫЙ МЕРИДИАН</v>
          </cell>
          <cell r="C767" t="str">
            <v>ВОЛКОВСКАЯ   (ОКТ)</v>
          </cell>
          <cell r="D767">
            <v>31444</v>
          </cell>
          <cell r="E767">
            <v>36355</v>
          </cell>
          <cell r="F767">
            <v>0</v>
          </cell>
          <cell r="G767">
            <v>37928</v>
          </cell>
          <cell r="H767">
            <v>0</v>
          </cell>
          <cell r="I767" t="str">
            <v>деп</v>
          </cell>
          <cell r="J767">
            <v>38475</v>
          </cell>
        </row>
        <row r="768">
          <cell r="A768">
            <v>58742313</v>
          </cell>
          <cell r="B768" t="str">
            <v>КОМП.ВОСТОЧНЫЙ МЕРИДИАН</v>
          </cell>
          <cell r="C768" t="str">
            <v>ВОЛКОВСКАЯ   (ОКТ)</v>
          </cell>
          <cell r="D768">
            <v>31444</v>
          </cell>
          <cell r="E768">
            <v>36355</v>
          </cell>
          <cell r="F768">
            <v>0</v>
          </cell>
          <cell r="G768">
            <v>37928</v>
          </cell>
          <cell r="H768">
            <v>0</v>
          </cell>
          <cell r="I768" t="str">
            <v>деп</v>
          </cell>
          <cell r="J768">
            <v>38475</v>
          </cell>
        </row>
        <row r="769">
          <cell r="B769" t="str">
            <v>КОМП.ВОСТОЧНЫЙ МЕРИДИАН Количество</v>
          </cell>
          <cell r="D769">
            <v>20</v>
          </cell>
        </row>
        <row r="770">
          <cell r="A770">
            <v>53400016</v>
          </cell>
          <cell r="B770" t="str">
            <v>КОМПАНИЯ ВОСТОЧН.МЕРИДИАН</v>
          </cell>
          <cell r="C770" t="str">
            <v>МЫС-ЧУРКИН   (ДВС)</v>
          </cell>
          <cell r="D770">
            <v>29526</v>
          </cell>
          <cell r="E770">
            <v>37668</v>
          </cell>
          <cell r="F770">
            <v>819</v>
          </cell>
          <cell r="G770">
            <v>37071</v>
          </cell>
          <cell r="H770">
            <v>163</v>
          </cell>
          <cell r="I770" t="str">
            <v>деп</v>
          </cell>
          <cell r="J770">
            <v>38215</v>
          </cell>
        </row>
        <row r="771">
          <cell r="A771">
            <v>53400065</v>
          </cell>
          <cell r="B771" t="str">
            <v>КОМПАНИЯ ВОСТОЧН.МЕРИДИАН</v>
          </cell>
          <cell r="C771" t="str">
            <v>МЫС-ЧУРКИН   (ДВС)</v>
          </cell>
          <cell r="D771">
            <v>30713</v>
          </cell>
          <cell r="E771">
            <v>37127</v>
          </cell>
          <cell r="F771">
            <v>330</v>
          </cell>
          <cell r="G771">
            <v>37651</v>
          </cell>
          <cell r="H771">
            <v>819</v>
          </cell>
          <cell r="I771" t="str">
            <v>деп</v>
          </cell>
          <cell r="J771">
            <v>38198</v>
          </cell>
        </row>
        <row r="772">
          <cell r="A772">
            <v>53400115</v>
          </cell>
          <cell r="B772" t="str">
            <v>КОМПАНИЯ ВОСТОЧН.МЕРИДИАН</v>
          </cell>
          <cell r="C772" t="str">
            <v>МЫС-ЧУРКИН   (ДВС)</v>
          </cell>
          <cell r="D772">
            <v>28369</v>
          </cell>
          <cell r="E772">
            <v>37741</v>
          </cell>
          <cell r="F772">
            <v>819</v>
          </cell>
          <cell r="G772">
            <v>32417</v>
          </cell>
          <cell r="H772">
            <v>0</v>
          </cell>
          <cell r="I772" t="str">
            <v>деп</v>
          </cell>
          <cell r="J772">
            <v>38290</v>
          </cell>
        </row>
        <row r="773">
          <cell r="A773">
            <v>53400123</v>
          </cell>
          <cell r="B773" t="str">
            <v>КОМПАНИЯ ВОСТОЧН.МЕРИДИАН</v>
          </cell>
          <cell r="C773" t="str">
            <v>МЫС-ЧУРКИН   (ДВС)</v>
          </cell>
          <cell r="D773">
            <v>28399</v>
          </cell>
          <cell r="E773">
            <v>37741</v>
          </cell>
          <cell r="F773">
            <v>819</v>
          </cell>
          <cell r="G773">
            <v>32426</v>
          </cell>
          <cell r="H773">
            <v>840</v>
          </cell>
          <cell r="I773" t="str">
            <v>деп</v>
          </cell>
          <cell r="J773">
            <v>38290</v>
          </cell>
        </row>
        <row r="774">
          <cell r="A774">
            <v>53400131</v>
          </cell>
          <cell r="B774" t="str">
            <v>КОМПАНИЯ ВОСТОЧН.МЕРИДИАН</v>
          </cell>
          <cell r="C774" t="str">
            <v>МЫС-ЧУРКИН   (ДВС)</v>
          </cell>
          <cell r="D774">
            <v>28369</v>
          </cell>
          <cell r="E774">
            <v>37818</v>
          </cell>
          <cell r="F774">
            <v>163</v>
          </cell>
          <cell r="G774">
            <v>33359</v>
          </cell>
          <cell r="H774">
            <v>0</v>
          </cell>
          <cell r="I774" t="str">
            <v>деп</v>
          </cell>
          <cell r="J774">
            <v>38368</v>
          </cell>
        </row>
        <row r="775">
          <cell r="A775">
            <v>53400149</v>
          </cell>
          <cell r="B775" t="str">
            <v>КОМПАНИЯ ВОСТОЧН.МЕРИДИАН</v>
          </cell>
          <cell r="C775" t="str">
            <v>МЫС-ЧУРКИН   (ДВС)</v>
          </cell>
          <cell r="D775">
            <v>28399</v>
          </cell>
          <cell r="E775">
            <v>37918</v>
          </cell>
          <cell r="F775">
            <v>163</v>
          </cell>
          <cell r="G775">
            <v>32143</v>
          </cell>
          <cell r="H775">
            <v>840</v>
          </cell>
          <cell r="I775" t="str">
            <v>деп</v>
          </cell>
          <cell r="J775">
            <v>38466</v>
          </cell>
        </row>
        <row r="776">
          <cell r="A776">
            <v>53400164</v>
          </cell>
          <cell r="B776" t="str">
            <v>КОМПАНИЯ ВОСТОЧН.МЕРИДИАН</v>
          </cell>
          <cell r="C776" t="str">
            <v>МЫС-ЧУРКИН   (ДВС)</v>
          </cell>
          <cell r="D776">
            <v>28430</v>
          </cell>
          <cell r="E776">
            <v>37746</v>
          </cell>
          <cell r="F776">
            <v>163</v>
          </cell>
          <cell r="G776">
            <v>33584</v>
          </cell>
          <cell r="H776">
            <v>840</v>
          </cell>
          <cell r="I776" t="str">
            <v>деп</v>
          </cell>
          <cell r="J776">
            <v>38296</v>
          </cell>
        </row>
        <row r="777">
          <cell r="A777">
            <v>53400172</v>
          </cell>
          <cell r="B777" t="str">
            <v>КОМПАНИЯ ВОСТОЧН.МЕРИДИАН</v>
          </cell>
          <cell r="C777" t="str">
            <v>МЫС-ЧУРКИН   (ДВС)</v>
          </cell>
          <cell r="D777">
            <v>28460</v>
          </cell>
          <cell r="E777">
            <v>37882</v>
          </cell>
          <cell r="F777">
            <v>163</v>
          </cell>
          <cell r="G777">
            <v>37315</v>
          </cell>
          <cell r="H777">
            <v>840</v>
          </cell>
          <cell r="I777" t="str">
            <v>деп</v>
          </cell>
          <cell r="J777">
            <v>38429</v>
          </cell>
        </row>
        <row r="778">
          <cell r="A778">
            <v>53703427</v>
          </cell>
          <cell r="B778" t="str">
            <v>КОМПАНИЯ ВОСТОЧН.МЕРИДИАН</v>
          </cell>
          <cell r="C778" t="str">
            <v>МЫС-ЧУРКИН   (ДВС)</v>
          </cell>
          <cell r="D778">
            <v>33786</v>
          </cell>
          <cell r="E778">
            <v>37777</v>
          </cell>
          <cell r="F778">
            <v>163</v>
          </cell>
          <cell r="H778">
            <v>0</v>
          </cell>
          <cell r="I778" t="str">
            <v>деп</v>
          </cell>
          <cell r="J778">
            <v>38326</v>
          </cell>
        </row>
        <row r="779">
          <cell r="A779">
            <v>53705661</v>
          </cell>
          <cell r="B779" t="str">
            <v>КОМПАНИЯ ВОСТОЧН.МЕРИДИАН</v>
          </cell>
          <cell r="C779" t="str">
            <v>МЫС-ЧУРКИН   (ДВС)</v>
          </cell>
          <cell r="D779">
            <v>33359</v>
          </cell>
          <cell r="E779">
            <v>37769</v>
          </cell>
          <cell r="F779">
            <v>163</v>
          </cell>
          <cell r="H779">
            <v>0</v>
          </cell>
          <cell r="I779" t="str">
            <v>деп</v>
          </cell>
          <cell r="J779">
            <v>38319</v>
          </cell>
        </row>
        <row r="780">
          <cell r="A780">
            <v>53706180</v>
          </cell>
          <cell r="B780" t="str">
            <v>КОМПАНИЯ ВОСТОЧН.МЕРИДИАН</v>
          </cell>
          <cell r="C780" t="str">
            <v>МЫС-ЧУРКИН   (ДВС)</v>
          </cell>
          <cell r="D780">
            <v>33543</v>
          </cell>
          <cell r="E780">
            <v>37952</v>
          </cell>
          <cell r="F780">
            <v>350</v>
          </cell>
          <cell r="H780">
            <v>0</v>
          </cell>
          <cell r="I780" t="str">
            <v>деп</v>
          </cell>
          <cell r="J780">
            <v>38499</v>
          </cell>
        </row>
        <row r="781">
          <cell r="A781">
            <v>53706206</v>
          </cell>
          <cell r="B781" t="str">
            <v>КОМПАНИЯ ВОСТОЧН.МЕРИДИАН</v>
          </cell>
          <cell r="C781" t="str">
            <v>МЫС-ЧУРКИН   (ДВС)</v>
          </cell>
          <cell r="D781">
            <v>33512</v>
          </cell>
          <cell r="E781">
            <v>37953</v>
          </cell>
          <cell r="F781">
            <v>163</v>
          </cell>
          <cell r="H781">
            <v>0</v>
          </cell>
          <cell r="I781" t="str">
            <v>деп</v>
          </cell>
          <cell r="J781">
            <v>38500</v>
          </cell>
        </row>
        <row r="782">
          <cell r="A782">
            <v>53706602</v>
          </cell>
          <cell r="B782" t="str">
            <v>КОМПАНИЯ ВОСТОЧН.МЕРИДИАН</v>
          </cell>
          <cell r="C782" t="str">
            <v>МЫС-ЧУРКИН   (ДВС)</v>
          </cell>
          <cell r="D782">
            <v>32078</v>
          </cell>
          <cell r="E782">
            <v>34090</v>
          </cell>
          <cell r="F782">
            <v>0</v>
          </cell>
          <cell r="G782">
            <v>37772</v>
          </cell>
          <cell r="H782">
            <v>557</v>
          </cell>
          <cell r="I782" t="str">
            <v>деп</v>
          </cell>
          <cell r="J782">
            <v>38321</v>
          </cell>
        </row>
        <row r="783">
          <cell r="A783">
            <v>53706768</v>
          </cell>
          <cell r="B783" t="str">
            <v>КОМПАНИЯ ВОСТОЧН.МЕРИДИАН</v>
          </cell>
          <cell r="C783" t="str">
            <v>МЫС-ЧУРКИН   (ДВС)</v>
          </cell>
          <cell r="D783">
            <v>33872</v>
          </cell>
          <cell r="E783">
            <v>37921</v>
          </cell>
          <cell r="F783">
            <v>163</v>
          </cell>
          <cell r="H783">
            <v>0</v>
          </cell>
          <cell r="I783" t="str">
            <v>деп</v>
          </cell>
          <cell r="J783">
            <v>38469</v>
          </cell>
        </row>
        <row r="784">
          <cell r="A784">
            <v>58722455</v>
          </cell>
          <cell r="B784" t="str">
            <v>КОМПАНИЯ ВОСТОЧН.МЕРИДИАН</v>
          </cell>
          <cell r="C784" t="str">
            <v>УССУРИЙСК    (ДВС)</v>
          </cell>
          <cell r="D784">
            <v>33786</v>
          </cell>
          <cell r="E784">
            <v>37777</v>
          </cell>
          <cell r="F784">
            <v>163</v>
          </cell>
          <cell r="H784">
            <v>0</v>
          </cell>
          <cell r="I784" t="str">
            <v>деп</v>
          </cell>
          <cell r="J784">
            <v>38508</v>
          </cell>
        </row>
        <row r="785">
          <cell r="A785">
            <v>58722463</v>
          </cell>
          <cell r="B785" t="str">
            <v>КОМПАНИЯ ВОСТОЧН.МЕРИДИАН</v>
          </cell>
          <cell r="C785" t="str">
            <v>УССУРИЙСК    (ДВС)</v>
          </cell>
          <cell r="D785">
            <v>33786</v>
          </cell>
          <cell r="E785">
            <v>37777</v>
          </cell>
          <cell r="F785">
            <v>163</v>
          </cell>
          <cell r="H785">
            <v>0</v>
          </cell>
          <cell r="I785" t="str">
            <v>деп</v>
          </cell>
          <cell r="J785">
            <v>38508</v>
          </cell>
        </row>
        <row r="786">
          <cell r="A786">
            <v>58722471</v>
          </cell>
          <cell r="B786" t="str">
            <v>КОМПАНИЯ ВОСТОЧН.МЕРИДИАН</v>
          </cell>
          <cell r="C786" t="str">
            <v>УССУРИЙСК    (ДВС)</v>
          </cell>
          <cell r="D786">
            <v>33786</v>
          </cell>
          <cell r="E786">
            <v>37777</v>
          </cell>
          <cell r="F786">
            <v>163</v>
          </cell>
          <cell r="H786">
            <v>0</v>
          </cell>
          <cell r="I786" t="str">
            <v>деп</v>
          </cell>
          <cell r="J786">
            <v>38508</v>
          </cell>
        </row>
        <row r="787">
          <cell r="A787">
            <v>58722489</v>
          </cell>
          <cell r="B787" t="str">
            <v>КОМПАНИЯ ВОСТОЧН.МЕРИДИАН</v>
          </cell>
          <cell r="C787" t="str">
            <v>УССУРИЙСК    (ДВС)</v>
          </cell>
          <cell r="D787">
            <v>33786</v>
          </cell>
          <cell r="E787">
            <v>37777</v>
          </cell>
          <cell r="F787">
            <v>163</v>
          </cell>
          <cell r="H787">
            <v>0</v>
          </cell>
          <cell r="I787" t="str">
            <v>деп</v>
          </cell>
          <cell r="J787">
            <v>38508</v>
          </cell>
        </row>
        <row r="788">
          <cell r="A788">
            <v>58724691</v>
          </cell>
          <cell r="B788" t="str">
            <v>КОМПАНИЯ ВОСТОЧН.МЕРИДИАН</v>
          </cell>
          <cell r="C788" t="str">
            <v>МЫС-ЧУРКИН   (ДВС)</v>
          </cell>
          <cell r="D788">
            <v>33543</v>
          </cell>
          <cell r="E788">
            <v>37952</v>
          </cell>
          <cell r="F788">
            <v>350</v>
          </cell>
          <cell r="H788">
            <v>0</v>
          </cell>
          <cell r="I788" t="str">
            <v>деп</v>
          </cell>
          <cell r="J788">
            <v>38499</v>
          </cell>
        </row>
        <row r="789">
          <cell r="A789">
            <v>58724790</v>
          </cell>
          <cell r="B789" t="str">
            <v>КОМПАНИЯ ВОСТОЧН.МЕРИДИАН</v>
          </cell>
          <cell r="C789" t="str">
            <v>МЫС-ЧУРКИН   (ДВС)</v>
          </cell>
          <cell r="D789">
            <v>33543</v>
          </cell>
          <cell r="E789">
            <v>37769</v>
          </cell>
          <cell r="F789">
            <v>163</v>
          </cell>
          <cell r="H789">
            <v>0</v>
          </cell>
          <cell r="I789" t="str">
            <v>деп</v>
          </cell>
          <cell r="J789">
            <v>38319</v>
          </cell>
        </row>
        <row r="790">
          <cell r="A790">
            <v>58724899</v>
          </cell>
          <cell r="B790" t="str">
            <v>КОМПАНИЯ ВОСТОЧН.МЕРИДИАН</v>
          </cell>
          <cell r="C790" t="str">
            <v>МЫС-ЧУРКИН   (ДВС)</v>
          </cell>
          <cell r="D790">
            <v>33543</v>
          </cell>
          <cell r="E790">
            <v>37952</v>
          </cell>
          <cell r="F790">
            <v>350</v>
          </cell>
          <cell r="H790">
            <v>0</v>
          </cell>
          <cell r="I790" t="str">
            <v>деп</v>
          </cell>
          <cell r="J790">
            <v>38499</v>
          </cell>
        </row>
        <row r="791">
          <cell r="A791">
            <v>58724907</v>
          </cell>
          <cell r="B791" t="str">
            <v>КОМПАНИЯ ВОСТОЧН.МЕРИДИАН</v>
          </cell>
          <cell r="C791" t="str">
            <v>МЫС-ЧУРКИН   (ДВС)</v>
          </cell>
          <cell r="D791">
            <v>33359</v>
          </cell>
          <cell r="E791">
            <v>37769</v>
          </cell>
          <cell r="F791">
            <v>163</v>
          </cell>
          <cell r="H791">
            <v>0</v>
          </cell>
          <cell r="I791" t="str">
            <v>деп</v>
          </cell>
          <cell r="J791">
            <v>38319</v>
          </cell>
        </row>
        <row r="792">
          <cell r="A792">
            <v>58724915</v>
          </cell>
          <cell r="B792" t="str">
            <v>КОМПАНИЯ ВОСТОЧН.МЕРИДИАН</v>
          </cell>
          <cell r="C792" t="str">
            <v>МЫС-ЧУРКИН   (ДВС)</v>
          </cell>
          <cell r="D792">
            <v>33359</v>
          </cell>
          <cell r="E792">
            <v>37769</v>
          </cell>
          <cell r="F792">
            <v>163</v>
          </cell>
          <cell r="H792">
            <v>0</v>
          </cell>
          <cell r="I792" t="str">
            <v>деп</v>
          </cell>
          <cell r="J792">
            <v>38319</v>
          </cell>
        </row>
        <row r="793">
          <cell r="A793">
            <v>58724923</v>
          </cell>
          <cell r="B793" t="str">
            <v>КОМПАНИЯ ВОСТОЧН.МЕРИДИАН</v>
          </cell>
          <cell r="C793" t="str">
            <v>МЫС-ЧУРКИН   (ДВС)</v>
          </cell>
          <cell r="D793">
            <v>33359</v>
          </cell>
          <cell r="E793">
            <v>37769</v>
          </cell>
          <cell r="F793">
            <v>163</v>
          </cell>
          <cell r="H793">
            <v>0</v>
          </cell>
          <cell r="I793" t="str">
            <v>деп</v>
          </cell>
          <cell r="J793">
            <v>38319</v>
          </cell>
        </row>
        <row r="794">
          <cell r="A794">
            <v>58724931</v>
          </cell>
          <cell r="B794" t="str">
            <v>КОМПАНИЯ ВОСТОЧН.МЕРИДИАН</v>
          </cell>
          <cell r="C794" t="str">
            <v>МЫС-ЧУРКИН   (ДВС)</v>
          </cell>
          <cell r="D794">
            <v>33359</v>
          </cell>
          <cell r="E794">
            <v>37769</v>
          </cell>
          <cell r="F794">
            <v>163</v>
          </cell>
          <cell r="H794">
            <v>0</v>
          </cell>
          <cell r="I794" t="str">
            <v>деп</v>
          </cell>
          <cell r="J794">
            <v>38319</v>
          </cell>
        </row>
        <row r="795">
          <cell r="A795">
            <v>58724998</v>
          </cell>
          <cell r="B795" t="str">
            <v>КОМПАНИЯ ВОСТОЧН.МЕРИДИАН</v>
          </cell>
          <cell r="C795" t="str">
            <v>МЫС-ЧУРКИН   (ДВС)</v>
          </cell>
          <cell r="D795">
            <v>33543</v>
          </cell>
          <cell r="E795">
            <v>37952</v>
          </cell>
          <cell r="F795">
            <v>350</v>
          </cell>
          <cell r="H795">
            <v>0</v>
          </cell>
          <cell r="I795" t="str">
            <v>деп</v>
          </cell>
          <cell r="J795">
            <v>38499</v>
          </cell>
        </row>
        <row r="796">
          <cell r="A796">
            <v>58725094</v>
          </cell>
          <cell r="B796" t="str">
            <v>КОМПАНИЯ ВОСТОЧН.МЕРИДИАН</v>
          </cell>
          <cell r="C796" t="str">
            <v>МЫС-ЧУРКИН   (ДВС)</v>
          </cell>
          <cell r="D796">
            <v>33543</v>
          </cell>
          <cell r="E796">
            <v>37952</v>
          </cell>
          <cell r="F796">
            <v>350</v>
          </cell>
          <cell r="H796">
            <v>0</v>
          </cell>
          <cell r="I796" t="str">
            <v>деп</v>
          </cell>
          <cell r="J796">
            <v>38499</v>
          </cell>
        </row>
        <row r="797">
          <cell r="A797">
            <v>58725193</v>
          </cell>
          <cell r="B797" t="str">
            <v>КОМПАНИЯ ВОСТОЧН.МЕРИДИАН</v>
          </cell>
          <cell r="C797" t="str">
            <v>МЫС-ЧУРКИН   (ДВС)</v>
          </cell>
          <cell r="D797">
            <v>33512</v>
          </cell>
          <cell r="E797">
            <v>37953</v>
          </cell>
          <cell r="F797">
            <v>163</v>
          </cell>
          <cell r="H797">
            <v>0</v>
          </cell>
          <cell r="I797" t="str">
            <v>деп</v>
          </cell>
          <cell r="J797">
            <v>38500</v>
          </cell>
        </row>
        <row r="798">
          <cell r="A798">
            <v>58725292</v>
          </cell>
          <cell r="B798" t="str">
            <v>КОМПАНИЯ ВОСТОЧН.МЕРИДИАН</v>
          </cell>
          <cell r="C798" t="str">
            <v>МЫС-ЧУРКИН   (ДВС)</v>
          </cell>
          <cell r="D798">
            <v>33512</v>
          </cell>
          <cell r="E798">
            <v>37953</v>
          </cell>
          <cell r="F798">
            <v>163</v>
          </cell>
          <cell r="H798">
            <v>0</v>
          </cell>
          <cell r="I798" t="str">
            <v>деп</v>
          </cell>
          <cell r="J798">
            <v>38500</v>
          </cell>
        </row>
        <row r="799">
          <cell r="A799">
            <v>58725391</v>
          </cell>
          <cell r="B799" t="str">
            <v>КОМПАНИЯ ВОСТОЧН.МЕРИДИАН</v>
          </cell>
          <cell r="C799" t="str">
            <v>МЫС-ЧУРКИН   (ДВС)</v>
          </cell>
          <cell r="D799">
            <v>33512</v>
          </cell>
          <cell r="E799">
            <v>37953</v>
          </cell>
          <cell r="F799">
            <v>163</v>
          </cell>
          <cell r="H799">
            <v>0</v>
          </cell>
          <cell r="I799" t="str">
            <v>деп</v>
          </cell>
          <cell r="J799">
            <v>38500</v>
          </cell>
        </row>
        <row r="800">
          <cell r="A800">
            <v>58725490</v>
          </cell>
          <cell r="B800" t="str">
            <v>КОМПАНИЯ ВОСТОЧН.МЕРИДИАН</v>
          </cell>
          <cell r="C800" t="str">
            <v>МЫС-ЧУРКИН   (ДВС)</v>
          </cell>
          <cell r="D800">
            <v>33512</v>
          </cell>
          <cell r="E800">
            <v>37953</v>
          </cell>
          <cell r="F800">
            <v>163</v>
          </cell>
          <cell r="H800">
            <v>0</v>
          </cell>
          <cell r="I800" t="str">
            <v>деп</v>
          </cell>
          <cell r="J800">
            <v>38500</v>
          </cell>
        </row>
        <row r="801">
          <cell r="A801">
            <v>58728833</v>
          </cell>
          <cell r="B801" t="str">
            <v>КОМПАНИЯ ВОСТОЧН.МЕРИДИАН</v>
          </cell>
          <cell r="C801" t="str">
            <v>МЫС-ЧУРКИН   (ДВС)</v>
          </cell>
          <cell r="D801">
            <v>29526</v>
          </cell>
          <cell r="E801">
            <v>37183</v>
          </cell>
          <cell r="F801">
            <v>352</v>
          </cell>
          <cell r="G801">
            <v>37651</v>
          </cell>
          <cell r="H801">
            <v>819</v>
          </cell>
          <cell r="I801" t="str">
            <v>деп</v>
          </cell>
          <cell r="J801">
            <v>38198</v>
          </cell>
        </row>
        <row r="802">
          <cell r="A802">
            <v>58728841</v>
          </cell>
          <cell r="B802" t="str">
            <v>КОМПАНИЯ ВОСТОЧН.МЕРИДИАН</v>
          </cell>
          <cell r="C802" t="str">
            <v>МЫС-ЧУРКИН   (ДВС)</v>
          </cell>
          <cell r="D802">
            <v>29526</v>
          </cell>
          <cell r="E802">
            <v>37183</v>
          </cell>
          <cell r="F802">
            <v>352</v>
          </cell>
          <cell r="G802">
            <v>37651</v>
          </cell>
          <cell r="H802">
            <v>819</v>
          </cell>
          <cell r="I802" t="str">
            <v>деп</v>
          </cell>
          <cell r="J802">
            <v>38198</v>
          </cell>
        </row>
        <row r="803">
          <cell r="A803">
            <v>58728858</v>
          </cell>
          <cell r="B803" t="str">
            <v>КОМПАНИЯ ВОСТОЧН.МЕРИДИАН</v>
          </cell>
          <cell r="C803" t="str">
            <v>МЫС-ЧУРКИН   (ДВС)</v>
          </cell>
          <cell r="D803">
            <v>29526</v>
          </cell>
          <cell r="E803">
            <v>37183</v>
          </cell>
          <cell r="F803">
            <v>352</v>
          </cell>
          <cell r="G803">
            <v>37651</v>
          </cell>
          <cell r="H803">
            <v>819</v>
          </cell>
          <cell r="I803" t="str">
            <v>деп</v>
          </cell>
          <cell r="J803">
            <v>38198</v>
          </cell>
        </row>
        <row r="804">
          <cell r="A804">
            <v>58728866</v>
          </cell>
          <cell r="B804" t="str">
            <v>КОМПАНИЯ ВОСТОЧН.МЕРИДИАН</v>
          </cell>
          <cell r="C804" t="str">
            <v>МЫС-ЧУРКИН   (ДВС)</v>
          </cell>
          <cell r="D804">
            <v>29526</v>
          </cell>
          <cell r="E804">
            <v>37183</v>
          </cell>
          <cell r="F804">
            <v>352</v>
          </cell>
          <cell r="G804">
            <v>37651</v>
          </cell>
          <cell r="H804">
            <v>819</v>
          </cell>
          <cell r="I804" t="str">
            <v>деп</v>
          </cell>
          <cell r="J804">
            <v>38198</v>
          </cell>
        </row>
        <row r="805">
          <cell r="A805">
            <v>58728874</v>
          </cell>
          <cell r="B805" t="str">
            <v>КОМПАНИЯ ВОСТОЧН.МЕРИДИАН</v>
          </cell>
          <cell r="C805" t="str">
            <v>МЫС-ЧУРКИН   (ДВС)</v>
          </cell>
          <cell r="D805">
            <v>29526</v>
          </cell>
          <cell r="E805">
            <v>37668</v>
          </cell>
          <cell r="F805">
            <v>819</v>
          </cell>
          <cell r="G805">
            <v>37071</v>
          </cell>
          <cell r="H805">
            <v>163</v>
          </cell>
          <cell r="I805" t="str">
            <v>деп</v>
          </cell>
          <cell r="J805">
            <v>38215</v>
          </cell>
        </row>
        <row r="806">
          <cell r="A806">
            <v>58728882</v>
          </cell>
          <cell r="B806" t="str">
            <v>КОМПАНИЯ ВОСТОЧН.МЕРИДИАН</v>
          </cell>
          <cell r="C806" t="str">
            <v>МЫС-ЧУРКИН   (ДВС)</v>
          </cell>
          <cell r="D806">
            <v>29526</v>
          </cell>
          <cell r="E806">
            <v>37668</v>
          </cell>
          <cell r="F806">
            <v>819</v>
          </cell>
          <cell r="G806">
            <v>37071</v>
          </cell>
          <cell r="H806">
            <v>163</v>
          </cell>
          <cell r="I806" t="str">
            <v>деп</v>
          </cell>
          <cell r="J806">
            <v>38215</v>
          </cell>
        </row>
        <row r="807">
          <cell r="A807">
            <v>58728908</v>
          </cell>
          <cell r="B807" t="str">
            <v>КОМПАНИЯ ВОСТОЧН.МЕРИДИАН</v>
          </cell>
          <cell r="C807" t="str">
            <v>МЫС-ЧУРКИН   (ДВС)</v>
          </cell>
          <cell r="D807">
            <v>29526</v>
          </cell>
          <cell r="E807">
            <v>37668</v>
          </cell>
          <cell r="F807">
            <v>819</v>
          </cell>
          <cell r="G807">
            <v>37071</v>
          </cell>
          <cell r="H807">
            <v>163</v>
          </cell>
          <cell r="I807" t="str">
            <v>деп</v>
          </cell>
          <cell r="J807">
            <v>38215</v>
          </cell>
        </row>
        <row r="808">
          <cell r="A808">
            <v>58728916</v>
          </cell>
          <cell r="B808" t="str">
            <v>КОМПАНИЯ ВОСТОЧН.МЕРИДИАН</v>
          </cell>
          <cell r="C808" t="str">
            <v>МЫС-ЧУРКИН   (ДВС)</v>
          </cell>
          <cell r="D808">
            <v>29526</v>
          </cell>
          <cell r="E808">
            <v>37668</v>
          </cell>
          <cell r="F808">
            <v>819</v>
          </cell>
          <cell r="G808">
            <v>37071</v>
          </cell>
          <cell r="H808">
            <v>163</v>
          </cell>
          <cell r="I808" t="str">
            <v>деп</v>
          </cell>
          <cell r="J808">
            <v>38215</v>
          </cell>
        </row>
        <row r="809">
          <cell r="A809">
            <v>58729187</v>
          </cell>
          <cell r="B809" t="str">
            <v>КОМПАНИЯ ВОСТОЧН.МЕРИДИАН</v>
          </cell>
          <cell r="C809" t="str">
            <v>МЫС-ЧУРКИН   (ДВС)</v>
          </cell>
          <cell r="D809">
            <v>30713</v>
          </cell>
          <cell r="E809">
            <v>37183</v>
          </cell>
          <cell r="F809">
            <v>352</v>
          </cell>
          <cell r="G809">
            <v>37651</v>
          </cell>
          <cell r="H809">
            <v>819</v>
          </cell>
          <cell r="I809" t="str">
            <v>деп</v>
          </cell>
          <cell r="J809">
            <v>38198</v>
          </cell>
        </row>
        <row r="810">
          <cell r="A810">
            <v>58730086</v>
          </cell>
          <cell r="B810" t="str">
            <v>КОМПАНИЯ ВОСТОЧН.МЕРИДИАН</v>
          </cell>
          <cell r="C810" t="str">
            <v>МЫС-ЧУРКИН   (ДВС)</v>
          </cell>
          <cell r="D810">
            <v>28369</v>
          </cell>
          <cell r="E810">
            <v>37741</v>
          </cell>
          <cell r="F810">
            <v>819</v>
          </cell>
          <cell r="G810">
            <v>32417</v>
          </cell>
          <cell r="H810">
            <v>840</v>
          </cell>
          <cell r="I810" t="str">
            <v>деп</v>
          </cell>
          <cell r="J810">
            <v>38290</v>
          </cell>
        </row>
        <row r="811">
          <cell r="A811">
            <v>58730094</v>
          </cell>
          <cell r="B811" t="str">
            <v>КОМПАНИЯ ВОСТОЧН.МЕРИДИАН</v>
          </cell>
          <cell r="C811" t="str">
            <v>МЫС-ЧУРКИН   (ДВС)</v>
          </cell>
          <cell r="D811">
            <v>28369</v>
          </cell>
          <cell r="E811">
            <v>37741</v>
          </cell>
          <cell r="F811">
            <v>819</v>
          </cell>
          <cell r="G811">
            <v>32417</v>
          </cell>
          <cell r="H811">
            <v>840</v>
          </cell>
          <cell r="I811" t="str">
            <v>деп</v>
          </cell>
          <cell r="J811">
            <v>38290</v>
          </cell>
        </row>
        <row r="812">
          <cell r="A812">
            <v>58730102</v>
          </cell>
          <cell r="B812" t="str">
            <v>КОМПАНИЯ ВОСТОЧН.МЕРИДИАН</v>
          </cell>
          <cell r="C812" t="str">
            <v>МЫС-ЧУРКИН   (ДВС)</v>
          </cell>
          <cell r="D812">
            <v>28369</v>
          </cell>
          <cell r="E812">
            <v>37741</v>
          </cell>
          <cell r="F812">
            <v>819</v>
          </cell>
          <cell r="G812">
            <v>32417</v>
          </cell>
          <cell r="H812">
            <v>840</v>
          </cell>
          <cell r="I812" t="str">
            <v>деп</v>
          </cell>
          <cell r="J812">
            <v>38290</v>
          </cell>
        </row>
        <row r="813">
          <cell r="A813">
            <v>58730110</v>
          </cell>
          <cell r="B813" t="str">
            <v>КОМПАНИЯ ВОСТОЧН.МЕРИДИАН</v>
          </cell>
          <cell r="C813" t="str">
            <v>МЫС-ЧУРКИН   (ДВС)</v>
          </cell>
          <cell r="D813">
            <v>28369</v>
          </cell>
          <cell r="E813">
            <v>37741</v>
          </cell>
          <cell r="F813">
            <v>819</v>
          </cell>
          <cell r="G813">
            <v>32417</v>
          </cell>
          <cell r="H813">
            <v>840</v>
          </cell>
          <cell r="I813" t="str">
            <v>деп</v>
          </cell>
          <cell r="J813">
            <v>38290</v>
          </cell>
        </row>
        <row r="814">
          <cell r="A814">
            <v>58730128</v>
          </cell>
          <cell r="B814" t="str">
            <v>КОМПАНИЯ ВОСТОЧН.МЕРИДИАН</v>
          </cell>
          <cell r="C814" t="str">
            <v>МЫС-ЧУРКИН   (ДВС)</v>
          </cell>
          <cell r="D814">
            <v>28399</v>
          </cell>
          <cell r="E814">
            <v>37741</v>
          </cell>
          <cell r="F814">
            <v>819</v>
          </cell>
          <cell r="G814">
            <v>32426</v>
          </cell>
          <cell r="H814">
            <v>840</v>
          </cell>
          <cell r="I814" t="str">
            <v>деп</v>
          </cell>
          <cell r="J814">
            <v>38290</v>
          </cell>
        </row>
        <row r="815">
          <cell r="A815">
            <v>58730136</v>
          </cell>
          <cell r="B815" t="str">
            <v>КОМПАНИЯ ВОСТОЧН.МЕРИДИАН</v>
          </cell>
          <cell r="C815" t="str">
            <v>МЫС-ЧУРКИН   (ДВС)</v>
          </cell>
          <cell r="D815">
            <v>28399</v>
          </cell>
          <cell r="E815">
            <v>37741</v>
          </cell>
          <cell r="F815">
            <v>819</v>
          </cell>
          <cell r="G815">
            <v>32426</v>
          </cell>
          <cell r="H815">
            <v>840</v>
          </cell>
          <cell r="I815" t="str">
            <v>деп</v>
          </cell>
          <cell r="J815">
            <v>38290</v>
          </cell>
        </row>
        <row r="816">
          <cell r="A816">
            <v>58730144</v>
          </cell>
          <cell r="B816" t="str">
            <v>КОМПАНИЯ ВОСТОЧН.МЕРИДИАН</v>
          </cell>
          <cell r="C816" t="str">
            <v>МЫС-ЧУРКИН   (ДВС)</v>
          </cell>
          <cell r="D816">
            <v>28399</v>
          </cell>
          <cell r="E816">
            <v>37741</v>
          </cell>
          <cell r="F816">
            <v>819</v>
          </cell>
          <cell r="G816">
            <v>32426</v>
          </cell>
          <cell r="H816">
            <v>840</v>
          </cell>
          <cell r="I816" t="str">
            <v>деп</v>
          </cell>
          <cell r="J816">
            <v>38290</v>
          </cell>
        </row>
        <row r="817">
          <cell r="A817">
            <v>58730151</v>
          </cell>
          <cell r="B817" t="str">
            <v>КОМПАНИЯ ВОСТОЧН.МЕРИДИАН</v>
          </cell>
          <cell r="C817" t="str">
            <v>МЫС-ЧУРКИН   (ДВС)</v>
          </cell>
          <cell r="D817">
            <v>28399</v>
          </cell>
          <cell r="E817">
            <v>37741</v>
          </cell>
          <cell r="F817">
            <v>819</v>
          </cell>
          <cell r="G817">
            <v>32426</v>
          </cell>
          <cell r="H817">
            <v>840</v>
          </cell>
          <cell r="I817" t="str">
            <v>деп</v>
          </cell>
          <cell r="J817">
            <v>38290</v>
          </cell>
        </row>
        <row r="818">
          <cell r="A818">
            <v>58730169</v>
          </cell>
          <cell r="B818" t="str">
            <v>КОМПАНИЯ ВОСТОЧН.МЕРИДИАН</v>
          </cell>
          <cell r="C818" t="str">
            <v>МЫС-ЧУРКИН   (ДВС)</v>
          </cell>
          <cell r="D818">
            <v>28369</v>
          </cell>
          <cell r="E818">
            <v>37818</v>
          </cell>
          <cell r="F818">
            <v>163</v>
          </cell>
          <cell r="G818">
            <v>33359</v>
          </cell>
          <cell r="H818">
            <v>840</v>
          </cell>
          <cell r="I818" t="str">
            <v>деп</v>
          </cell>
          <cell r="J818">
            <v>38368</v>
          </cell>
        </row>
        <row r="819">
          <cell r="A819">
            <v>58730177</v>
          </cell>
          <cell r="B819" t="str">
            <v>КОМПАНИЯ ВОСТОЧН.МЕРИДИАН</v>
          </cell>
          <cell r="C819" t="str">
            <v>МЫС-ЧУРКИН   (ДВС)</v>
          </cell>
          <cell r="D819">
            <v>28369</v>
          </cell>
          <cell r="E819">
            <v>37818</v>
          </cell>
          <cell r="F819">
            <v>163</v>
          </cell>
          <cell r="G819">
            <v>33359</v>
          </cell>
          <cell r="H819">
            <v>840</v>
          </cell>
          <cell r="I819" t="str">
            <v>деп</v>
          </cell>
          <cell r="J819">
            <v>38368</v>
          </cell>
        </row>
        <row r="820">
          <cell r="A820">
            <v>58730185</v>
          </cell>
          <cell r="B820" t="str">
            <v>КОМПАНИЯ ВОСТОЧН.МЕРИДИАН</v>
          </cell>
          <cell r="C820" t="str">
            <v>МЫС-ЧУРКИН   (ДВС)</v>
          </cell>
          <cell r="D820">
            <v>28369</v>
          </cell>
          <cell r="E820">
            <v>37818</v>
          </cell>
          <cell r="F820">
            <v>163</v>
          </cell>
          <cell r="G820">
            <v>33359</v>
          </cell>
          <cell r="H820">
            <v>840</v>
          </cell>
          <cell r="I820" t="str">
            <v>деп</v>
          </cell>
          <cell r="J820">
            <v>38368</v>
          </cell>
        </row>
        <row r="821">
          <cell r="A821">
            <v>58730193</v>
          </cell>
          <cell r="B821" t="str">
            <v>КОМПАНИЯ ВОСТОЧН.МЕРИДИАН</v>
          </cell>
          <cell r="C821" t="str">
            <v>МЫС-ЧУРКИН   (ДВС)</v>
          </cell>
          <cell r="D821">
            <v>28369</v>
          </cell>
          <cell r="E821">
            <v>37818</v>
          </cell>
          <cell r="F821">
            <v>163</v>
          </cell>
          <cell r="G821">
            <v>33359</v>
          </cell>
          <cell r="H821">
            <v>840</v>
          </cell>
          <cell r="I821" t="str">
            <v>деп</v>
          </cell>
          <cell r="J821">
            <v>38368</v>
          </cell>
        </row>
        <row r="822">
          <cell r="A822">
            <v>58730201</v>
          </cell>
          <cell r="B822" t="str">
            <v>КОМПАНИЯ ВОСТОЧН.МЕРИДИАН</v>
          </cell>
          <cell r="C822" t="str">
            <v>МЫС-ЧУРКИН   (ДВС)</v>
          </cell>
          <cell r="D822">
            <v>28399</v>
          </cell>
          <cell r="E822">
            <v>37918</v>
          </cell>
          <cell r="F822">
            <v>163</v>
          </cell>
          <cell r="G822">
            <v>32143</v>
          </cell>
          <cell r="H822">
            <v>840</v>
          </cell>
          <cell r="I822" t="str">
            <v>деп</v>
          </cell>
          <cell r="J822">
            <v>38466</v>
          </cell>
        </row>
        <row r="823">
          <cell r="A823">
            <v>58730219</v>
          </cell>
          <cell r="B823" t="str">
            <v>КОМПАНИЯ ВОСТОЧН.МЕРИДИАН</v>
          </cell>
          <cell r="C823" t="str">
            <v>МЫС-ЧУРКИН   (ДВС)</v>
          </cell>
          <cell r="D823">
            <v>28399</v>
          </cell>
          <cell r="E823">
            <v>37918</v>
          </cell>
          <cell r="F823">
            <v>163</v>
          </cell>
          <cell r="G823">
            <v>32143</v>
          </cell>
          <cell r="H823">
            <v>840</v>
          </cell>
          <cell r="I823" t="str">
            <v>деп</v>
          </cell>
          <cell r="J823">
            <v>38466</v>
          </cell>
        </row>
        <row r="824">
          <cell r="A824">
            <v>58730227</v>
          </cell>
          <cell r="B824" t="str">
            <v>КОМПАНИЯ ВОСТОЧН.МЕРИДИАН</v>
          </cell>
          <cell r="C824" t="str">
            <v>МЫС-ЧУРКИН   (ДВС)</v>
          </cell>
          <cell r="D824">
            <v>28399</v>
          </cell>
          <cell r="E824">
            <v>37918</v>
          </cell>
          <cell r="F824">
            <v>163</v>
          </cell>
          <cell r="G824">
            <v>32143</v>
          </cell>
          <cell r="H824">
            <v>840</v>
          </cell>
          <cell r="I824" t="str">
            <v>деп</v>
          </cell>
          <cell r="J824">
            <v>38466</v>
          </cell>
        </row>
        <row r="825">
          <cell r="A825">
            <v>58730235</v>
          </cell>
          <cell r="B825" t="str">
            <v>КОМПАНИЯ ВОСТОЧН.МЕРИДИАН</v>
          </cell>
          <cell r="C825" t="str">
            <v>МЫС-ЧУРКИН   (ДВС)</v>
          </cell>
          <cell r="D825">
            <v>28399</v>
          </cell>
          <cell r="E825">
            <v>37918</v>
          </cell>
          <cell r="F825">
            <v>163</v>
          </cell>
          <cell r="G825">
            <v>32143</v>
          </cell>
          <cell r="H825">
            <v>840</v>
          </cell>
          <cell r="I825" t="str">
            <v>деп</v>
          </cell>
          <cell r="J825">
            <v>38466</v>
          </cell>
        </row>
        <row r="826">
          <cell r="A826">
            <v>58730284</v>
          </cell>
          <cell r="B826" t="str">
            <v>КОМПАНИЯ ВОСТОЧН.МЕРИДИАН</v>
          </cell>
          <cell r="C826" t="str">
            <v>МЫС-ЧУРКИН   (ДВС)</v>
          </cell>
          <cell r="D826">
            <v>28430</v>
          </cell>
          <cell r="E826">
            <v>37746</v>
          </cell>
          <cell r="F826">
            <v>163</v>
          </cell>
          <cell r="G826">
            <v>33584</v>
          </cell>
          <cell r="H826">
            <v>840</v>
          </cell>
          <cell r="I826" t="str">
            <v>деп</v>
          </cell>
          <cell r="J826">
            <v>38296</v>
          </cell>
        </row>
        <row r="827">
          <cell r="A827">
            <v>58730292</v>
          </cell>
          <cell r="B827" t="str">
            <v>КОМПАНИЯ ВОСТОЧН.МЕРИДИАН</v>
          </cell>
          <cell r="C827" t="str">
            <v>МЫС-ЧУРКИН   (ДВС)</v>
          </cell>
          <cell r="D827">
            <v>28430</v>
          </cell>
          <cell r="E827">
            <v>37746</v>
          </cell>
          <cell r="F827">
            <v>163</v>
          </cell>
          <cell r="G827">
            <v>33584</v>
          </cell>
          <cell r="H827">
            <v>840</v>
          </cell>
          <cell r="I827" t="str">
            <v>деп</v>
          </cell>
          <cell r="J827">
            <v>38296</v>
          </cell>
        </row>
        <row r="828">
          <cell r="A828">
            <v>58730300</v>
          </cell>
          <cell r="B828" t="str">
            <v>КОМПАНИЯ ВОСТОЧН.МЕРИДИАН</v>
          </cell>
          <cell r="C828" t="str">
            <v>МЫС-ЧУРКИН   (ДВС)</v>
          </cell>
          <cell r="D828">
            <v>28430</v>
          </cell>
          <cell r="E828">
            <v>37746</v>
          </cell>
          <cell r="F828">
            <v>163</v>
          </cell>
          <cell r="G828">
            <v>33584</v>
          </cell>
          <cell r="H828">
            <v>840</v>
          </cell>
          <cell r="I828" t="str">
            <v>деп</v>
          </cell>
          <cell r="J828">
            <v>38296</v>
          </cell>
        </row>
        <row r="829">
          <cell r="A829">
            <v>58730318</v>
          </cell>
          <cell r="B829" t="str">
            <v>КОМПАНИЯ ВОСТОЧН.МЕРИДИАН</v>
          </cell>
          <cell r="C829" t="str">
            <v>МЫС-ЧУРКИН   (ДВС)</v>
          </cell>
          <cell r="D829">
            <v>28430</v>
          </cell>
          <cell r="E829">
            <v>37746</v>
          </cell>
          <cell r="F829">
            <v>163</v>
          </cell>
          <cell r="G829">
            <v>33584</v>
          </cell>
          <cell r="H829">
            <v>840</v>
          </cell>
          <cell r="I829" t="str">
            <v>деп</v>
          </cell>
          <cell r="J829">
            <v>38296</v>
          </cell>
        </row>
        <row r="830">
          <cell r="A830">
            <v>58730326</v>
          </cell>
          <cell r="B830" t="str">
            <v>КОМПАНИЯ ВОСТОЧН.МЕРИДИАН</v>
          </cell>
          <cell r="C830" t="str">
            <v>МЫС-ЧУРКИН   (ДВС)</v>
          </cell>
          <cell r="D830">
            <v>28460</v>
          </cell>
          <cell r="E830">
            <v>37882</v>
          </cell>
          <cell r="F830">
            <v>163</v>
          </cell>
          <cell r="G830">
            <v>37315</v>
          </cell>
          <cell r="H830">
            <v>840</v>
          </cell>
          <cell r="I830" t="str">
            <v>деп</v>
          </cell>
          <cell r="J830">
            <v>38429</v>
          </cell>
        </row>
        <row r="831">
          <cell r="A831">
            <v>58730334</v>
          </cell>
          <cell r="B831" t="str">
            <v>КОМПАНИЯ ВОСТОЧН.МЕРИДИАН</v>
          </cell>
          <cell r="C831" t="str">
            <v>МЫС-ЧУРКИН   (ДВС)</v>
          </cell>
          <cell r="D831">
            <v>28460</v>
          </cell>
          <cell r="E831">
            <v>37882</v>
          </cell>
          <cell r="F831">
            <v>163</v>
          </cell>
          <cell r="G831">
            <v>37315</v>
          </cell>
          <cell r="H831">
            <v>840</v>
          </cell>
          <cell r="I831" t="str">
            <v>деп</v>
          </cell>
          <cell r="J831">
            <v>38429</v>
          </cell>
        </row>
        <row r="832">
          <cell r="A832">
            <v>58730342</v>
          </cell>
          <cell r="B832" t="str">
            <v>КОМПАНИЯ ВОСТОЧН.МЕРИДИАН</v>
          </cell>
          <cell r="C832" t="str">
            <v>МЫС-ЧУРКИН   (ДВС)</v>
          </cell>
          <cell r="D832">
            <v>28460</v>
          </cell>
          <cell r="E832">
            <v>37882</v>
          </cell>
          <cell r="F832">
            <v>163</v>
          </cell>
          <cell r="G832">
            <v>37315</v>
          </cell>
          <cell r="H832">
            <v>840</v>
          </cell>
          <cell r="I832" t="str">
            <v>деп</v>
          </cell>
          <cell r="J832">
            <v>38429</v>
          </cell>
        </row>
        <row r="833">
          <cell r="A833">
            <v>58730359</v>
          </cell>
          <cell r="B833" t="str">
            <v>КОМПАНИЯ ВОСТОЧН.МЕРИДИАН</v>
          </cell>
          <cell r="C833" t="str">
            <v>МЫС-ЧУРКИН   (ДВС)</v>
          </cell>
          <cell r="D833">
            <v>28460</v>
          </cell>
          <cell r="E833">
            <v>37882</v>
          </cell>
          <cell r="F833">
            <v>163</v>
          </cell>
          <cell r="G833">
            <v>37315</v>
          </cell>
          <cell r="H833">
            <v>840</v>
          </cell>
          <cell r="I833" t="str">
            <v>деп</v>
          </cell>
          <cell r="J833">
            <v>38429</v>
          </cell>
        </row>
        <row r="834">
          <cell r="A834">
            <v>58741158</v>
          </cell>
          <cell r="B834" t="str">
            <v>КОМПАНИЯ ВОСТОЧН.МЕРИДИАН</v>
          </cell>
          <cell r="C834" t="str">
            <v>МЫС-ЧУРКИН   (ДВС)</v>
          </cell>
          <cell r="D834">
            <v>32078</v>
          </cell>
          <cell r="E834">
            <v>34090</v>
          </cell>
          <cell r="F834">
            <v>0</v>
          </cell>
          <cell r="G834">
            <v>37772</v>
          </cell>
          <cell r="H834">
            <v>557</v>
          </cell>
          <cell r="I834" t="str">
            <v>деп</v>
          </cell>
          <cell r="J834">
            <v>38321</v>
          </cell>
        </row>
        <row r="835">
          <cell r="A835">
            <v>58741166</v>
          </cell>
          <cell r="B835" t="str">
            <v>КОМПАНИЯ ВОСТОЧН.МЕРИДИАН</v>
          </cell>
          <cell r="C835" t="str">
            <v>МЫС-ЧУРКИН   (ДВС)</v>
          </cell>
          <cell r="D835">
            <v>32078</v>
          </cell>
          <cell r="E835">
            <v>34090</v>
          </cell>
          <cell r="F835">
            <v>0</v>
          </cell>
          <cell r="G835">
            <v>37772</v>
          </cell>
          <cell r="H835">
            <v>557</v>
          </cell>
          <cell r="I835" t="str">
            <v>деп</v>
          </cell>
          <cell r="J835">
            <v>38321</v>
          </cell>
        </row>
        <row r="836">
          <cell r="A836">
            <v>58741174</v>
          </cell>
          <cell r="B836" t="str">
            <v>КОМПАНИЯ ВОСТОЧН.МЕРИДИАН</v>
          </cell>
          <cell r="C836" t="str">
            <v>МЫС-ЧУРКИН   (ДВС)</v>
          </cell>
          <cell r="D836">
            <v>32078</v>
          </cell>
          <cell r="E836">
            <v>34090</v>
          </cell>
          <cell r="F836">
            <v>0</v>
          </cell>
          <cell r="G836">
            <v>37772</v>
          </cell>
          <cell r="H836">
            <v>557</v>
          </cell>
          <cell r="I836" t="str">
            <v>деп</v>
          </cell>
          <cell r="J836">
            <v>38321</v>
          </cell>
        </row>
        <row r="837">
          <cell r="A837">
            <v>58741182</v>
          </cell>
          <cell r="B837" t="str">
            <v>КОМПАНИЯ ВОСТОЧН.МЕРИДИАН</v>
          </cell>
          <cell r="C837" t="str">
            <v>МЫС-ЧУРКИН   (ДВС)</v>
          </cell>
          <cell r="D837">
            <v>32078</v>
          </cell>
          <cell r="E837">
            <v>34090</v>
          </cell>
          <cell r="F837">
            <v>0</v>
          </cell>
          <cell r="G837">
            <v>37772</v>
          </cell>
          <cell r="H837">
            <v>557</v>
          </cell>
          <cell r="I837" t="str">
            <v>деп</v>
          </cell>
          <cell r="J837">
            <v>38321</v>
          </cell>
        </row>
        <row r="838">
          <cell r="A838">
            <v>58741836</v>
          </cell>
          <cell r="B838" t="str">
            <v>КОМПАНИЯ ВОСТОЧН.МЕРИДИАН</v>
          </cell>
          <cell r="C838" t="str">
            <v>МЫС-ЧУРКИН   (ДВС)</v>
          </cell>
          <cell r="D838">
            <v>33931</v>
          </cell>
          <cell r="E838">
            <v>37921</v>
          </cell>
          <cell r="F838">
            <v>163</v>
          </cell>
          <cell r="H838">
            <v>0</v>
          </cell>
          <cell r="I838" t="str">
            <v>деп</v>
          </cell>
          <cell r="J838">
            <v>38469</v>
          </cell>
        </row>
        <row r="839">
          <cell r="A839">
            <v>58741844</v>
          </cell>
          <cell r="B839" t="str">
            <v>КОМПАНИЯ ВОСТОЧН.МЕРИДИАН</v>
          </cell>
          <cell r="C839" t="str">
            <v>МЫС-ЧУРКИН   (ДВС)</v>
          </cell>
          <cell r="D839">
            <v>33938</v>
          </cell>
          <cell r="E839">
            <v>37921</v>
          </cell>
          <cell r="F839">
            <v>163</v>
          </cell>
          <cell r="H839">
            <v>0</v>
          </cell>
          <cell r="I839" t="str">
            <v>деп</v>
          </cell>
          <cell r="J839">
            <v>38469</v>
          </cell>
        </row>
        <row r="840">
          <cell r="A840">
            <v>58741851</v>
          </cell>
          <cell r="B840" t="str">
            <v>КОМПАНИЯ ВОСТОЧН.МЕРИДИАН</v>
          </cell>
          <cell r="C840" t="str">
            <v>МЫС-ЧУРКИН   (ДВС)</v>
          </cell>
          <cell r="D840">
            <v>33984</v>
          </cell>
          <cell r="E840">
            <v>37921</v>
          </cell>
          <cell r="F840">
            <v>163</v>
          </cell>
          <cell r="H840">
            <v>0</v>
          </cell>
          <cell r="I840" t="str">
            <v>деп</v>
          </cell>
          <cell r="J840">
            <v>38469</v>
          </cell>
        </row>
        <row r="841">
          <cell r="A841">
            <v>58741869</v>
          </cell>
          <cell r="B841" t="str">
            <v>КОМПАНИЯ ВОСТОЧН.МЕРИДИАН</v>
          </cell>
          <cell r="C841" t="str">
            <v>МЫС-ЧУРКИН   (ДВС)</v>
          </cell>
          <cell r="D841">
            <v>33998</v>
          </cell>
          <cell r="E841">
            <v>37921</v>
          </cell>
          <cell r="F841">
            <v>163</v>
          </cell>
          <cell r="H841">
            <v>0</v>
          </cell>
          <cell r="I841" t="str">
            <v>деп</v>
          </cell>
          <cell r="J841">
            <v>38469</v>
          </cell>
        </row>
        <row r="842">
          <cell r="B842" t="str">
            <v>КОМПАНИЯ ВОСТОЧН.МЕРИДИАН Количество</v>
          </cell>
          <cell r="D842">
            <v>72</v>
          </cell>
        </row>
        <row r="843">
          <cell r="A843">
            <v>58720046</v>
          </cell>
          <cell r="B843" t="str">
            <v>КОМ-ФРИГО МУП</v>
          </cell>
          <cell r="C843" t="str">
            <v>ОРДЖОНИКИДЗЕ (МСK)</v>
          </cell>
          <cell r="D843">
            <v>33664</v>
          </cell>
          <cell r="F843">
            <v>0</v>
          </cell>
          <cell r="H843">
            <v>0</v>
          </cell>
        </row>
        <row r="844">
          <cell r="A844">
            <v>58720053</v>
          </cell>
          <cell r="B844" t="str">
            <v>КОМ-ФРИГО МУП</v>
          </cell>
          <cell r="C844" t="str">
            <v>ОРДЖОНИКИДЗЕ (МСK)</v>
          </cell>
          <cell r="D844">
            <v>33664</v>
          </cell>
          <cell r="F844">
            <v>0</v>
          </cell>
          <cell r="H844">
            <v>0</v>
          </cell>
        </row>
        <row r="845">
          <cell r="A845">
            <v>58720079</v>
          </cell>
          <cell r="B845" t="str">
            <v>КОМ-ФРИГО МУП</v>
          </cell>
          <cell r="C845" t="str">
            <v>ОРДЖОНИКИДЗЕ (МСK)</v>
          </cell>
          <cell r="D845">
            <v>33664</v>
          </cell>
          <cell r="F845">
            <v>0</v>
          </cell>
          <cell r="H845">
            <v>0</v>
          </cell>
        </row>
        <row r="846">
          <cell r="A846">
            <v>58720087</v>
          </cell>
          <cell r="B846" t="str">
            <v>КОМ-ФРИГО МУП</v>
          </cell>
          <cell r="C846" t="str">
            <v>ОРДЖОНИКИДЗЕ (МСK)</v>
          </cell>
          <cell r="D846">
            <v>33664</v>
          </cell>
          <cell r="F846">
            <v>0</v>
          </cell>
          <cell r="H846">
            <v>0</v>
          </cell>
        </row>
        <row r="847">
          <cell r="A847">
            <v>58720103</v>
          </cell>
          <cell r="B847" t="str">
            <v>КОМ-ФРИГО МУП</v>
          </cell>
          <cell r="C847" t="str">
            <v>ОРДЖОНИКИДЗЕ (МСK)</v>
          </cell>
          <cell r="D847">
            <v>33664</v>
          </cell>
          <cell r="F847">
            <v>0</v>
          </cell>
          <cell r="H847">
            <v>0</v>
          </cell>
        </row>
        <row r="848">
          <cell r="A848">
            <v>58720111</v>
          </cell>
          <cell r="B848" t="str">
            <v>КОМ-ФРИГО МУП</v>
          </cell>
          <cell r="C848" t="str">
            <v>ОРДЖОНИКИДЗЕ (МСK)</v>
          </cell>
          <cell r="D848">
            <v>33664</v>
          </cell>
          <cell r="F848">
            <v>0</v>
          </cell>
          <cell r="H848">
            <v>0</v>
          </cell>
        </row>
        <row r="849">
          <cell r="A849">
            <v>58720129</v>
          </cell>
          <cell r="B849" t="str">
            <v>КОМ-ФРИГО МУП</v>
          </cell>
          <cell r="C849" t="str">
            <v>ОРДЖОНИКИДЗЕ (МСK)</v>
          </cell>
          <cell r="D849">
            <v>33664</v>
          </cell>
          <cell r="F849">
            <v>0</v>
          </cell>
          <cell r="H849">
            <v>0</v>
          </cell>
        </row>
        <row r="850">
          <cell r="A850">
            <v>58720137</v>
          </cell>
          <cell r="B850" t="str">
            <v>КОМ-ФРИГО МУП</v>
          </cell>
          <cell r="C850" t="str">
            <v>ОРДЖОНИКИДЗЕ (МСK)</v>
          </cell>
          <cell r="D850">
            <v>33664</v>
          </cell>
          <cell r="F850">
            <v>0</v>
          </cell>
          <cell r="H850">
            <v>0</v>
          </cell>
        </row>
        <row r="851">
          <cell r="A851">
            <v>58720145</v>
          </cell>
          <cell r="B851" t="str">
            <v>КОМ-ФРИГО МУП</v>
          </cell>
          <cell r="C851" t="str">
            <v>ОРДЖОНИКИДЗЕ (МСK)</v>
          </cell>
          <cell r="D851">
            <v>33664</v>
          </cell>
          <cell r="F851">
            <v>0</v>
          </cell>
          <cell r="H851">
            <v>0</v>
          </cell>
        </row>
        <row r="852">
          <cell r="B852" t="str">
            <v>КОМ-ФРИГО МУП Количество</v>
          </cell>
          <cell r="D852">
            <v>9</v>
          </cell>
        </row>
        <row r="853">
          <cell r="A853">
            <v>53702205</v>
          </cell>
          <cell r="B853" t="str">
            <v>КОНДИНСКИЙ КЛПК</v>
          </cell>
          <cell r="C853" t="str">
            <v>УСТЬЕ-АХА    (СВР)</v>
          </cell>
          <cell r="D853">
            <v>33604</v>
          </cell>
        </row>
        <row r="854">
          <cell r="A854">
            <v>58720004</v>
          </cell>
          <cell r="B854" t="str">
            <v>КОНДИНСКИЙ КЛПК</v>
          </cell>
          <cell r="C854" t="str">
            <v>УСТЬЕ-АХА    (СВР)</v>
          </cell>
          <cell r="D854">
            <v>33604</v>
          </cell>
        </row>
        <row r="855">
          <cell r="A855">
            <v>58720012</v>
          </cell>
          <cell r="B855" t="str">
            <v>КОНДИНСКИЙ КЛПК</v>
          </cell>
          <cell r="C855" t="str">
            <v>УСТЬЕ-АХА    (СВР)</v>
          </cell>
          <cell r="D855">
            <v>33604</v>
          </cell>
        </row>
        <row r="856">
          <cell r="A856">
            <v>58720020</v>
          </cell>
          <cell r="B856" t="str">
            <v>КОНДИНСКИЙ КЛПК</v>
          </cell>
          <cell r="C856" t="str">
            <v>УСТЬЕ-АХА    (СВР)</v>
          </cell>
          <cell r="D856">
            <v>33604</v>
          </cell>
        </row>
        <row r="857">
          <cell r="A857">
            <v>58720038</v>
          </cell>
          <cell r="B857" t="str">
            <v>КОНДИНСКИЙ КЛПК</v>
          </cell>
          <cell r="C857" t="str">
            <v>УСТЬЕ-АХА    (СВР)</v>
          </cell>
          <cell r="D857">
            <v>33604</v>
          </cell>
        </row>
        <row r="858">
          <cell r="B858" t="str">
            <v>КОНДИНСКИЙ КЛПК Количество</v>
          </cell>
          <cell r="D858">
            <v>5</v>
          </cell>
        </row>
        <row r="859">
          <cell r="A859">
            <v>53700407</v>
          </cell>
          <cell r="B859" t="str">
            <v>КОТЛАССКИЙ ЦБК</v>
          </cell>
          <cell r="C859" t="str">
            <v>НИЗОВКА      (СЕВ)</v>
          </cell>
          <cell r="D859">
            <v>33939</v>
          </cell>
          <cell r="E859">
            <v>37547</v>
          </cell>
          <cell r="F859">
            <v>557</v>
          </cell>
          <cell r="I859" t="str">
            <v>деп</v>
          </cell>
          <cell r="J859">
            <v>38643</v>
          </cell>
        </row>
        <row r="860">
          <cell r="A860">
            <v>58335852</v>
          </cell>
          <cell r="B860" t="str">
            <v>КОТЛАССКИЙ ЦБК</v>
          </cell>
          <cell r="C860" t="str">
            <v>НИЗОВКА      (СЕВ)</v>
          </cell>
          <cell r="D860">
            <v>33939</v>
          </cell>
          <cell r="E860">
            <v>37547</v>
          </cell>
          <cell r="F860">
            <v>557</v>
          </cell>
          <cell r="I860" t="str">
            <v>деп</v>
          </cell>
          <cell r="J860">
            <v>38278</v>
          </cell>
        </row>
        <row r="861">
          <cell r="A861">
            <v>58335860</v>
          </cell>
          <cell r="B861" t="str">
            <v>КОТЛАССКИЙ ЦБК</v>
          </cell>
          <cell r="C861" t="str">
            <v>НИЗОВКА      (СЕВ)</v>
          </cell>
          <cell r="D861">
            <v>33939</v>
          </cell>
          <cell r="E861">
            <v>37547</v>
          </cell>
          <cell r="F861">
            <v>557</v>
          </cell>
          <cell r="I861" t="str">
            <v>деп</v>
          </cell>
          <cell r="J861">
            <v>38278</v>
          </cell>
        </row>
        <row r="862">
          <cell r="A862">
            <v>58335878</v>
          </cell>
          <cell r="B862" t="str">
            <v>КОТЛАССКИЙ ЦБК</v>
          </cell>
          <cell r="C862" t="str">
            <v>НИЗОВКА      (СЕВ)</v>
          </cell>
          <cell r="D862">
            <v>33939</v>
          </cell>
          <cell r="E862">
            <v>37547</v>
          </cell>
          <cell r="F862">
            <v>557</v>
          </cell>
          <cell r="I862" t="str">
            <v>деп</v>
          </cell>
          <cell r="J862">
            <v>38278</v>
          </cell>
        </row>
        <row r="863">
          <cell r="A863">
            <v>58335886</v>
          </cell>
          <cell r="B863" t="str">
            <v>КОТЛАССКИЙ ЦБК</v>
          </cell>
          <cell r="C863" t="str">
            <v>НИЗОВКА      (СЕВ)</v>
          </cell>
          <cell r="D863">
            <v>33939</v>
          </cell>
          <cell r="E863">
            <v>37547</v>
          </cell>
          <cell r="F863">
            <v>557</v>
          </cell>
          <cell r="I863" t="str">
            <v>деп</v>
          </cell>
          <cell r="J863">
            <v>38278</v>
          </cell>
        </row>
        <row r="864">
          <cell r="B864" t="str">
            <v>КОТЛАССКИЙ ЦБК Количество</v>
          </cell>
          <cell r="D864">
            <v>5</v>
          </cell>
        </row>
        <row r="865">
          <cell r="A865">
            <v>53402038</v>
          </cell>
          <cell r="B865" t="str">
            <v>КРАСМАШЗАВОД ФГУП</v>
          </cell>
          <cell r="C865" t="str">
            <v>ЗЛОБИНО      (КРС)</v>
          </cell>
          <cell r="D865">
            <v>28491</v>
          </cell>
          <cell r="F865">
            <v>0</v>
          </cell>
          <cell r="H865">
            <v>0</v>
          </cell>
          <cell r="I865" t="str">
            <v>кап</v>
          </cell>
          <cell r="J865">
            <v>32874</v>
          </cell>
        </row>
        <row r="866">
          <cell r="A866">
            <v>53402046</v>
          </cell>
          <cell r="B866" t="str">
            <v>КРАСМАШЗАВОД ФГУП</v>
          </cell>
          <cell r="C866" t="str">
            <v>ЗЛОБИНО      (КРС)</v>
          </cell>
          <cell r="D866">
            <v>28491</v>
          </cell>
          <cell r="F866">
            <v>0</v>
          </cell>
          <cell r="H866">
            <v>0</v>
          </cell>
          <cell r="I866" t="str">
            <v>кап</v>
          </cell>
          <cell r="J866">
            <v>33239</v>
          </cell>
        </row>
        <row r="867">
          <cell r="A867">
            <v>53402053</v>
          </cell>
          <cell r="B867" t="str">
            <v>КРАСМАШЗАВОД ФГУП</v>
          </cell>
          <cell r="C867" t="str">
            <v>ЗЛОБИНО      (КРС)</v>
          </cell>
          <cell r="D867">
            <v>29221</v>
          </cell>
          <cell r="E867">
            <v>38009</v>
          </cell>
          <cell r="F867">
            <v>633</v>
          </cell>
          <cell r="H867">
            <v>0</v>
          </cell>
          <cell r="I867" t="str">
            <v>деп</v>
          </cell>
          <cell r="J867">
            <v>38740</v>
          </cell>
        </row>
        <row r="868">
          <cell r="A868">
            <v>53402061</v>
          </cell>
          <cell r="B868" t="str">
            <v>КРАСМАШЗАВОД ФГУП</v>
          </cell>
          <cell r="C868" t="str">
            <v>ЗЛОБИНО      (КРС)</v>
          </cell>
          <cell r="D868">
            <v>29587</v>
          </cell>
          <cell r="F868">
            <v>0</v>
          </cell>
          <cell r="H868">
            <v>0</v>
          </cell>
          <cell r="I868" t="str">
            <v>кап</v>
          </cell>
          <cell r="J868">
            <v>33239</v>
          </cell>
        </row>
        <row r="869">
          <cell r="A869">
            <v>53402079</v>
          </cell>
          <cell r="B869" t="str">
            <v>КРАСМАШЗАВОД ФГУП</v>
          </cell>
          <cell r="C869" t="str">
            <v>ЗЛОБИНО      (КРС)</v>
          </cell>
          <cell r="D869">
            <v>29587</v>
          </cell>
          <cell r="F869">
            <v>0</v>
          </cell>
          <cell r="H869">
            <v>0</v>
          </cell>
          <cell r="I869" t="str">
            <v>кап</v>
          </cell>
          <cell r="J869">
            <v>33604</v>
          </cell>
        </row>
        <row r="870">
          <cell r="A870">
            <v>53402111</v>
          </cell>
          <cell r="B870" t="str">
            <v>КРАСМАШЗАВОД ФГУП</v>
          </cell>
          <cell r="C870" t="str">
            <v>ЗЛОБИНО      (КРС)</v>
          </cell>
          <cell r="D870">
            <v>32478</v>
          </cell>
          <cell r="F870">
            <v>0</v>
          </cell>
          <cell r="H870">
            <v>0</v>
          </cell>
        </row>
        <row r="871">
          <cell r="A871">
            <v>53402129</v>
          </cell>
          <cell r="B871" t="str">
            <v>КРАСМАШЗАВОД ФГУП</v>
          </cell>
          <cell r="C871" t="str">
            <v>ЗЛОБИНО      (КРС)</v>
          </cell>
          <cell r="D871">
            <v>32752</v>
          </cell>
          <cell r="F871">
            <v>0</v>
          </cell>
          <cell r="H871">
            <v>0</v>
          </cell>
        </row>
        <row r="872">
          <cell r="A872">
            <v>53402137</v>
          </cell>
          <cell r="B872" t="str">
            <v>КРАСМАШЗАВОД ФГУП</v>
          </cell>
          <cell r="C872" t="str">
            <v>ЗЛОБИНО      (КРС)</v>
          </cell>
          <cell r="D872">
            <v>32478</v>
          </cell>
          <cell r="F872">
            <v>0</v>
          </cell>
          <cell r="H872">
            <v>0</v>
          </cell>
        </row>
        <row r="873">
          <cell r="A873">
            <v>53402145</v>
          </cell>
          <cell r="B873" t="str">
            <v>КРАСМАШЗАВОД ФГУП</v>
          </cell>
          <cell r="C873" t="str">
            <v>ЗЛОБИНО      (КРС)</v>
          </cell>
          <cell r="D873">
            <v>32478</v>
          </cell>
          <cell r="F873">
            <v>0</v>
          </cell>
          <cell r="H873">
            <v>0</v>
          </cell>
        </row>
        <row r="874">
          <cell r="B874" t="str">
            <v>КРАСМАШЗАВОД ФГУП Количество</v>
          </cell>
          <cell r="D874">
            <v>9</v>
          </cell>
        </row>
        <row r="875">
          <cell r="A875">
            <v>53402012</v>
          </cell>
          <cell r="B875" t="str">
            <v>КУБАНЬДОРБЛАГОУСТРОЙСТВО</v>
          </cell>
          <cell r="C875" t="str">
            <v>КРАСНОДАР 2  (СКВ)</v>
          </cell>
          <cell r="D875">
            <v>30773</v>
          </cell>
          <cell r="E875">
            <v>37953</v>
          </cell>
          <cell r="F875">
            <v>555</v>
          </cell>
          <cell r="G875">
            <v>34547</v>
          </cell>
          <cell r="H875">
            <v>0</v>
          </cell>
          <cell r="I875" t="str">
            <v>деп</v>
          </cell>
          <cell r="J875">
            <v>38684</v>
          </cell>
        </row>
        <row r="876">
          <cell r="A876">
            <v>53700035</v>
          </cell>
          <cell r="B876" t="str">
            <v>КУБАНЬДОРБЛАГОУСТРОЙСТВО</v>
          </cell>
          <cell r="C876" t="str">
            <v>КРАСНОДАР 2  (СКВ)</v>
          </cell>
          <cell r="D876">
            <v>23651</v>
          </cell>
          <cell r="E876">
            <v>37028</v>
          </cell>
          <cell r="F876">
            <v>565</v>
          </cell>
          <cell r="G876">
            <v>36320</v>
          </cell>
          <cell r="H876">
            <v>565</v>
          </cell>
          <cell r="I876" t="str">
            <v>деп</v>
          </cell>
          <cell r="J876">
            <v>38124</v>
          </cell>
        </row>
        <row r="877">
          <cell r="A877">
            <v>53700043</v>
          </cell>
          <cell r="B877" t="str">
            <v>КУБАНЬДОРБЛАГОУСТРОЙСТВО</v>
          </cell>
          <cell r="C877" t="str">
            <v>КРАСНОДАР 2  (СКВ)</v>
          </cell>
          <cell r="D877">
            <v>23682</v>
          </cell>
          <cell r="E877">
            <v>37010</v>
          </cell>
          <cell r="F877">
            <v>565</v>
          </cell>
          <cell r="G877">
            <v>36342</v>
          </cell>
          <cell r="H877">
            <v>0</v>
          </cell>
          <cell r="I877" t="str">
            <v>деп</v>
          </cell>
          <cell r="J877">
            <v>38106</v>
          </cell>
        </row>
        <row r="878">
          <cell r="B878" t="str">
            <v>КУБАНЬДОРБЛАГОУСТРОЙСТВО Количество</v>
          </cell>
          <cell r="D878">
            <v>3</v>
          </cell>
        </row>
        <row r="879">
          <cell r="A879">
            <v>58728197</v>
          </cell>
          <cell r="B879" t="str">
            <v>КУРЬЕР</v>
          </cell>
          <cell r="C879" t="str">
            <v>ТОМСК2       (ЗСБ)</v>
          </cell>
          <cell r="D879">
            <v>33055</v>
          </cell>
          <cell r="F879">
            <v>0</v>
          </cell>
          <cell r="H879">
            <v>0</v>
          </cell>
          <cell r="I879" t="str">
            <v>деп</v>
          </cell>
          <cell r="J879">
            <v>33970</v>
          </cell>
        </row>
        <row r="880">
          <cell r="B880" t="str">
            <v>КУРЬЕР Количество</v>
          </cell>
          <cell r="D880">
            <v>1</v>
          </cell>
        </row>
        <row r="881">
          <cell r="A881">
            <v>58336892</v>
          </cell>
          <cell r="B881" t="str">
            <v>ЛАМИНА</v>
          </cell>
          <cell r="C881" t="str">
            <v>УССУРИЙСК    (ДВС)</v>
          </cell>
          <cell r="D881">
            <v>29646</v>
          </cell>
          <cell r="E881">
            <v>37925</v>
          </cell>
          <cell r="F881">
            <v>163</v>
          </cell>
          <cell r="G881">
            <v>33970</v>
          </cell>
          <cell r="H881">
            <v>0</v>
          </cell>
          <cell r="I881" t="str">
            <v>деп</v>
          </cell>
          <cell r="J881">
            <v>38472</v>
          </cell>
        </row>
        <row r="882">
          <cell r="A882">
            <v>58337551</v>
          </cell>
          <cell r="B882" t="str">
            <v>ЛАМИНА</v>
          </cell>
          <cell r="C882" t="str">
            <v>УССУРИЙСК    (ДВС)</v>
          </cell>
          <cell r="D882">
            <v>30042</v>
          </cell>
          <cell r="E882">
            <v>37833</v>
          </cell>
          <cell r="F882">
            <v>163</v>
          </cell>
          <cell r="G882">
            <v>33970</v>
          </cell>
          <cell r="H882">
            <v>0</v>
          </cell>
          <cell r="I882" t="str">
            <v>деп</v>
          </cell>
          <cell r="J882">
            <v>38383</v>
          </cell>
        </row>
        <row r="883">
          <cell r="A883">
            <v>58337569</v>
          </cell>
          <cell r="B883" t="str">
            <v>ЛАМИНА</v>
          </cell>
          <cell r="C883" t="str">
            <v>УССУРИЙСК    (ДВС)</v>
          </cell>
          <cell r="D883">
            <v>29007</v>
          </cell>
          <cell r="E883">
            <v>37925</v>
          </cell>
          <cell r="F883">
            <v>163</v>
          </cell>
          <cell r="G883">
            <v>32874</v>
          </cell>
          <cell r="H883">
            <v>0</v>
          </cell>
          <cell r="I883" t="str">
            <v>деп</v>
          </cell>
          <cell r="J883">
            <v>38472</v>
          </cell>
        </row>
        <row r="884">
          <cell r="A884">
            <v>58337791</v>
          </cell>
          <cell r="B884" t="str">
            <v>ЛАМИНА</v>
          </cell>
          <cell r="C884" t="str">
            <v>УССУРИЙСК    (ДВС)</v>
          </cell>
          <cell r="D884">
            <v>29007</v>
          </cell>
          <cell r="E884">
            <v>38016</v>
          </cell>
          <cell r="F884">
            <v>163</v>
          </cell>
          <cell r="G884">
            <v>32509</v>
          </cell>
          <cell r="H884">
            <v>1097</v>
          </cell>
          <cell r="I884" t="str">
            <v>деп</v>
          </cell>
          <cell r="J884">
            <v>38563</v>
          </cell>
        </row>
        <row r="885">
          <cell r="A885">
            <v>58337890</v>
          </cell>
          <cell r="B885" t="str">
            <v>ЛАМИНА</v>
          </cell>
          <cell r="C885" t="str">
            <v>УССУРИЙСК    (ДВС)</v>
          </cell>
          <cell r="D885">
            <v>29007</v>
          </cell>
          <cell r="E885">
            <v>38012</v>
          </cell>
          <cell r="F885">
            <v>163</v>
          </cell>
          <cell r="G885">
            <v>32509</v>
          </cell>
          <cell r="H885">
            <v>0</v>
          </cell>
          <cell r="I885" t="str">
            <v>деп</v>
          </cell>
          <cell r="J885">
            <v>38559</v>
          </cell>
        </row>
        <row r="886">
          <cell r="B886" t="str">
            <v>ЛАМИНА Количество</v>
          </cell>
          <cell r="D886">
            <v>5</v>
          </cell>
        </row>
        <row r="887">
          <cell r="A887">
            <v>53702486</v>
          </cell>
          <cell r="B887" t="str">
            <v>ЛИТЕР</v>
          </cell>
          <cell r="C887" t="str">
            <v>БАЛАШИХА     (МСK)</v>
          </cell>
          <cell r="D887">
            <v>34090</v>
          </cell>
          <cell r="E887">
            <v>37463</v>
          </cell>
          <cell r="F887">
            <v>886</v>
          </cell>
          <cell r="H887">
            <v>0</v>
          </cell>
          <cell r="I887" t="str">
            <v>деп</v>
          </cell>
          <cell r="J887">
            <v>38559</v>
          </cell>
        </row>
        <row r="888">
          <cell r="A888">
            <v>53706222</v>
          </cell>
          <cell r="B888" t="str">
            <v>ЛИТЕР</v>
          </cell>
          <cell r="C888" t="str">
            <v>БАДАЕВСКАЯ   (ОКТ)</v>
          </cell>
          <cell r="D888">
            <v>33442</v>
          </cell>
          <cell r="E888">
            <v>37481</v>
          </cell>
          <cell r="F888">
            <v>886</v>
          </cell>
          <cell r="H888">
            <v>0</v>
          </cell>
          <cell r="I888" t="str">
            <v>деп</v>
          </cell>
          <cell r="J888">
            <v>38030</v>
          </cell>
        </row>
        <row r="889">
          <cell r="A889">
            <v>53706289</v>
          </cell>
          <cell r="B889" t="str">
            <v>ЛИТЕР</v>
          </cell>
          <cell r="C889" t="str">
            <v>БАДАЕВСКАЯ   (ОКТ)</v>
          </cell>
          <cell r="D889">
            <v>33390</v>
          </cell>
          <cell r="E889">
            <v>37560</v>
          </cell>
          <cell r="F889">
            <v>886</v>
          </cell>
          <cell r="H889">
            <v>0</v>
          </cell>
          <cell r="I889" t="str">
            <v>деп</v>
          </cell>
          <cell r="J889">
            <v>38107</v>
          </cell>
        </row>
        <row r="890">
          <cell r="A890">
            <v>53706412</v>
          </cell>
          <cell r="B890" t="str">
            <v>ЛИТЕР</v>
          </cell>
          <cell r="C890" t="str">
            <v>БАДАЕВСКАЯ   (ОКТ)</v>
          </cell>
          <cell r="D890">
            <v>33373</v>
          </cell>
          <cell r="F890">
            <v>0</v>
          </cell>
          <cell r="G890">
            <v>37680</v>
          </cell>
          <cell r="H890">
            <v>886</v>
          </cell>
          <cell r="I890" t="str">
            <v>деп</v>
          </cell>
          <cell r="J890">
            <v>38227</v>
          </cell>
        </row>
        <row r="891">
          <cell r="A891">
            <v>53706727</v>
          </cell>
          <cell r="B891" t="str">
            <v>ЛИТЕР</v>
          </cell>
          <cell r="C891" t="str">
            <v>БАДАЕВСКАЯ   (ОКТ)</v>
          </cell>
          <cell r="D891">
            <v>30621</v>
          </cell>
          <cell r="E891">
            <v>35844</v>
          </cell>
          <cell r="F891">
            <v>886</v>
          </cell>
          <cell r="G891">
            <v>37875</v>
          </cell>
          <cell r="H891">
            <v>886</v>
          </cell>
          <cell r="I891" t="str">
            <v>деп</v>
          </cell>
          <cell r="J891">
            <v>38422</v>
          </cell>
        </row>
        <row r="892">
          <cell r="A892">
            <v>58721028</v>
          </cell>
          <cell r="B892" t="str">
            <v>ЛИТЕР</v>
          </cell>
          <cell r="C892" t="str">
            <v>БАЛАШИХА     (МСK)</v>
          </cell>
          <cell r="D892">
            <v>34090</v>
          </cell>
          <cell r="E892">
            <v>37463</v>
          </cell>
          <cell r="F892">
            <v>886</v>
          </cell>
          <cell r="H892">
            <v>0</v>
          </cell>
          <cell r="I892" t="str">
            <v>деп</v>
          </cell>
          <cell r="J892">
            <v>38194</v>
          </cell>
        </row>
        <row r="893">
          <cell r="A893">
            <v>58721036</v>
          </cell>
          <cell r="B893" t="str">
            <v>ЛИТЕР</v>
          </cell>
          <cell r="C893" t="str">
            <v>БАЛАШИХА     (МСK)</v>
          </cell>
          <cell r="D893">
            <v>34090</v>
          </cell>
          <cell r="E893">
            <v>37463</v>
          </cell>
          <cell r="F893">
            <v>886</v>
          </cell>
          <cell r="H893">
            <v>0</v>
          </cell>
          <cell r="I893" t="str">
            <v>деп</v>
          </cell>
          <cell r="J893">
            <v>38194</v>
          </cell>
        </row>
        <row r="894">
          <cell r="A894">
            <v>58721051</v>
          </cell>
          <cell r="B894" t="str">
            <v>ЛИТЕР</v>
          </cell>
          <cell r="C894" t="str">
            <v>БАЛАШИХА     (МСK)</v>
          </cell>
          <cell r="D894">
            <v>34090</v>
          </cell>
          <cell r="E894">
            <v>37463</v>
          </cell>
          <cell r="F894">
            <v>886</v>
          </cell>
          <cell r="H894">
            <v>0</v>
          </cell>
          <cell r="I894" t="str">
            <v>деп</v>
          </cell>
          <cell r="J894">
            <v>38194</v>
          </cell>
        </row>
        <row r="895">
          <cell r="A895">
            <v>58725730</v>
          </cell>
          <cell r="B895" t="str">
            <v>ЛИТЕР</v>
          </cell>
          <cell r="C895" t="str">
            <v>БАЛАШИХА     (МСK)</v>
          </cell>
          <cell r="D895">
            <v>34090</v>
          </cell>
          <cell r="E895">
            <v>37463</v>
          </cell>
          <cell r="F895">
            <v>886</v>
          </cell>
          <cell r="H895">
            <v>0</v>
          </cell>
          <cell r="I895" t="str">
            <v>деп</v>
          </cell>
          <cell r="J895">
            <v>38194</v>
          </cell>
        </row>
        <row r="896">
          <cell r="A896">
            <v>58726498</v>
          </cell>
          <cell r="B896" t="str">
            <v>ЛИТЕР</v>
          </cell>
          <cell r="C896" t="str">
            <v>БАДАЕВСКАЯ   (ОКТ)</v>
          </cell>
          <cell r="D896">
            <v>33401</v>
          </cell>
          <cell r="E896">
            <v>37481</v>
          </cell>
          <cell r="F896">
            <v>886</v>
          </cell>
          <cell r="H896">
            <v>0</v>
          </cell>
          <cell r="I896" t="str">
            <v>деп</v>
          </cell>
          <cell r="J896">
            <v>38030</v>
          </cell>
        </row>
        <row r="897">
          <cell r="A897">
            <v>58726597</v>
          </cell>
          <cell r="B897" t="str">
            <v>ЛИТЕР</v>
          </cell>
          <cell r="C897" t="str">
            <v>БАДАЕВСКАЯ   (ОКТ)</v>
          </cell>
          <cell r="D897">
            <v>33406</v>
          </cell>
          <cell r="E897">
            <v>37481</v>
          </cell>
          <cell r="F897">
            <v>886</v>
          </cell>
          <cell r="H897">
            <v>0</v>
          </cell>
          <cell r="I897" t="str">
            <v>деп</v>
          </cell>
          <cell r="J897">
            <v>38030</v>
          </cell>
        </row>
        <row r="898">
          <cell r="A898">
            <v>58726696</v>
          </cell>
          <cell r="B898" t="str">
            <v>ЛИТЕР</v>
          </cell>
          <cell r="C898" t="str">
            <v>БАДАЕВСКАЯ   (ОКТ)</v>
          </cell>
          <cell r="D898">
            <v>33459</v>
          </cell>
          <cell r="E898">
            <v>37481</v>
          </cell>
          <cell r="F898">
            <v>886</v>
          </cell>
          <cell r="H898">
            <v>0</v>
          </cell>
          <cell r="I898" t="str">
            <v>деп</v>
          </cell>
          <cell r="J898">
            <v>38030</v>
          </cell>
        </row>
        <row r="899">
          <cell r="A899">
            <v>58726795</v>
          </cell>
          <cell r="B899" t="str">
            <v>ЛИТЕР</v>
          </cell>
          <cell r="C899" t="str">
            <v>БАДАЕВСКАЯ   (ОКТ)</v>
          </cell>
          <cell r="D899">
            <v>33464</v>
          </cell>
          <cell r="E899">
            <v>37481</v>
          </cell>
          <cell r="F899">
            <v>886</v>
          </cell>
          <cell r="H899">
            <v>0</v>
          </cell>
          <cell r="I899" t="str">
            <v>деп</v>
          </cell>
          <cell r="J899">
            <v>38030</v>
          </cell>
        </row>
        <row r="900">
          <cell r="A900">
            <v>58727793</v>
          </cell>
          <cell r="B900" t="str">
            <v>ЛИТЕР</v>
          </cell>
          <cell r="C900" t="str">
            <v>БАДАЕВСКАЯ   (ОКТ)</v>
          </cell>
          <cell r="D900">
            <v>33390</v>
          </cell>
          <cell r="E900">
            <v>38008</v>
          </cell>
          <cell r="F900">
            <v>886</v>
          </cell>
          <cell r="H900">
            <v>0</v>
          </cell>
          <cell r="I900" t="str">
            <v>деп</v>
          </cell>
          <cell r="J900">
            <v>38555</v>
          </cell>
        </row>
        <row r="901">
          <cell r="A901">
            <v>58727892</v>
          </cell>
          <cell r="B901" t="str">
            <v>ЛИТЕР</v>
          </cell>
          <cell r="C901" t="str">
            <v>БАДАЕВСКАЯ   (ОКТ)</v>
          </cell>
          <cell r="D901">
            <v>33390</v>
          </cell>
          <cell r="E901">
            <v>38008</v>
          </cell>
          <cell r="F901">
            <v>886</v>
          </cell>
          <cell r="H901">
            <v>0</v>
          </cell>
          <cell r="I901" t="str">
            <v>деп</v>
          </cell>
          <cell r="J901">
            <v>38555</v>
          </cell>
        </row>
        <row r="902">
          <cell r="A902">
            <v>58727991</v>
          </cell>
          <cell r="B902" t="str">
            <v>ЛИТЕР</v>
          </cell>
          <cell r="C902" t="str">
            <v>БАДАЕВСКАЯ   (ОКТ)</v>
          </cell>
          <cell r="D902">
            <v>33390</v>
          </cell>
          <cell r="E902">
            <v>38008</v>
          </cell>
          <cell r="F902">
            <v>886</v>
          </cell>
          <cell r="H902">
            <v>0</v>
          </cell>
          <cell r="I902" t="str">
            <v>деп</v>
          </cell>
          <cell r="J902">
            <v>38555</v>
          </cell>
        </row>
        <row r="903">
          <cell r="A903">
            <v>58728098</v>
          </cell>
          <cell r="B903" t="str">
            <v>ЛИТЕР</v>
          </cell>
          <cell r="C903" t="str">
            <v>БАДАЕВСКАЯ   (ОКТ)</v>
          </cell>
          <cell r="D903">
            <v>33390</v>
          </cell>
          <cell r="E903">
            <v>38008</v>
          </cell>
          <cell r="F903">
            <v>886</v>
          </cell>
          <cell r="H903">
            <v>0</v>
          </cell>
          <cell r="I903" t="str">
            <v>деп</v>
          </cell>
          <cell r="J903">
            <v>38555</v>
          </cell>
        </row>
        <row r="904">
          <cell r="A904">
            <v>58740432</v>
          </cell>
          <cell r="B904" t="str">
            <v>ЛИТЕР</v>
          </cell>
          <cell r="C904" t="str">
            <v>БАДАЕВСКАЯ   (ОКТ)</v>
          </cell>
          <cell r="D904">
            <v>33390</v>
          </cell>
          <cell r="F904">
            <v>0</v>
          </cell>
          <cell r="G904">
            <v>37680</v>
          </cell>
          <cell r="H904">
            <v>886</v>
          </cell>
          <cell r="I904" t="str">
            <v>деп</v>
          </cell>
          <cell r="J904">
            <v>38227</v>
          </cell>
        </row>
        <row r="905">
          <cell r="A905">
            <v>58740440</v>
          </cell>
          <cell r="B905" t="str">
            <v>ЛИТЕР</v>
          </cell>
          <cell r="C905" t="str">
            <v>БАДАЕВСКАЯ   (ОКТ)</v>
          </cell>
          <cell r="D905">
            <v>33390</v>
          </cell>
          <cell r="F905">
            <v>0</v>
          </cell>
          <cell r="G905">
            <v>37680</v>
          </cell>
          <cell r="H905">
            <v>886</v>
          </cell>
          <cell r="I905" t="str">
            <v>деп</v>
          </cell>
          <cell r="J905">
            <v>38227</v>
          </cell>
        </row>
        <row r="906">
          <cell r="A906">
            <v>58740457</v>
          </cell>
          <cell r="B906" t="str">
            <v>ЛИТЕР</v>
          </cell>
          <cell r="C906" t="str">
            <v>БАДАЕВСКАЯ   (ОКТ)</v>
          </cell>
          <cell r="D906">
            <v>33390</v>
          </cell>
          <cell r="F906">
            <v>0</v>
          </cell>
          <cell r="G906">
            <v>37680</v>
          </cell>
          <cell r="H906">
            <v>886</v>
          </cell>
          <cell r="I906" t="str">
            <v>деп</v>
          </cell>
          <cell r="J906">
            <v>38227</v>
          </cell>
        </row>
        <row r="907">
          <cell r="A907">
            <v>58740465</v>
          </cell>
          <cell r="B907" t="str">
            <v>ЛИТЕР</v>
          </cell>
          <cell r="C907" t="str">
            <v>БАДАЕВСКАЯ   (ОКТ)</v>
          </cell>
          <cell r="D907">
            <v>33390</v>
          </cell>
          <cell r="F907">
            <v>0</v>
          </cell>
          <cell r="G907">
            <v>37680</v>
          </cell>
          <cell r="H907">
            <v>886</v>
          </cell>
          <cell r="I907" t="str">
            <v>деп</v>
          </cell>
          <cell r="J907">
            <v>38227</v>
          </cell>
        </row>
        <row r="908">
          <cell r="A908">
            <v>58741646</v>
          </cell>
          <cell r="B908" t="str">
            <v>ЛИТЕР</v>
          </cell>
          <cell r="C908" t="str">
            <v>БАДАЕВСКАЯ   (ОКТ)</v>
          </cell>
          <cell r="D908">
            <v>30621</v>
          </cell>
          <cell r="E908">
            <v>34925</v>
          </cell>
          <cell r="F908">
            <v>0</v>
          </cell>
          <cell r="G908">
            <v>37875</v>
          </cell>
          <cell r="H908">
            <v>886</v>
          </cell>
          <cell r="I908" t="str">
            <v>деп</v>
          </cell>
          <cell r="J908">
            <v>38422</v>
          </cell>
        </row>
        <row r="909">
          <cell r="A909">
            <v>58741653</v>
          </cell>
          <cell r="B909" t="str">
            <v>ЛИТЕР</v>
          </cell>
          <cell r="C909" t="str">
            <v>БАДАЕВСКАЯ   (ОКТ)</v>
          </cell>
          <cell r="D909">
            <v>30621</v>
          </cell>
          <cell r="E909">
            <v>34925</v>
          </cell>
          <cell r="F909">
            <v>0</v>
          </cell>
          <cell r="G909">
            <v>37875</v>
          </cell>
          <cell r="H909">
            <v>886</v>
          </cell>
          <cell r="I909" t="str">
            <v>деп</v>
          </cell>
          <cell r="J909">
            <v>38422</v>
          </cell>
        </row>
        <row r="910">
          <cell r="A910">
            <v>58741661</v>
          </cell>
          <cell r="B910" t="str">
            <v>ЛИТЕР</v>
          </cell>
          <cell r="C910" t="str">
            <v>БАДАЕВСКАЯ   (ОКТ)</v>
          </cell>
          <cell r="D910">
            <v>30621</v>
          </cell>
          <cell r="E910">
            <v>34925</v>
          </cell>
          <cell r="F910">
            <v>0</v>
          </cell>
          <cell r="G910">
            <v>37875</v>
          </cell>
          <cell r="H910">
            <v>886</v>
          </cell>
          <cell r="I910" t="str">
            <v>деп</v>
          </cell>
          <cell r="J910">
            <v>38422</v>
          </cell>
        </row>
        <row r="911">
          <cell r="A911">
            <v>58741679</v>
          </cell>
          <cell r="B911" t="str">
            <v>ЛИТЕР</v>
          </cell>
          <cell r="C911" t="str">
            <v>БАДАЕВСКАЯ   (ОКТ)</v>
          </cell>
          <cell r="D911">
            <v>30621</v>
          </cell>
          <cell r="E911">
            <v>35844</v>
          </cell>
          <cell r="F911">
            <v>886</v>
          </cell>
          <cell r="G911">
            <v>37875</v>
          </cell>
          <cell r="H911">
            <v>886</v>
          </cell>
          <cell r="I911" t="str">
            <v>деп</v>
          </cell>
          <cell r="J911">
            <v>38422</v>
          </cell>
        </row>
        <row r="912">
          <cell r="A912">
            <v>58741687</v>
          </cell>
          <cell r="B912" t="str">
            <v>ЛИТЕР</v>
          </cell>
          <cell r="C912" t="str">
            <v>БАДАЕВСКАЯ   (ОКТ)</v>
          </cell>
          <cell r="D912">
            <v>30621</v>
          </cell>
          <cell r="E912">
            <v>35844</v>
          </cell>
          <cell r="F912">
            <v>886</v>
          </cell>
          <cell r="G912">
            <v>37875</v>
          </cell>
          <cell r="H912">
            <v>886</v>
          </cell>
          <cell r="I912" t="str">
            <v>деп</v>
          </cell>
          <cell r="J912">
            <v>38422</v>
          </cell>
        </row>
        <row r="913">
          <cell r="A913">
            <v>58741703</v>
          </cell>
          <cell r="B913" t="str">
            <v>ЛИТЕР</v>
          </cell>
          <cell r="C913" t="str">
            <v>БАДАЕВСКАЯ   (ОКТ)</v>
          </cell>
          <cell r="D913">
            <v>30621</v>
          </cell>
          <cell r="E913">
            <v>34925</v>
          </cell>
          <cell r="F913">
            <v>0</v>
          </cell>
          <cell r="G913">
            <v>37875</v>
          </cell>
          <cell r="H913">
            <v>886</v>
          </cell>
          <cell r="I913" t="str">
            <v>деп</v>
          </cell>
          <cell r="J913">
            <v>38422</v>
          </cell>
        </row>
        <row r="914">
          <cell r="A914">
            <v>58741711</v>
          </cell>
          <cell r="B914" t="str">
            <v>ЛИТЕР</v>
          </cell>
          <cell r="C914" t="str">
            <v>БАДАЕВСКАЯ   (ОКТ)</v>
          </cell>
          <cell r="D914">
            <v>30621</v>
          </cell>
          <cell r="E914">
            <v>35844</v>
          </cell>
          <cell r="F914">
            <v>886</v>
          </cell>
          <cell r="G914">
            <v>37875</v>
          </cell>
          <cell r="H914">
            <v>886</v>
          </cell>
          <cell r="I914" t="str">
            <v>деп</v>
          </cell>
          <cell r="J914">
            <v>38422</v>
          </cell>
        </row>
        <row r="915">
          <cell r="A915">
            <v>58741729</v>
          </cell>
          <cell r="B915" t="str">
            <v>ЛИТЕР</v>
          </cell>
          <cell r="C915" t="str">
            <v>БАДАЕВСКАЯ   (ОКТ)</v>
          </cell>
          <cell r="D915">
            <v>30621</v>
          </cell>
          <cell r="E915">
            <v>35844</v>
          </cell>
          <cell r="F915">
            <v>886</v>
          </cell>
          <cell r="G915">
            <v>37875</v>
          </cell>
          <cell r="H915">
            <v>886</v>
          </cell>
          <cell r="I915" t="str">
            <v>деп</v>
          </cell>
          <cell r="J915">
            <v>38422</v>
          </cell>
        </row>
        <row r="916">
          <cell r="B916" t="str">
            <v>ЛИТЕР Количество</v>
          </cell>
          <cell r="D916">
            <v>29</v>
          </cell>
        </row>
        <row r="917">
          <cell r="A917">
            <v>53706925</v>
          </cell>
          <cell r="B917" t="str">
            <v>ЛОКОТРАНС</v>
          </cell>
          <cell r="C917" t="str">
            <v>ЯРОСЛАВЛЬ    (СЕВ)</v>
          </cell>
          <cell r="D917">
            <v>31471</v>
          </cell>
          <cell r="E917">
            <v>36308</v>
          </cell>
          <cell r="F917">
            <v>886</v>
          </cell>
          <cell r="G917">
            <v>37985</v>
          </cell>
          <cell r="H917">
            <v>886</v>
          </cell>
          <cell r="I917" t="str">
            <v>деп</v>
          </cell>
          <cell r="J917">
            <v>38533</v>
          </cell>
        </row>
        <row r="918">
          <cell r="A918">
            <v>58728296</v>
          </cell>
          <cell r="B918" t="str">
            <v>ЛОКОТРАНС</v>
          </cell>
          <cell r="C918" t="str">
            <v>ЯРОСЛАВЛЬ    (СЕВ)</v>
          </cell>
          <cell r="D918">
            <v>33239</v>
          </cell>
          <cell r="E918">
            <v>37756</v>
          </cell>
          <cell r="F918">
            <v>350</v>
          </cell>
          <cell r="H918">
            <v>0</v>
          </cell>
          <cell r="I918" t="str">
            <v>деп</v>
          </cell>
          <cell r="J918">
            <v>38306</v>
          </cell>
        </row>
        <row r="919">
          <cell r="A919">
            <v>58742602</v>
          </cell>
          <cell r="B919" t="str">
            <v>ЛОКОТРАНС</v>
          </cell>
          <cell r="C919" t="str">
            <v>ЯРОСЛАВЛЬ    (СЕВ)</v>
          </cell>
          <cell r="D919">
            <v>31471</v>
          </cell>
          <cell r="E919">
            <v>36308</v>
          </cell>
          <cell r="F919">
            <v>886</v>
          </cell>
          <cell r="G919">
            <v>37985</v>
          </cell>
          <cell r="H919">
            <v>886</v>
          </cell>
          <cell r="I919" t="str">
            <v>деп</v>
          </cell>
          <cell r="J919">
            <v>38533</v>
          </cell>
        </row>
        <row r="920">
          <cell r="A920">
            <v>58742610</v>
          </cell>
          <cell r="B920" t="str">
            <v>ЛОКОТРАНС</v>
          </cell>
          <cell r="C920" t="str">
            <v>ЯРОСЛАВЛЬ    (СЕВ)</v>
          </cell>
          <cell r="D920">
            <v>31471</v>
          </cell>
          <cell r="E920">
            <v>36308</v>
          </cell>
          <cell r="F920">
            <v>886</v>
          </cell>
          <cell r="G920">
            <v>37985</v>
          </cell>
          <cell r="H920">
            <v>886</v>
          </cell>
          <cell r="I920" t="str">
            <v>деп</v>
          </cell>
          <cell r="J920">
            <v>38533</v>
          </cell>
        </row>
        <row r="921">
          <cell r="A921">
            <v>58742628</v>
          </cell>
          <cell r="B921" t="str">
            <v>ЛОКОТРАНС</v>
          </cell>
          <cell r="C921" t="str">
            <v>ЯРОСЛАВЛЬ    (СЕВ)</v>
          </cell>
          <cell r="D921">
            <v>31471</v>
          </cell>
          <cell r="E921">
            <v>36308</v>
          </cell>
          <cell r="F921">
            <v>886</v>
          </cell>
          <cell r="G921">
            <v>37985</v>
          </cell>
          <cell r="H921">
            <v>886</v>
          </cell>
          <cell r="I921" t="str">
            <v>деп</v>
          </cell>
          <cell r="J921">
            <v>38533</v>
          </cell>
        </row>
        <row r="922">
          <cell r="A922">
            <v>58742636</v>
          </cell>
          <cell r="B922" t="str">
            <v>ЛОКОТРАНС</v>
          </cell>
          <cell r="C922" t="str">
            <v>ЯРОСЛАВЛЬ    (СЕВ)</v>
          </cell>
          <cell r="D922">
            <v>31471</v>
          </cell>
          <cell r="E922">
            <v>36308</v>
          </cell>
          <cell r="F922">
            <v>886</v>
          </cell>
          <cell r="G922">
            <v>37985</v>
          </cell>
          <cell r="H922">
            <v>886</v>
          </cell>
          <cell r="I922" t="str">
            <v>деп</v>
          </cell>
          <cell r="J922">
            <v>38533</v>
          </cell>
        </row>
        <row r="923">
          <cell r="B923" t="str">
            <v>ЛОКОТРАНС Количество</v>
          </cell>
          <cell r="D923">
            <v>6</v>
          </cell>
        </row>
        <row r="924">
          <cell r="A924">
            <v>53700969</v>
          </cell>
          <cell r="B924" t="str">
            <v>ЛОУД</v>
          </cell>
          <cell r="C924" t="str">
            <v>НИЖНЕВАРТ. 1 (СВР)</v>
          </cell>
          <cell r="D924">
            <v>33239</v>
          </cell>
          <cell r="E924">
            <v>35260</v>
          </cell>
          <cell r="I924" t="str">
            <v>кап</v>
          </cell>
          <cell r="J924">
            <v>36355</v>
          </cell>
        </row>
        <row r="925">
          <cell r="A925">
            <v>58337171</v>
          </cell>
          <cell r="B925" t="str">
            <v>ЛОУД</v>
          </cell>
          <cell r="C925" t="str">
            <v>НИЖНЕВАРТ. 1 (СВР)</v>
          </cell>
          <cell r="D925">
            <v>33435</v>
          </cell>
          <cell r="E925">
            <v>35260</v>
          </cell>
        </row>
        <row r="926">
          <cell r="A926">
            <v>58337189</v>
          </cell>
          <cell r="B926" t="str">
            <v>ЛОУД</v>
          </cell>
          <cell r="C926" t="str">
            <v>НИЖНЕВАРТ. 1 (СВР)</v>
          </cell>
          <cell r="D926">
            <v>33435</v>
          </cell>
          <cell r="E926">
            <v>35260</v>
          </cell>
        </row>
        <row r="927">
          <cell r="A927">
            <v>58337205</v>
          </cell>
          <cell r="B927" t="str">
            <v>ЛОУД</v>
          </cell>
          <cell r="C927" t="str">
            <v>НИЖНЕВАРТ. 1 (СВР)</v>
          </cell>
          <cell r="D927">
            <v>33435</v>
          </cell>
          <cell r="E927">
            <v>35260</v>
          </cell>
        </row>
        <row r="928">
          <cell r="A928">
            <v>58337213</v>
          </cell>
          <cell r="B928" t="str">
            <v>ЛОУД</v>
          </cell>
          <cell r="C928" t="str">
            <v>НИЖНЕВАРТ. 1 (СВР)</v>
          </cell>
          <cell r="D928">
            <v>33435</v>
          </cell>
          <cell r="E928">
            <v>35260</v>
          </cell>
        </row>
        <row r="929">
          <cell r="B929" t="str">
            <v>ЛОУД Количество</v>
          </cell>
          <cell r="D929">
            <v>5</v>
          </cell>
        </row>
        <row r="930">
          <cell r="A930">
            <v>53704235</v>
          </cell>
          <cell r="B930" t="str">
            <v>М/КОЛ.N59 ЦЕНТРСТРОЙМЕХАН.</v>
          </cell>
          <cell r="C930" t="str">
            <v>КУБИНКА 1    (МСK)</v>
          </cell>
          <cell r="D930">
            <v>26877</v>
          </cell>
          <cell r="E930">
            <v>37868</v>
          </cell>
          <cell r="F930">
            <v>350</v>
          </cell>
          <cell r="G930">
            <v>36055</v>
          </cell>
          <cell r="I930" t="str">
            <v>деп</v>
          </cell>
          <cell r="J930">
            <v>38964</v>
          </cell>
        </row>
        <row r="931">
          <cell r="B931" t="str">
            <v>М/КОЛ.N59 ЦЕНТРСТРОЙМЕХАН. Количество</v>
          </cell>
          <cell r="D931">
            <v>1</v>
          </cell>
        </row>
        <row r="932">
          <cell r="A932">
            <v>53704383</v>
          </cell>
          <cell r="B932" t="str">
            <v>МАКС</v>
          </cell>
          <cell r="C932" t="str">
            <v>ФАРАФНТЬЕВСК (СВР)</v>
          </cell>
          <cell r="D932">
            <v>34335</v>
          </cell>
          <cell r="E932">
            <v>37588</v>
          </cell>
          <cell r="F932">
            <v>819</v>
          </cell>
          <cell r="H932">
            <v>0</v>
          </cell>
          <cell r="I932" t="str">
            <v>деп</v>
          </cell>
          <cell r="J932">
            <v>38135</v>
          </cell>
        </row>
        <row r="933">
          <cell r="B933" t="str">
            <v>МАКС Количество</v>
          </cell>
          <cell r="D933">
            <v>1</v>
          </cell>
        </row>
        <row r="934">
          <cell r="A934">
            <v>53706883</v>
          </cell>
          <cell r="B934" t="str">
            <v>МАРИПРОДУКТ КОМПАНИЯ</v>
          </cell>
          <cell r="C934" t="str">
            <v>ПЕРВАЯ РЕЧКА (ДВС)</v>
          </cell>
          <cell r="D934">
            <v>31472</v>
          </cell>
          <cell r="E934">
            <v>36432</v>
          </cell>
          <cell r="F934">
            <v>886</v>
          </cell>
          <cell r="G934">
            <v>37944</v>
          </cell>
          <cell r="H934">
            <v>886</v>
          </cell>
          <cell r="I934" t="str">
            <v>деп</v>
          </cell>
          <cell r="J934">
            <v>38491</v>
          </cell>
        </row>
        <row r="935">
          <cell r="A935">
            <v>53706909</v>
          </cell>
          <cell r="B935" t="str">
            <v>МАРИПРОДУКТ КОМПАНИЯ</v>
          </cell>
          <cell r="C935" t="str">
            <v>ПЕРВАЯ РЕЧКА (ДВС)</v>
          </cell>
          <cell r="D935">
            <v>31472</v>
          </cell>
          <cell r="E935">
            <v>36644</v>
          </cell>
          <cell r="F935">
            <v>886</v>
          </cell>
          <cell r="G935">
            <v>37956</v>
          </cell>
          <cell r="H935">
            <v>886</v>
          </cell>
          <cell r="I935" t="str">
            <v>деп</v>
          </cell>
          <cell r="J935">
            <v>38504</v>
          </cell>
        </row>
        <row r="936">
          <cell r="A936">
            <v>58742453</v>
          </cell>
          <cell r="B936" t="str">
            <v>МАРИПРОДУКТ КОМПАНИЯ</v>
          </cell>
          <cell r="C936" t="str">
            <v>ПЕРВАЯ РЕЧКА (ДВС)</v>
          </cell>
          <cell r="D936">
            <v>31472</v>
          </cell>
          <cell r="E936">
            <v>36432</v>
          </cell>
          <cell r="F936">
            <v>886</v>
          </cell>
          <cell r="G936">
            <v>37944</v>
          </cell>
          <cell r="H936">
            <v>886</v>
          </cell>
          <cell r="I936" t="str">
            <v>деп</v>
          </cell>
          <cell r="J936">
            <v>38491</v>
          </cell>
        </row>
        <row r="937">
          <cell r="A937">
            <v>58742461</v>
          </cell>
          <cell r="B937" t="str">
            <v>МАРИПРОДУКТ КОМПАНИЯ</v>
          </cell>
          <cell r="C937" t="str">
            <v>ПЕРВАЯ РЕЧКА (ДВС)</v>
          </cell>
          <cell r="D937">
            <v>31472</v>
          </cell>
          <cell r="E937">
            <v>36432</v>
          </cell>
          <cell r="F937">
            <v>886</v>
          </cell>
          <cell r="G937">
            <v>37944</v>
          </cell>
          <cell r="H937">
            <v>886</v>
          </cell>
          <cell r="I937" t="str">
            <v>деп</v>
          </cell>
          <cell r="J937">
            <v>38491</v>
          </cell>
        </row>
        <row r="938">
          <cell r="A938">
            <v>58742479</v>
          </cell>
          <cell r="B938" t="str">
            <v>МАРИПРОДУКТ КОМПАНИЯ</v>
          </cell>
          <cell r="C938" t="str">
            <v>ПЕРВАЯ РЕЧКА (ДВС)</v>
          </cell>
          <cell r="D938">
            <v>31472</v>
          </cell>
          <cell r="E938">
            <v>36432</v>
          </cell>
          <cell r="F938">
            <v>886</v>
          </cell>
          <cell r="G938">
            <v>37944</v>
          </cell>
          <cell r="H938">
            <v>886</v>
          </cell>
          <cell r="I938" t="str">
            <v>деп</v>
          </cell>
          <cell r="J938">
            <v>38491</v>
          </cell>
        </row>
        <row r="939">
          <cell r="A939">
            <v>58742487</v>
          </cell>
          <cell r="B939" t="str">
            <v>МАРИПРОДУКТ КОМПАНИЯ</v>
          </cell>
          <cell r="C939" t="str">
            <v>ПЕРВАЯ РЕЧКА (ДВС)</v>
          </cell>
          <cell r="D939">
            <v>31472</v>
          </cell>
          <cell r="E939">
            <v>36432</v>
          </cell>
          <cell r="F939">
            <v>886</v>
          </cell>
          <cell r="G939">
            <v>37944</v>
          </cell>
          <cell r="H939">
            <v>886</v>
          </cell>
          <cell r="I939" t="str">
            <v>деп</v>
          </cell>
          <cell r="J939">
            <v>38491</v>
          </cell>
        </row>
        <row r="940">
          <cell r="A940">
            <v>58742503</v>
          </cell>
          <cell r="B940" t="str">
            <v>МАРИПРОДУКТ КОМПАНИЯ</v>
          </cell>
          <cell r="C940" t="str">
            <v>ПЕРВАЯ РЕЧКА (ДВС)</v>
          </cell>
          <cell r="D940">
            <v>31472</v>
          </cell>
          <cell r="E940">
            <v>36644</v>
          </cell>
          <cell r="F940">
            <v>886</v>
          </cell>
          <cell r="G940">
            <v>37956</v>
          </cell>
          <cell r="H940">
            <v>886</v>
          </cell>
          <cell r="I940" t="str">
            <v>деп</v>
          </cell>
          <cell r="J940">
            <v>38504</v>
          </cell>
        </row>
        <row r="941">
          <cell r="A941">
            <v>58742511</v>
          </cell>
          <cell r="B941" t="str">
            <v>МАРИПРОДУКТ КОМПАНИЯ</v>
          </cell>
          <cell r="C941" t="str">
            <v>ПЕРВАЯ РЕЧКА (ДВС)</v>
          </cell>
          <cell r="D941">
            <v>31472</v>
          </cell>
          <cell r="E941">
            <v>36644</v>
          </cell>
          <cell r="F941">
            <v>886</v>
          </cell>
          <cell r="G941">
            <v>37956</v>
          </cell>
          <cell r="H941">
            <v>886</v>
          </cell>
          <cell r="I941" t="str">
            <v>деп</v>
          </cell>
          <cell r="J941">
            <v>38504</v>
          </cell>
        </row>
        <row r="942">
          <cell r="A942">
            <v>58742529</v>
          </cell>
          <cell r="B942" t="str">
            <v>МАРИПРОДУКТ КОМПАНИЯ</v>
          </cell>
          <cell r="C942" t="str">
            <v>ПЕРВАЯ РЕЧКА (ДВС)</v>
          </cell>
          <cell r="D942">
            <v>31472</v>
          </cell>
          <cell r="E942">
            <v>36644</v>
          </cell>
          <cell r="F942">
            <v>886</v>
          </cell>
          <cell r="G942">
            <v>37956</v>
          </cell>
          <cell r="H942">
            <v>886</v>
          </cell>
          <cell r="I942" t="str">
            <v>деп</v>
          </cell>
          <cell r="J942">
            <v>38504</v>
          </cell>
        </row>
        <row r="943">
          <cell r="A943">
            <v>58742537</v>
          </cell>
          <cell r="B943" t="str">
            <v>МАРИПРОДУКТ КОМПАНИЯ</v>
          </cell>
          <cell r="C943" t="str">
            <v>ПЕРВАЯ РЕЧКА (ДВС)</v>
          </cell>
          <cell r="D943">
            <v>31472</v>
          </cell>
          <cell r="E943">
            <v>36644</v>
          </cell>
          <cell r="F943">
            <v>886</v>
          </cell>
          <cell r="G943">
            <v>37956</v>
          </cell>
          <cell r="H943">
            <v>886</v>
          </cell>
          <cell r="I943" t="str">
            <v>деп</v>
          </cell>
          <cell r="J943">
            <v>38504</v>
          </cell>
        </row>
        <row r="944">
          <cell r="B944" t="str">
            <v>МАРИПРОДУКТ КОМПАНИЯ Количество</v>
          </cell>
          <cell r="D944">
            <v>10</v>
          </cell>
        </row>
        <row r="945">
          <cell r="A945">
            <v>53705554</v>
          </cell>
          <cell r="B945" t="str">
            <v>МАЯК ТМО</v>
          </cell>
          <cell r="C945" t="str">
            <v>КЕРАМИК      (СВР)</v>
          </cell>
          <cell r="D945">
            <v>33584</v>
          </cell>
          <cell r="E945">
            <v>37828</v>
          </cell>
          <cell r="F945">
            <v>594</v>
          </cell>
          <cell r="H945">
            <v>0</v>
          </cell>
          <cell r="I945" t="str">
            <v>кап</v>
          </cell>
          <cell r="J945">
            <v>38924</v>
          </cell>
        </row>
        <row r="946">
          <cell r="A946">
            <v>58338559</v>
          </cell>
          <cell r="B946" t="str">
            <v>МАЯК ТМО</v>
          </cell>
          <cell r="C946" t="str">
            <v>КЕРАМИК      (СВР)</v>
          </cell>
          <cell r="D946">
            <v>33535</v>
          </cell>
          <cell r="E946">
            <v>37828</v>
          </cell>
          <cell r="F946">
            <v>594</v>
          </cell>
          <cell r="H946">
            <v>0</v>
          </cell>
          <cell r="I946" t="str">
            <v>деп</v>
          </cell>
          <cell r="J946">
            <v>38559</v>
          </cell>
        </row>
        <row r="947">
          <cell r="A947">
            <v>58338567</v>
          </cell>
          <cell r="B947" t="str">
            <v>МАЯК ТМО</v>
          </cell>
          <cell r="C947" t="str">
            <v>КЕРАМИК      (СВР)</v>
          </cell>
          <cell r="D947">
            <v>33535</v>
          </cell>
          <cell r="E947">
            <v>37828</v>
          </cell>
          <cell r="F947">
            <v>594</v>
          </cell>
          <cell r="H947">
            <v>0</v>
          </cell>
          <cell r="I947" t="str">
            <v>деп</v>
          </cell>
          <cell r="J947">
            <v>38559</v>
          </cell>
        </row>
        <row r="948">
          <cell r="A948">
            <v>58338575</v>
          </cell>
          <cell r="B948" t="str">
            <v>МАЯК ТМО</v>
          </cell>
          <cell r="C948" t="str">
            <v>КЕРАМИК      (СВР)</v>
          </cell>
          <cell r="D948">
            <v>33535</v>
          </cell>
          <cell r="E948">
            <v>37828</v>
          </cell>
          <cell r="F948">
            <v>594</v>
          </cell>
          <cell r="H948">
            <v>0</v>
          </cell>
          <cell r="I948" t="str">
            <v>деп</v>
          </cell>
          <cell r="J948">
            <v>38559</v>
          </cell>
        </row>
        <row r="949">
          <cell r="A949">
            <v>58338583</v>
          </cell>
          <cell r="B949" t="str">
            <v>МАЯК ТМО</v>
          </cell>
          <cell r="C949" t="str">
            <v>КЕРАМИК      (СВР)</v>
          </cell>
          <cell r="D949">
            <v>33535</v>
          </cell>
          <cell r="E949">
            <v>37828</v>
          </cell>
          <cell r="F949">
            <v>594</v>
          </cell>
          <cell r="H949">
            <v>0</v>
          </cell>
          <cell r="I949" t="str">
            <v>деп</v>
          </cell>
          <cell r="J949">
            <v>38559</v>
          </cell>
        </row>
        <row r="950">
          <cell r="B950" t="str">
            <v>МАЯК ТМО Количество</v>
          </cell>
          <cell r="D950">
            <v>5</v>
          </cell>
        </row>
        <row r="951">
          <cell r="A951">
            <v>53703666</v>
          </cell>
          <cell r="B951" t="str">
            <v>МВТРАНС</v>
          </cell>
          <cell r="C951" t="str">
            <v>СВЕРДЛВСК-СР (СВР)</v>
          </cell>
          <cell r="D951">
            <v>34425</v>
          </cell>
          <cell r="E951">
            <v>37794</v>
          </cell>
          <cell r="F951">
            <v>819</v>
          </cell>
          <cell r="H951">
            <v>0</v>
          </cell>
          <cell r="I951" t="str">
            <v>деп</v>
          </cell>
          <cell r="J951">
            <v>38343</v>
          </cell>
        </row>
        <row r="952">
          <cell r="B952" t="str">
            <v>МВТРАНС Количество</v>
          </cell>
          <cell r="D952">
            <v>1</v>
          </cell>
        </row>
        <row r="953">
          <cell r="A953">
            <v>53701223</v>
          </cell>
          <cell r="B953" t="str">
            <v>МЕЖРЕГИОНСНАБ</v>
          </cell>
          <cell r="C953" t="str">
            <v>УРШАК        (КБШ)</v>
          </cell>
          <cell r="D953">
            <v>33970</v>
          </cell>
          <cell r="E953">
            <v>37057</v>
          </cell>
          <cell r="F953">
            <v>681</v>
          </cell>
          <cell r="G953">
            <v>37651</v>
          </cell>
          <cell r="H953">
            <v>819</v>
          </cell>
          <cell r="I953" t="str">
            <v>деп</v>
          </cell>
          <cell r="J953">
            <v>38198</v>
          </cell>
        </row>
        <row r="954">
          <cell r="B954" t="str">
            <v>МЕЖРЕГИОНСНАБ Количество</v>
          </cell>
          <cell r="D954">
            <v>1</v>
          </cell>
        </row>
        <row r="955">
          <cell r="A955">
            <v>53706917</v>
          </cell>
          <cell r="B955" t="str">
            <v>МЕЖТРАНС</v>
          </cell>
          <cell r="C955" t="str">
            <v>ПОДМОСКОВНАЯ (МСK)</v>
          </cell>
          <cell r="D955">
            <v>31413</v>
          </cell>
          <cell r="E955">
            <v>36403</v>
          </cell>
          <cell r="F955">
            <v>886</v>
          </cell>
          <cell r="G955">
            <v>37994</v>
          </cell>
          <cell r="H955">
            <v>886</v>
          </cell>
          <cell r="I955" t="str">
            <v>деп</v>
          </cell>
          <cell r="J955">
            <v>38541</v>
          </cell>
        </row>
        <row r="956">
          <cell r="A956">
            <v>58742552</v>
          </cell>
          <cell r="B956" t="str">
            <v>МЕЖТРАНС</v>
          </cell>
          <cell r="C956" t="str">
            <v>ПОДМОСКОВНАЯ (МСK)</v>
          </cell>
          <cell r="D956">
            <v>31413</v>
          </cell>
          <cell r="E956">
            <v>36403</v>
          </cell>
          <cell r="F956">
            <v>886</v>
          </cell>
          <cell r="G956">
            <v>37994</v>
          </cell>
          <cell r="H956">
            <v>886</v>
          </cell>
          <cell r="I956" t="str">
            <v>деп</v>
          </cell>
          <cell r="J956">
            <v>38541</v>
          </cell>
        </row>
        <row r="957">
          <cell r="A957">
            <v>58742560</v>
          </cell>
          <cell r="B957" t="str">
            <v>МЕЖТРАНС</v>
          </cell>
          <cell r="C957" t="str">
            <v>ПОДМОСКОВНАЯ (МСK)</v>
          </cell>
          <cell r="D957">
            <v>31413</v>
          </cell>
          <cell r="E957">
            <v>36403</v>
          </cell>
          <cell r="F957">
            <v>886</v>
          </cell>
          <cell r="G957">
            <v>37994</v>
          </cell>
          <cell r="H957">
            <v>886</v>
          </cell>
          <cell r="I957" t="str">
            <v>деп</v>
          </cell>
          <cell r="J957">
            <v>38541</v>
          </cell>
        </row>
        <row r="958">
          <cell r="A958">
            <v>58742578</v>
          </cell>
          <cell r="B958" t="str">
            <v>МЕЖТРАНС</v>
          </cell>
          <cell r="C958" t="str">
            <v>ПОДМОСКОВНАЯ (МСK)</v>
          </cell>
          <cell r="D958">
            <v>31413</v>
          </cell>
          <cell r="E958">
            <v>36403</v>
          </cell>
          <cell r="F958">
            <v>886</v>
          </cell>
          <cell r="G958">
            <v>37994</v>
          </cell>
          <cell r="H958">
            <v>886</v>
          </cell>
          <cell r="I958" t="str">
            <v>деп</v>
          </cell>
          <cell r="J958">
            <v>38541</v>
          </cell>
        </row>
        <row r="959">
          <cell r="A959">
            <v>58742586</v>
          </cell>
          <cell r="B959" t="str">
            <v>МЕЖТРАНС</v>
          </cell>
          <cell r="C959" t="str">
            <v>ПОДМОСКОВНАЯ (МСK)</v>
          </cell>
          <cell r="D959">
            <v>31413</v>
          </cell>
          <cell r="E959">
            <v>36403</v>
          </cell>
          <cell r="F959">
            <v>886</v>
          </cell>
          <cell r="G959">
            <v>37994</v>
          </cell>
          <cell r="H959">
            <v>886</v>
          </cell>
          <cell r="I959" t="str">
            <v>деп</v>
          </cell>
          <cell r="J959">
            <v>38541</v>
          </cell>
        </row>
        <row r="960">
          <cell r="B960" t="str">
            <v>МЕЖТРАНС Количество</v>
          </cell>
          <cell r="D960">
            <v>5</v>
          </cell>
        </row>
        <row r="961">
          <cell r="A961">
            <v>53400628</v>
          </cell>
          <cell r="B961" t="str">
            <v>МЕЛЬКОМБИНАТ N3</v>
          </cell>
          <cell r="C961" t="str">
            <v>НОВОСИБ-ЗАП  (ЗСБ)</v>
          </cell>
          <cell r="D961">
            <v>28839</v>
          </cell>
          <cell r="E961">
            <v>37939</v>
          </cell>
          <cell r="F961">
            <v>350</v>
          </cell>
          <cell r="G961">
            <v>37363</v>
          </cell>
          <cell r="H961">
            <v>840</v>
          </cell>
          <cell r="I961" t="str">
            <v>деп</v>
          </cell>
          <cell r="J961">
            <v>38486</v>
          </cell>
        </row>
        <row r="962">
          <cell r="A962">
            <v>53400750</v>
          </cell>
          <cell r="B962" t="str">
            <v>МЕЛЬКОМБИНАТ N3</v>
          </cell>
          <cell r="C962" t="str">
            <v>НОВОСИБ-ЗАП  (ЗСБ)</v>
          </cell>
          <cell r="D962">
            <v>28839</v>
          </cell>
          <cell r="E962">
            <v>37980</v>
          </cell>
          <cell r="F962">
            <v>557</v>
          </cell>
          <cell r="G962">
            <v>37398</v>
          </cell>
          <cell r="H962">
            <v>840</v>
          </cell>
          <cell r="I962" t="str">
            <v>деп</v>
          </cell>
          <cell r="J962">
            <v>38528</v>
          </cell>
        </row>
        <row r="963">
          <cell r="A963">
            <v>58731928</v>
          </cell>
          <cell r="B963" t="str">
            <v>МЕЛЬКОМБИНАТ N3</v>
          </cell>
          <cell r="C963" t="str">
            <v>НОВОСИБ-ЗАП  (ЗСБ)</v>
          </cell>
          <cell r="D963">
            <v>28839</v>
          </cell>
          <cell r="E963">
            <v>37939</v>
          </cell>
          <cell r="F963">
            <v>350</v>
          </cell>
          <cell r="G963">
            <v>37363</v>
          </cell>
          <cell r="H963">
            <v>840</v>
          </cell>
          <cell r="I963" t="str">
            <v>деп</v>
          </cell>
          <cell r="J963">
            <v>38486</v>
          </cell>
        </row>
        <row r="964">
          <cell r="A964">
            <v>58731936</v>
          </cell>
          <cell r="B964" t="str">
            <v>МЕЛЬКОМБИНАТ N3</v>
          </cell>
          <cell r="C964" t="str">
            <v>НОВОСИБ-ЗАП  (ЗСБ)</v>
          </cell>
          <cell r="D964">
            <v>28839</v>
          </cell>
          <cell r="E964">
            <v>37939</v>
          </cell>
          <cell r="F964">
            <v>350</v>
          </cell>
          <cell r="G964">
            <v>37363</v>
          </cell>
          <cell r="H964">
            <v>840</v>
          </cell>
          <cell r="I964" t="str">
            <v>деп</v>
          </cell>
          <cell r="J964">
            <v>38486</v>
          </cell>
        </row>
        <row r="965">
          <cell r="A965">
            <v>58731944</v>
          </cell>
          <cell r="B965" t="str">
            <v>МЕЛЬКОМБИНАТ N3</v>
          </cell>
          <cell r="C965" t="str">
            <v>НОВОСИБ-ЗАП  (ЗСБ)</v>
          </cell>
          <cell r="D965">
            <v>28839</v>
          </cell>
          <cell r="E965">
            <v>37939</v>
          </cell>
          <cell r="F965">
            <v>350</v>
          </cell>
          <cell r="G965">
            <v>37363</v>
          </cell>
          <cell r="H965">
            <v>840</v>
          </cell>
          <cell r="I965" t="str">
            <v>деп</v>
          </cell>
          <cell r="J965">
            <v>38486</v>
          </cell>
        </row>
        <row r="966">
          <cell r="A966">
            <v>58731951</v>
          </cell>
          <cell r="B966" t="str">
            <v>МЕЛЬКОМБИНАТ N3</v>
          </cell>
          <cell r="C966" t="str">
            <v>НОВОСИБ-ЗАП  (ЗСБ)</v>
          </cell>
          <cell r="D966">
            <v>28839</v>
          </cell>
          <cell r="E966">
            <v>37939</v>
          </cell>
          <cell r="F966">
            <v>350</v>
          </cell>
          <cell r="G966">
            <v>37363</v>
          </cell>
          <cell r="H966">
            <v>840</v>
          </cell>
          <cell r="I966" t="str">
            <v>деп</v>
          </cell>
          <cell r="J966">
            <v>38486</v>
          </cell>
        </row>
        <row r="967">
          <cell r="A967">
            <v>58732363</v>
          </cell>
          <cell r="B967" t="str">
            <v>МЕЛЬКОМБИНАТ N3</v>
          </cell>
          <cell r="C967" t="str">
            <v>НОВОСИБ-ЗАП  (ЗСБ)</v>
          </cell>
          <cell r="D967">
            <v>28839</v>
          </cell>
          <cell r="E967">
            <v>37980</v>
          </cell>
          <cell r="F967">
            <v>557</v>
          </cell>
          <cell r="G967">
            <v>37398</v>
          </cell>
          <cell r="H967">
            <v>840</v>
          </cell>
          <cell r="I967" t="str">
            <v>деп</v>
          </cell>
          <cell r="J967">
            <v>38528</v>
          </cell>
        </row>
        <row r="968">
          <cell r="A968">
            <v>58732371</v>
          </cell>
          <cell r="B968" t="str">
            <v>МЕЛЬКОМБИНАТ N3</v>
          </cell>
          <cell r="C968" t="str">
            <v>НОВОСИБ-ЗАП  (ЗСБ)</v>
          </cell>
          <cell r="D968">
            <v>28839</v>
          </cell>
          <cell r="E968">
            <v>37980</v>
          </cell>
          <cell r="F968">
            <v>557</v>
          </cell>
          <cell r="G968">
            <v>37398</v>
          </cell>
          <cell r="H968">
            <v>840</v>
          </cell>
          <cell r="I968" t="str">
            <v>деп</v>
          </cell>
          <cell r="J968">
            <v>38528</v>
          </cell>
        </row>
        <row r="969">
          <cell r="A969">
            <v>58732389</v>
          </cell>
          <cell r="B969" t="str">
            <v>МЕЛЬКОМБИНАТ N3</v>
          </cell>
          <cell r="C969" t="str">
            <v>НОВОСИБ-ЗАП  (ЗСБ)</v>
          </cell>
          <cell r="D969">
            <v>28839</v>
          </cell>
          <cell r="E969">
            <v>37980</v>
          </cell>
          <cell r="F969">
            <v>557</v>
          </cell>
          <cell r="G969">
            <v>37398</v>
          </cell>
          <cell r="H969">
            <v>840</v>
          </cell>
          <cell r="I969" t="str">
            <v>деп</v>
          </cell>
          <cell r="J969">
            <v>38528</v>
          </cell>
        </row>
        <row r="970">
          <cell r="A970">
            <v>58732397</v>
          </cell>
          <cell r="B970" t="str">
            <v>МЕЛЬКОМБИНАТ N3</v>
          </cell>
          <cell r="C970" t="str">
            <v>НОВОСИБ-ЗАП  (ЗСБ)</v>
          </cell>
          <cell r="D970">
            <v>28839</v>
          </cell>
          <cell r="E970">
            <v>37980</v>
          </cell>
          <cell r="F970">
            <v>557</v>
          </cell>
          <cell r="G970">
            <v>37398</v>
          </cell>
          <cell r="H970">
            <v>840</v>
          </cell>
          <cell r="I970" t="str">
            <v>деп</v>
          </cell>
          <cell r="J970">
            <v>38528</v>
          </cell>
        </row>
        <row r="971">
          <cell r="B971" t="str">
            <v>МЕЛЬКОМБИНАТ N3 Количество</v>
          </cell>
          <cell r="D971">
            <v>10</v>
          </cell>
        </row>
        <row r="972">
          <cell r="A972">
            <v>53704763</v>
          </cell>
          <cell r="B972" t="str">
            <v>МЕХКОЛ-60 ЦЕНТРСТРОЙМЕХАН.</v>
          </cell>
          <cell r="C972" t="str">
            <v>РУЧЬИ        (ОКТ)</v>
          </cell>
          <cell r="D972">
            <v>32509</v>
          </cell>
          <cell r="E972">
            <v>36948</v>
          </cell>
          <cell r="F972">
            <v>330</v>
          </cell>
          <cell r="H972">
            <v>0</v>
          </cell>
          <cell r="I972" t="str">
            <v>кап</v>
          </cell>
          <cell r="J972">
            <v>38043</v>
          </cell>
        </row>
        <row r="973">
          <cell r="B973" t="str">
            <v>МЕХКОЛ-60 ЦЕНТРСТРОЙМЕХАН. Количество</v>
          </cell>
          <cell r="D973">
            <v>1</v>
          </cell>
        </row>
        <row r="974">
          <cell r="A974">
            <v>53701652</v>
          </cell>
          <cell r="B974" t="str">
            <v>ММЗ СЕРП И МОЛОТ</v>
          </cell>
          <cell r="C974" t="str">
            <v>МОС-ТОВ-КУР  (МСK)</v>
          </cell>
          <cell r="D974">
            <v>33329</v>
          </cell>
          <cell r="E974">
            <v>37764</v>
          </cell>
          <cell r="F974">
            <v>350</v>
          </cell>
          <cell r="H974">
            <v>0</v>
          </cell>
          <cell r="I974" t="str">
            <v>деп</v>
          </cell>
          <cell r="J974">
            <v>38679</v>
          </cell>
        </row>
        <row r="975">
          <cell r="A975">
            <v>58338815</v>
          </cell>
          <cell r="B975" t="str">
            <v>ММЗ СЕРП И МОЛОТ</v>
          </cell>
          <cell r="C975" t="str">
            <v>МОС-ТОВ-КУР  (МСK)</v>
          </cell>
          <cell r="D975">
            <v>33604</v>
          </cell>
          <cell r="E975">
            <v>37764</v>
          </cell>
          <cell r="F975">
            <v>350</v>
          </cell>
          <cell r="H975">
            <v>0</v>
          </cell>
          <cell r="I975" t="str">
            <v>деп</v>
          </cell>
          <cell r="J975">
            <v>38679</v>
          </cell>
        </row>
        <row r="976">
          <cell r="A976">
            <v>58338823</v>
          </cell>
          <cell r="B976" t="str">
            <v>ММЗ СЕРП И МОЛОТ</v>
          </cell>
          <cell r="C976" t="str">
            <v>МОС-ТОВ-КУР  (МСK)</v>
          </cell>
          <cell r="D976">
            <v>33604</v>
          </cell>
          <cell r="E976">
            <v>37764</v>
          </cell>
          <cell r="F976">
            <v>350</v>
          </cell>
          <cell r="H976">
            <v>0</v>
          </cell>
          <cell r="I976" t="str">
            <v>деп</v>
          </cell>
          <cell r="J976">
            <v>38679</v>
          </cell>
        </row>
        <row r="977">
          <cell r="A977">
            <v>58338831</v>
          </cell>
          <cell r="B977" t="str">
            <v>ММЗ СЕРП И МОЛОТ</v>
          </cell>
          <cell r="C977" t="str">
            <v>МОС-ТОВ-КУР  (МСK)</v>
          </cell>
          <cell r="D977">
            <v>33604</v>
          </cell>
          <cell r="E977">
            <v>37764</v>
          </cell>
          <cell r="F977">
            <v>350</v>
          </cell>
          <cell r="H977">
            <v>0</v>
          </cell>
          <cell r="I977" t="str">
            <v>деп</v>
          </cell>
          <cell r="J977">
            <v>38679</v>
          </cell>
        </row>
        <row r="978">
          <cell r="A978">
            <v>58338849</v>
          </cell>
          <cell r="B978" t="str">
            <v>ММЗ СЕРП И МОЛОТ</v>
          </cell>
          <cell r="C978" t="str">
            <v>МОС-ТОВ-КУР  (МСK)</v>
          </cell>
          <cell r="D978">
            <v>33573</v>
          </cell>
          <cell r="E978">
            <v>37764</v>
          </cell>
          <cell r="F978">
            <v>350</v>
          </cell>
          <cell r="H978">
            <v>0</v>
          </cell>
          <cell r="I978" t="str">
            <v>деп</v>
          </cell>
          <cell r="J978">
            <v>38679</v>
          </cell>
        </row>
        <row r="979">
          <cell r="B979" t="str">
            <v>ММЗ СЕРП И МОЛОТ Количество</v>
          </cell>
          <cell r="D979">
            <v>5</v>
          </cell>
        </row>
        <row r="980">
          <cell r="A980">
            <v>53706313</v>
          </cell>
          <cell r="B980" t="str">
            <v>МОСК.ГОС.УНИВ-Т ПУТЕЙ СООБ</v>
          </cell>
          <cell r="C980" t="str">
            <v>ПОДМОСКОВНАЯ (МСK)</v>
          </cell>
          <cell r="D980">
            <v>31856</v>
          </cell>
          <cell r="E980">
            <v>37154</v>
          </cell>
          <cell r="F980">
            <v>350</v>
          </cell>
          <cell r="G980">
            <v>37937</v>
          </cell>
          <cell r="H980">
            <v>886</v>
          </cell>
          <cell r="I980" t="str">
            <v>деп</v>
          </cell>
          <cell r="J980">
            <v>38849</v>
          </cell>
        </row>
        <row r="981">
          <cell r="A981">
            <v>53706321</v>
          </cell>
          <cell r="B981" t="str">
            <v>МОСК.ГОС.УНИВ-Т ПУТЕЙ СООБ</v>
          </cell>
          <cell r="C981" t="str">
            <v>ПОДМОСКОВНАЯ (МСK)</v>
          </cell>
          <cell r="D981">
            <v>32060</v>
          </cell>
          <cell r="E981">
            <v>37771</v>
          </cell>
          <cell r="F981">
            <v>350</v>
          </cell>
          <cell r="H981">
            <v>0</v>
          </cell>
          <cell r="I981" t="str">
            <v>кап</v>
          </cell>
          <cell r="J981">
            <v>38686</v>
          </cell>
        </row>
        <row r="982">
          <cell r="A982">
            <v>53706339</v>
          </cell>
          <cell r="B982" t="str">
            <v>МОСК.ГОС.УНИВ-Т ПУТЕЙ СООБ</v>
          </cell>
          <cell r="C982" t="str">
            <v>ПОДМОСКОВНАЯ (МСK)</v>
          </cell>
          <cell r="D982">
            <v>32091</v>
          </cell>
          <cell r="E982">
            <v>37554</v>
          </cell>
          <cell r="F982">
            <v>350</v>
          </cell>
          <cell r="H982">
            <v>0</v>
          </cell>
          <cell r="I982" t="str">
            <v>кап</v>
          </cell>
          <cell r="J982">
            <v>38467</v>
          </cell>
        </row>
        <row r="983">
          <cell r="A983">
            <v>53706354</v>
          </cell>
          <cell r="B983" t="str">
            <v>МОСК.ГОС.УНИВ-Т ПУТЕЙ СООБ</v>
          </cell>
          <cell r="C983" t="str">
            <v>ПОДМОСКОВНАЯ (МСK)</v>
          </cell>
          <cell r="D983">
            <v>32065</v>
          </cell>
          <cell r="E983">
            <v>37841</v>
          </cell>
          <cell r="F983">
            <v>350</v>
          </cell>
          <cell r="H983">
            <v>0</v>
          </cell>
          <cell r="I983" t="str">
            <v>кап</v>
          </cell>
          <cell r="J983">
            <v>38756</v>
          </cell>
        </row>
        <row r="984">
          <cell r="A984">
            <v>53706362</v>
          </cell>
          <cell r="B984" t="str">
            <v>МОСК.ГОС.УНИВ-Т ПУТЕЙ СООБ</v>
          </cell>
          <cell r="C984" t="str">
            <v>ПОДМОСКОВНАЯ (МСK)</v>
          </cell>
          <cell r="D984">
            <v>31837</v>
          </cell>
          <cell r="E984">
            <v>37670</v>
          </cell>
          <cell r="F984">
            <v>350</v>
          </cell>
          <cell r="H984">
            <v>0</v>
          </cell>
          <cell r="I984" t="str">
            <v>кап</v>
          </cell>
          <cell r="J984">
            <v>38582</v>
          </cell>
        </row>
        <row r="985">
          <cell r="A985">
            <v>53706370</v>
          </cell>
          <cell r="B985" t="str">
            <v>МОСК.ГОС.УНИВ-Т ПУТЕЙ СООБ</v>
          </cell>
          <cell r="C985" t="str">
            <v>ПОДМОСКОВНАЯ (МСK)</v>
          </cell>
          <cell r="D985">
            <v>31837</v>
          </cell>
          <cell r="E985">
            <v>37737</v>
          </cell>
          <cell r="F985">
            <v>350</v>
          </cell>
          <cell r="H985">
            <v>0</v>
          </cell>
          <cell r="I985" t="str">
            <v>кап</v>
          </cell>
          <cell r="J985">
            <v>38651</v>
          </cell>
        </row>
        <row r="986">
          <cell r="A986">
            <v>53706388</v>
          </cell>
          <cell r="B986" t="str">
            <v>МОСК.ГОС.УНИВ-Т ПУТЕЙ СООБ</v>
          </cell>
          <cell r="C986" t="str">
            <v>ПОДМОСКОВНАЯ (МСK)</v>
          </cell>
          <cell r="D986">
            <v>31837</v>
          </cell>
          <cell r="E986">
            <v>37111</v>
          </cell>
          <cell r="F986">
            <v>350</v>
          </cell>
          <cell r="G986">
            <v>37901</v>
          </cell>
          <cell r="H986">
            <v>886</v>
          </cell>
          <cell r="I986" t="str">
            <v>деп</v>
          </cell>
          <cell r="J986">
            <v>38814</v>
          </cell>
        </row>
        <row r="987">
          <cell r="A987">
            <v>53706404</v>
          </cell>
          <cell r="B987" t="str">
            <v>МОСК.ГОС.УНИВ-Т ПУТЕЙ СООБ</v>
          </cell>
          <cell r="C987" t="str">
            <v>ПОДМОСКОВНАЯ (МСK)</v>
          </cell>
          <cell r="D987">
            <v>31868</v>
          </cell>
          <cell r="E987">
            <v>37804</v>
          </cell>
          <cell r="F987">
            <v>350</v>
          </cell>
          <cell r="H987">
            <v>0</v>
          </cell>
          <cell r="I987" t="str">
            <v>кап</v>
          </cell>
          <cell r="J987">
            <v>38719</v>
          </cell>
        </row>
        <row r="988">
          <cell r="A988">
            <v>58740002</v>
          </cell>
          <cell r="B988" t="str">
            <v>МОСК.ГОС.УНИВ-Т ПУТЕЙ СООБ</v>
          </cell>
          <cell r="C988" t="str">
            <v>ПОДМОСКОВНАЯ (МСK)</v>
          </cell>
          <cell r="D988">
            <v>32065</v>
          </cell>
          <cell r="E988">
            <v>37841</v>
          </cell>
          <cell r="F988">
            <v>350</v>
          </cell>
          <cell r="H988">
            <v>0</v>
          </cell>
          <cell r="I988" t="str">
            <v>кап</v>
          </cell>
          <cell r="J988">
            <v>38756</v>
          </cell>
        </row>
        <row r="989">
          <cell r="A989">
            <v>58740010</v>
          </cell>
          <cell r="B989" t="str">
            <v>МОСК.ГОС.УНИВ-Т ПУТЕЙ СООБ</v>
          </cell>
          <cell r="C989" t="str">
            <v>ПОДМОСКОВНАЯ (МСK)</v>
          </cell>
          <cell r="D989">
            <v>32051</v>
          </cell>
          <cell r="E989">
            <v>37841</v>
          </cell>
          <cell r="F989">
            <v>350</v>
          </cell>
          <cell r="H989">
            <v>0</v>
          </cell>
          <cell r="I989" t="str">
            <v>кап</v>
          </cell>
          <cell r="J989">
            <v>38756</v>
          </cell>
        </row>
        <row r="990">
          <cell r="A990">
            <v>58740028</v>
          </cell>
          <cell r="B990" t="str">
            <v>МОСК.ГОС.УНИВ-Т ПУТЕЙ СООБ</v>
          </cell>
          <cell r="C990" t="str">
            <v>ПОДМОСКОВНАЯ (МСK)</v>
          </cell>
          <cell r="D990">
            <v>32065</v>
          </cell>
          <cell r="E990">
            <v>37841</v>
          </cell>
          <cell r="F990">
            <v>350</v>
          </cell>
          <cell r="H990">
            <v>0</v>
          </cell>
          <cell r="I990" t="str">
            <v>кап</v>
          </cell>
          <cell r="J990">
            <v>38756</v>
          </cell>
        </row>
        <row r="991">
          <cell r="A991">
            <v>58740036</v>
          </cell>
          <cell r="B991" t="str">
            <v>МОСК.ГОС.УНИВ-Т ПУТЕЙ СООБ</v>
          </cell>
          <cell r="C991" t="str">
            <v>ПОДМОСКОВНАЯ (МСK)</v>
          </cell>
          <cell r="D991">
            <v>32065</v>
          </cell>
          <cell r="E991">
            <v>37841</v>
          </cell>
          <cell r="F991">
            <v>350</v>
          </cell>
          <cell r="H991">
            <v>0</v>
          </cell>
          <cell r="I991" t="str">
            <v>кап</v>
          </cell>
          <cell r="J991">
            <v>38756</v>
          </cell>
        </row>
        <row r="992">
          <cell r="A992">
            <v>58740044</v>
          </cell>
          <cell r="B992" t="str">
            <v>МОСК.ГОС.УНИВ-Т ПУТЕЙ СООБ</v>
          </cell>
          <cell r="C992" t="str">
            <v>ПОДМОСКОВНАЯ (МСK)</v>
          </cell>
          <cell r="D992">
            <v>31856</v>
          </cell>
          <cell r="E992">
            <v>37154</v>
          </cell>
          <cell r="F992">
            <v>350</v>
          </cell>
          <cell r="G992">
            <v>37937</v>
          </cell>
          <cell r="H992">
            <v>886</v>
          </cell>
          <cell r="I992" t="str">
            <v>деп</v>
          </cell>
          <cell r="J992">
            <v>38849</v>
          </cell>
        </row>
        <row r="993">
          <cell r="A993">
            <v>58740051</v>
          </cell>
          <cell r="B993" t="str">
            <v>МОСК.ГОС.УНИВ-Т ПУТЕЙ СООБ</v>
          </cell>
          <cell r="C993" t="str">
            <v>ПОДМОСКОВНАЯ (МСK)</v>
          </cell>
          <cell r="D993">
            <v>31856</v>
          </cell>
          <cell r="E993">
            <v>37154</v>
          </cell>
          <cell r="F993">
            <v>350</v>
          </cell>
          <cell r="G993">
            <v>37937</v>
          </cell>
          <cell r="H993">
            <v>886</v>
          </cell>
          <cell r="I993" t="str">
            <v>деп</v>
          </cell>
          <cell r="J993">
            <v>38849</v>
          </cell>
        </row>
        <row r="994">
          <cell r="A994">
            <v>58740069</v>
          </cell>
          <cell r="B994" t="str">
            <v>МОСК.ГОС.УНИВ-Т ПУТЕЙ СООБ</v>
          </cell>
          <cell r="C994" t="str">
            <v>ПОДМОСКОВНАЯ (МСK)</v>
          </cell>
          <cell r="D994">
            <v>31856</v>
          </cell>
          <cell r="E994">
            <v>37154</v>
          </cell>
          <cell r="F994">
            <v>350</v>
          </cell>
          <cell r="G994">
            <v>37937</v>
          </cell>
          <cell r="H994">
            <v>886</v>
          </cell>
          <cell r="I994" t="str">
            <v>деп</v>
          </cell>
          <cell r="J994">
            <v>38849</v>
          </cell>
        </row>
        <row r="995">
          <cell r="A995">
            <v>58740077</v>
          </cell>
          <cell r="B995" t="str">
            <v>МОСК.ГОС.УНИВ-Т ПУТЕЙ СООБ</v>
          </cell>
          <cell r="C995" t="str">
            <v>ПОДМОСКОВНАЯ (МСK)</v>
          </cell>
          <cell r="D995">
            <v>31856</v>
          </cell>
          <cell r="E995">
            <v>37154</v>
          </cell>
          <cell r="F995">
            <v>350</v>
          </cell>
          <cell r="G995">
            <v>37937</v>
          </cell>
          <cell r="H995">
            <v>886</v>
          </cell>
          <cell r="I995" t="str">
            <v>деп</v>
          </cell>
          <cell r="J995">
            <v>38849</v>
          </cell>
        </row>
        <row r="996">
          <cell r="A996">
            <v>58740085</v>
          </cell>
          <cell r="B996" t="str">
            <v>МОСК.ГОС.УНИВ-Т ПУТЕЙ СООБ</v>
          </cell>
          <cell r="C996" t="str">
            <v>ПОДМОСКОВНАЯ (МСK)</v>
          </cell>
          <cell r="D996">
            <v>31856</v>
          </cell>
          <cell r="E996">
            <v>37771</v>
          </cell>
          <cell r="F996">
            <v>350</v>
          </cell>
          <cell r="H996">
            <v>0</v>
          </cell>
          <cell r="I996" t="str">
            <v>деп</v>
          </cell>
          <cell r="J996">
            <v>38686</v>
          </cell>
        </row>
        <row r="997">
          <cell r="A997">
            <v>58740101</v>
          </cell>
          <cell r="B997" t="str">
            <v>МОСК.ГОС.УНИВ-Т ПУТЕЙ СООБ</v>
          </cell>
          <cell r="C997" t="str">
            <v>ПОДМОСКОВНАЯ (МСK)</v>
          </cell>
          <cell r="D997">
            <v>31856</v>
          </cell>
          <cell r="E997">
            <v>37771</v>
          </cell>
          <cell r="F997">
            <v>350</v>
          </cell>
          <cell r="H997">
            <v>0</v>
          </cell>
          <cell r="I997" t="str">
            <v>деп</v>
          </cell>
          <cell r="J997">
            <v>38686</v>
          </cell>
        </row>
        <row r="998">
          <cell r="A998">
            <v>58740119</v>
          </cell>
          <cell r="B998" t="str">
            <v>МОСК.ГОС.УНИВ-Т ПУТЕЙ СООБ</v>
          </cell>
          <cell r="C998" t="str">
            <v>ПОДМОСКОВНАЯ (МСK)</v>
          </cell>
          <cell r="D998">
            <v>31856</v>
          </cell>
          <cell r="E998">
            <v>37771</v>
          </cell>
          <cell r="F998">
            <v>350</v>
          </cell>
          <cell r="H998">
            <v>0</v>
          </cell>
          <cell r="I998" t="str">
            <v>деп</v>
          </cell>
          <cell r="J998">
            <v>38686</v>
          </cell>
        </row>
        <row r="999">
          <cell r="A999">
            <v>58740127</v>
          </cell>
          <cell r="B999" t="str">
            <v>МОСК.ГОС.УНИВ-Т ПУТЕЙ СООБ</v>
          </cell>
          <cell r="C999" t="str">
            <v>ПОДМОСКОВНАЯ (МСK)</v>
          </cell>
          <cell r="D999">
            <v>31856</v>
          </cell>
          <cell r="E999">
            <v>37771</v>
          </cell>
          <cell r="F999">
            <v>350</v>
          </cell>
          <cell r="H999">
            <v>0</v>
          </cell>
          <cell r="I999" t="str">
            <v>деп</v>
          </cell>
          <cell r="J999">
            <v>38686</v>
          </cell>
        </row>
        <row r="1000">
          <cell r="A1000">
            <v>58740135</v>
          </cell>
          <cell r="B1000" t="str">
            <v>МОСК.ГОС.УНИВ-Т ПУТЕЙ СООБ</v>
          </cell>
          <cell r="C1000" t="str">
            <v>ПОДМОСКОВНАЯ (МСK)</v>
          </cell>
          <cell r="D1000">
            <v>32082</v>
          </cell>
          <cell r="E1000">
            <v>37554</v>
          </cell>
          <cell r="F1000">
            <v>350</v>
          </cell>
          <cell r="H1000">
            <v>0</v>
          </cell>
          <cell r="I1000" t="str">
            <v>кап</v>
          </cell>
          <cell r="J1000">
            <v>38467</v>
          </cell>
        </row>
        <row r="1001">
          <cell r="A1001">
            <v>58740143</v>
          </cell>
          <cell r="B1001" t="str">
            <v>МОСК.ГОС.УНИВ-Т ПУТЕЙ СООБ</v>
          </cell>
          <cell r="C1001" t="str">
            <v>ПОДМОСКОВНАЯ (МСK)</v>
          </cell>
          <cell r="D1001">
            <v>32082</v>
          </cell>
          <cell r="E1001">
            <v>37554</v>
          </cell>
          <cell r="F1001">
            <v>350</v>
          </cell>
          <cell r="H1001">
            <v>0</v>
          </cell>
          <cell r="J1001">
            <v>38467</v>
          </cell>
        </row>
        <row r="1002">
          <cell r="A1002">
            <v>58740150</v>
          </cell>
          <cell r="B1002" t="str">
            <v>МОСК.ГОС.УНИВ-Т ПУТЕЙ СООБ</v>
          </cell>
          <cell r="C1002" t="str">
            <v>ПОДМОСКОВНАЯ (МСK)</v>
          </cell>
          <cell r="D1002">
            <v>32082</v>
          </cell>
          <cell r="E1002">
            <v>37554</v>
          </cell>
          <cell r="F1002">
            <v>350</v>
          </cell>
          <cell r="H1002">
            <v>0</v>
          </cell>
          <cell r="J1002">
            <v>38467</v>
          </cell>
        </row>
        <row r="1003">
          <cell r="A1003">
            <v>58740168</v>
          </cell>
          <cell r="B1003" t="str">
            <v>МОСК.ГОС.УНИВ-Т ПУТЕЙ СООБ</v>
          </cell>
          <cell r="C1003" t="str">
            <v>ПОДМОСКОВНАЯ (МСK)</v>
          </cell>
          <cell r="D1003">
            <v>32082</v>
          </cell>
          <cell r="E1003">
            <v>37554</v>
          </cell>
          <cell r="F1003">
            <v>350</v>
          </cell>
          <cell r="H1003">
            <v>0</v>
          </cell>
          <cell r="J1003">
            <v>38467</v>
          </cell>
        </row>
        <row r="1004">
          <cell r="A1004">
            <v>58740259</v>
          </cell>
          <cell r="B1004" t="str">
            <v>МОСК.ГОС.УНИВ-Т ПУТЕЙ СООБ</v>
          </cell>
          <cell r="C1004" t="str">
            <v>ПОДМОСКОВНАЯ (МСK)</v>
          </cell>
          <cell r="D1004">
            <v>31837</v>
          </cell>
          <cell r="E1004">
            <v>37670</v>
          </cell>
          <cell r="F1004">
            <v>350</v>
          </cell>
          <cell r="H1004">
            <v>0</v>
          </cell>
          <cell r="I1004" t="str">
            <v>кап</v>
          </cell>
          <cell r="J1004">
            <v>38582</v>
          </cell>
        </row>
        <row r="1005">
          <cell r="A1005">
            <v>58740267</v>
          </cell>
          <cell r="B1005" t="str">
            <v>МОСК.ГОС.УНИВ-Т ПУТЕЙ СООБ</v>
          </cell>
          <cell r="C1005" t="str">
            <v>ПОДМОСКОВНАЯ (МСK)</v>
          </cell>
          <cell r="D1005">
            <v>31837</v>
          </cell>
          <cell r="E1005">
            <v>37670</v>
          </cell>
          <cell r="F1005">
            <v>350</v>
          </cell>
          <cell r="H1005">
            <v>0</v>
          </cell>
          <cell r="I1005" t="str">
            <v>кап</v>
          </cell>
          <cell r="J1005">
            <v>38582</v>
          </cell>
        </row>
        <row r="1006">
          <cell r="A1006">
            <v>58740275</v>
          </cell>
          <cell r="B1006" t="str">
            <v>МОСК.ГОС.УНИВ-Т ПУТЕЙ СООБ</v>
          </cell>
          <cell r="C1006" t="str">
            <v>ПОДМОСКОВНАЯ (МСK)</v>
          </cell>
          <cell r="D1006">
            <v>31837</v>
          </cell>
          <cell r="E1006">
            <v>37670</v>
          </cell>
          <cell r="F1006">
            <v>350</v>
          </cell>
          <cell r="H1006">
            <v>0</v>
          </cell>
          <cell r="I1006" t="str">
            <v>кап</v>
          </cell>
          <cell r="J1006">
            <v>38582</v>
          </cell>
        </row>
        <row r="1007">
          <cell r="A1007">
            <v>58740283</v>
          </cell>
          <cell r="B1007" t="str">
            <v>МОСК.ГОС.УНИВ-Т ПУТЕЙ СООБ</v>
          </cell>
          <cell r="C1007" t="str">
            <v>ПОДМОСКОВНАЯ (МСK)</v>
          </cell>
          <cell r="D1007">
            <v>31837</v>
          </cell>
          <cell r="E1007">
            <v>37670</v>
          </cell>
          <cell r="F1007">
            <v>350</v>
          </cell>
          <cell r="H1007">
            <v>0</v>
          </cell>
          <cell r="I1007" t="str">
            <v>кап</v>
          </cell>
          <cell r="J1007">
            <v>38582</v>
          </cell>
        </row>
        <row r="1008">
          <cell r="A1008">
            <v>58740309</v>
          </cell>
          <cell r="B1008" t="str">
            <v>МОСК.ГОС.УНИВ-Т ПУТЕЙ СООБ</v>
          </cell>
          <cell r="C1008" t="str">
            <v>ПОДМОСКОВНАЯ (МСK)</v>
          </cell>
          <cell r="D1008">
            <v>31837</v>
          </cell>
          <cell r="E1008">
            <v>37737</v>
          </cell>
          <cell r="F1008">
            <v>350</v>
          </cell>
          <cell r="H1008">
            <v>0</v>
          </cell>
          <cell r="I1008" t="str">
            <v>кап</v>
          </cell>
          <cell r="J1008">
            <v>38651</v>
          </cell>
        </row>
        <row r="1009">
          <cell r="A1009">
            <v>58740317</v>
          </cell>
          <cell r="B1009" t="str">
            <v>МОСК.ГОС.УНИВ-Т ПУТЕЙ СООБ</v>
          </cell>
          <cell r="C1009" t="str">
            <v>ПОДМОСКОВНАЯ (МСK)</v>
          </cell>
          <cell r="D1009">
            <v>31837</v>
          </cell>
          <cell r="E1009">
            <v>37737</v>
          </cell>
          <cell r="F1009">
            <v>350</v>
          </cell>
          <cell r="H1009">
            <v>0</v>
          </cell>
          <cell r="I1009" t="str">
            <v>кап</v>
          </cell>
          <cell r="J1009">
            <v>38651</v>
          </cell>
        </row>
        <row r="1010">
          <cell r="A1010">
            <v>58740325</v>
          </cell>
          <cell r="B1010" t="str">
            <v>МОСК.ГОС.УНИВ-Т ПУТЕЙ СООБ</v>
          </cell>
          <cell r="C1010" t="str">
            <v>ПОДМОСКОВНАЯ (МСK)</v>
          </cell>
          <cell r="D1010">
            <v>31837</v>
          </cell>
          <cell r="E1010">
            <v>37737</v>
          </cell>
          <cell r="F1010">
            <v>350</v>
          </cell>
          <cell r="H1010">
            <v>0</v>
          </cell>
          <cell r="I1010" t="str">
            <v>кап</v>
          </cell>
          <cell r="J1010">
            <v>38651</v>
          </cell>
        </row>
        <row r="1011">
          <cell r="A1011">
            <v>58740333</v>
          </cell>
          <cell r="B1011" t="str">
            <v>МОСК.ГОС.УНИВ-Т ПУТЕЙ СООБ</v>
          </cell>
          <cell r="C1011" t="str">
            <v>ПОДМОСКОВНАЯ (МСK)</v>
          </cell>
          <cell r="D1011">
            <v>31837</v>
          </cell>
          <cell r="E1011">
            <v>37737</v>
          </cell>
          <cell r="F1011">
            <v>350</v>
          </cell>
          <cell r="H1011">
            <v>0</v>
          </cell>
          <cell r="I1011" t="str">
            <v>кап</v>
          </cell>
          <cell r="J1011">
            <v>38651</v>
          </cell>
        </row>
        <row r="1012">
          <cell r="A1012">
            <v>58740341</v>
          </cell>
          <cell r="B1012" t="str">
            <v>МОСК.ГОС.УНИВ-Т ПУТЕЙ СООБ</v>
          </cell>
          <cell r="C1012" t="str">
            <v>ПОДМОСКОВНАЯ (МСK)</v>
          </cell>
          <cell r="D1012">
            <v>31837</v>
          </cell>
          <cell r="E1012">
            <v>37111</v>
          </cell>
          <cell r="F1012">
            <v>350</v>
          </cell>
          <cell r="G1012">
            <v>37901</v>
          </cell>
          <cell r="H1012">
            <v>886</v>
          </cell>
          <cell r="I1012" t="str">
            <v>деп</v>
          </cell>
          <cell r="J1012">
            <v>38814</v>
          </cell>
        </row>
        <row r="1013">
          <cell r="A1013">
            <v>58740358</v>
          </cell>
          <cell r="B1013" t="str">
            <v>МОСК.ГОС.УНИВ-Т ПУТЕЙ СООБ</v>
          </cell>
          <cell r="C1013" t="str">
            <v>ПОДМОСКОВНАЯ (МСK)</v>
          </cell>
          <cell r="D1013">
            <v>31837</v>
          </cell>
          <cell r="E1013">
            <v>37111</v>
          </cell>
          <cell r="F1013">
            <v>350</v>
          </cell>
          <cell r="G1013">
            <v>37901</v>
          </cell>
          <cell r="H1013">
            <v>886</v>
          </cell>
          <cell r="I1013" t="str">
            <v>деп</v>
          </cell>
          <cell r="J1013">
            <v>38814</v>
          </cell>
        </row>
        <row r="1014">
          <cell r="A1014">
            <v>58740366</v>
          </cell>
          <cell r="B1014" t="str">
            <v>МОСК.ГОС.УНИВ-Т ПУТЕЙ СООБ</v>
          </cell>
          <cell r="C1014" t="str">
            <v>ПОДМОСКОВНАЯ (МСK)</v>
          </cell>
          <cell r="D1014">
            <v>31837</v>
          </cell>
          <cell r="E1014">
            <v>37111</v>
          </cell>
          <cell r="F1014">
            <v>350</v>
          </cell>
          <cell r="G1014">
            <v>37901</v>
          </cell>
          <cell r="H1014">
            <v>886</v>
          </cell>
          <cell r="I1014" t="str">
            <v>деп</v>
          </cell>
          <cell r="J1014">
            <v>38814</v>
          </cell>
        </row>
        <row r="1015">
          <cell r="A1015">
            <v>58740374</v>
          </cell>
          <cell r="B1015" t="str">
            <v>МОСК.ГОС.УНИВ-Т ПУТЕЙ СООБ</v>
          </cell>
          <cell r="C1015" t="str">
            <v>ПОДМОСКОВНАЯ (МСK)</v>
          </cell>
          <cell r="D1015">
            <v>31837</v>
          </cell>
          <cell r="E1015">
            <v>37111</v>
          </cell>
          <cell r="F1015">
            <v>350</v>
          </cell>
          <cell r="G1015">
            <v>37901</v>
          </cell>
          <cell r="H1015">
            <v>886</v>
          </cell>
          <cell r="I1015" t="str">
            <v>деп</v>
          </cell>
          <cell r="J1015">
            <v>38814</v>
          </cell>
        </row>
        <row r="1016">
          <cell r="A1016">
            <v>58740382</v>
          </cell>
          <cell r="B1016" t="str">
            <v>МОСК.ГОС.УНИВ-Т ПУТЕЙ СООБ</v>
          </cell>
          <cell r="C1016" t="str">
            <v>ПОДМОСКОВНАЯ (МСK)</v>
          </cell>
          <cell r="D1016">
            <v>31868</v>
          </cell>
          <cell r="E1016">
            <v>37804</v>
          </cell>
          <cell r="F1016">
            <v>350</v>
          </cell>
          <cell r="H1016">
            <v>0</v>
          </cell>
          <cell r="I1016" t="str">
            <v>кап</v>
          </cell>
          <cell r="J1016">
            <v>38719</v>
          </cell>
        </row>
        <row r="1017">
          <cell r="A1017">
            <v>58740408</v>
          </cell>
          <cell r="B1017" t="str">
            <v>МОСК.ГОС.УНИВ-Т ПУТЕЙ СООБ</v>
          </cell>
          <cell r="C1017" t="str">
            <v>ПОДМОСКОВНАЯ (МСK)</v>
          </cell>
          <cell r="D1017">
            <v>31868</v>
          </cell>
          <cell r="E1017">
            <v>37804</v>
          </cell>
          <cell r="F1017">
            <v>350</v>
          </cell>
          <cell r="H1017">
            <v>0</v>
          </cell>
          <cell r="I1017" t="str">
            <v>кап</v>
          </cell>
          <cell r="J1017">
            <v>38719</v>
          </cell>
        </row>
        <row r="1018">
          <cell r="A1018">
            <v>58740416</v>
          </cell>
          <cell r="B1018" t="str">
            <v>МОСК.ГОС.УНИВ-Т ПУТЕЙ СООБ</v>
          </cell>
          <cell r="C1018" t="str">
            <v>ПОДМОСКОВНАЯ (МСK)</v>
          </cell>
          <cell r="D1018">
            <v>31868</v>
          </cell>
          <cell r="E1018">
            <v>37804</v>
          </cell>
          <cell r="F1018">
            <v>350</v>
          </cell>
          <cell r="H1018">
            <v>0</v>
          </cell>
          <cell r="I1018" t="str">
            <v>кап</v>
          </cell>
          <cell r="J1018">
            <v>38719</v>
          </cell>
        </row>
        <row r="1019">
          <cell r="A1019">
            <v>58740424</v>
          </cell>
          <cell r="B1019" t="str">
            <v>МОСК.ГОС.УНИВ-Т ПУТЕЙ СООБ</v>
          </cell>
          <cell r="C1019" t="str">
            <v>ПОДМОСКОВНАЯ (МСK)</v>
          </cell>
          <cell r="D1019">
            <v>31868</v>
          </cell>
          <cell r="E1019">
            <v>37804</v>
          </cell>
          <cell r="F1019">
            <v>350</v>
          </cell>
          <cell r="H1019">
            <v>0</v>
          </cell>
          <cell r="I1019" t="str">
            <v>кап</v>
          </cell>
          <cell r="J1019">
            <v>38719</v>
          </cell>
        </row>
        <row r="1020">
          <cell r="B1020" t="str">
            <v>МОСК.ГОС.УНИВ-Т ПУТЕЙ СООБ Количество</v>
          </cell>
          <cell r="D1020">
            <v>40</v>
          </cell>
        </row>
        <row r="1021">
          <cell r="A1021">
            <v>53700977</v>
          </cell>
          <cell r="B1021" t="str">
            <v>МОСТ</v>
          </cell>
          <cell r="C1021" t="str">
            <v>ЛИСИЙ НОС    (ОКТ)</v>
          </cell>
          <cell r="D1021">
            <v>33387</v>
          </cell>
          <cell r="E1021">
            <v>36642</v>
          </cell>
          <cell r="F1021">
            <v>332</v>
          </cell>
          <cell r="G1021">
            <v>37249</v>
          </cell>
          <cell r="H1021">
            <v>341</v>
          </cell>
          <cell r="I1021" t="str">
            <v>деп</v>
          </cell>
          <cell r="J1021">
            <v>38345</v>
          </cell>
        </row>
        <row r="1022">
          <cell r="A1022">
            <v>58340027</v>
          </cell>
          <cell r="B1022" t="str">
            <v>МОСТ</v>
          </cell>
          <cell r="C1022" t="str">
            <v>УЛАН-УДЭ     (ВСБ)</v>
          </cell>
          <cell r="D1022">
            <v>31478</v>
          </cell>
          <cell r="E1022">
            <v>37383</v>
          </cell>
          <cell r="F1022">
            <v>653</v>
          </cell>
          <cell r="G1022">
            <v>35891</v>
          </cell>
          <cell r="I1022" t="str">
            <v>деп</v>
          </cell>
          <cell r="J1022">
            <v>38114</v>
          </cell>
        </row>
        <row r="1023">
          <cell r="B1023" t="str">
            <v>МОСТ Количество</v>
          </cell>
          <cell r="D1023">
            <v>2</v>
          </cell>
        </row>
        <row r="1024">
          <cell r="A1024">
            <v>53702882</v>
          </cell>
          <cell r="B1024" t="str">
            <v>МОСЭНЕРГОСТРОЙ УЖТ</v>
          </cell>
          <cell r="C1024" t="str">
            <v>КР.СТРОИТЕЛЬ (МСK)</v>
          </cell>
          <cell r="D1024">
            <v>26451</v>
          </cell>
          <cell r="E1024">
            <v>37272</v>
          </cell>
          <cell r="F1024">
            <v>350</v>
          </cell>
          <cell r="G1024">
            <v>34310</v>
          </cell>
          <cell r="H1024">
            <v>0</v>
          </cell>
          <cell r="I1024" t="str">
            <v>деп</v>
          </cell>
          <cell r="J1024">
            <v>38002</v>
          </cell>
        </row>
        <row r="1025">
          <cell r="A1025">
            <v>53702908</v>
          </cell>
          <cell r="B1025" t="str">
            <v>МОСЭНЕРГОСТРОЙ УЖТ</v>
          </cell>
          <cell r="C1025" t="str">
            <v>КР.СТРОИТЕЛЬ (МСK)</v>
          </cell>
          <cell r="D1025">
            <v>26299</v>
          </cell>
          <cell r="E1025">
            <v>37508</v>
          </cell>
          <cell r="F1025">
            <v>350</v>
          </cell>
          <cell r="G1025">
            <v>34693</v>
          </cell>
          <cell r="H1025">
            <v>0</v>
          </cell>
          <cell r="I1025" t="str">
            <v>деп</v>
          </cell>
          <cell r="J1025">
            <v>38239</v>
          </cell>
        </row>
        <row r="1026">
          <cell r="A1026">
            <v>53702916</v>
          </cell>
          <cell r="B1026" t="str">
            <v>МОСЭНЕРГОСТРОЙ УЖТ</v>
          </cell>
          <cell r="C1026" t="str">
            <v>КР.СТРОИТЕЛЬ (МСK)</v>
          </cell>
          <cell r="D1026">
            <v>26299</v>
          </cell>
          <cell r="E1026">
            <v>37211</v>
          </cell>
          <cell r="F1026">
            <v>350</v>
          </cell>
          <cell r="G1026">
            <v>34673</v>
          </cell>
          <cell r="H1026">
            <v>0</v>
          </cell>
          <cell r="I1026" t="str">
            <v>деп</v>
          </cell>
          <cell r="J1026">
            <v>37941</v>
          </cell>
        </row>
        <row r="1027">
          <cell r="A1027">
            <v>53702924</v>
          </cell>
          <cell r="B1027" t="str">
            <v>МОСЭНЕРГОСТРОЙ УЖТ</v>
          </cell>
          <cell r="C1027" t="str">
            <v>КР.СТРОИТЕЛЬ (МСK)</v>
          </cell>
          <cell r="D1027">
            <v>26299</v>
          </cell>
          <cell r="E1027">
            <v>37985</v>
          </cell>
          <cell r="F1027">
            <v>350</v>
          </cell>
          <cell r="G1027">
            <v>34614</v>
          </cell>
          <cell r="H1027">
            <v>0</v>
          </cell>
          <cell r="I1027" t="str">
            <v>деп</v>
          </cell>
          <cell r="J1027">
            <v>38716</v>
          </cell>
        </row>
        <row r="1028">
          <cell r="A1028">
            <v>53704433</v>
          </cell>
          <cell r="B1028" t="str">
            <v>МОСЭНЕРГОСТРОЙ УЖТ</v>
          </cell>
          <cell r="C1028" t="str">
            <v>КР.СТРОИТЕЛЬ (МСK)</v>
          </cell>
          <cell r="D1028">
            <v>29952</v>
          </cell>
          <cell r="E1028">
            <v>37869</v>
          </cell>
          <cell r="F1028">
            <v>350</v>
          </cell>
          <cell r="G1028">
            <v>32417</v>
          </cell>
          <cell r="H1028">
            <v>0</v>
          </cell>
          <cell r="I1028" t="str">
            <v>деп</v>
          </cell>
          <cell r="J1028">
            <v>38600</v>
          </cell>
        </row>
        <row r="1029">
          <cell r="A1029">
            <v>53704441</v>
          </cell>
          <cell r="B1029" t="str">
            <v>МОСЭНЕРГОСТРОЙ УЖТ</v>
          </cell>
          <cell r="C1029" t="str">
            <v>КР.СТРОИТЕЛЬ (МСK)</v>
          </cell>
          <cell r="D1029">
            <v>27760</v>
          </cell>
          <cell r="E1029">
            <v>36857</v>
          </cell>
          <cell r="F1029">
            <v>350</v>
          </cell>
          <cell r="G1029">
            <v>32417</v>
          </cell>
          <cell r="I1029" t="str">
            <v>деп</v>
          </cell>
          <cell r="J1029">
            <v>37952</v>
          </cell>
        </row>
        <row r="1030">
          <cell r="B1030" t="str">
            <v>МОСЭНЕРГОСТРОЙ УЖТ Количество</v>
          </cell>
          <cell r="D1030">
            <v>6</v>
          </cell>
        </row>
        <row r="1031">
          <cell r="A1031">
            <v>53402004</v>
          </cell>
          <cell r="B1031" t="str">
            <v>МОТО КЛУБ СОЮЗ</v>
          </cell>
          <cell r="C1031" t="str">
            <v>РОСТОВ-ЗАПАД (СКВ)</v>
          </cell>
          <cell r="D1031">
            <v>30590</v>
          </cell>
          <cell r="E1031">
            <v>37845</v>
          </cell>
          <cell r="F1031">
            <v>330</v>
          </cell>
          <cell r="G1031">
            <v>35330</v>
          </cell>
          <cell r="H1031">
            <v>490</v>
          </cell>
          <cell r="I1031" t="str">
            <v>деп</v>
          </cell>
          <cell r="J1031">
            <v>38576</v>
          </cell>
        </row>
        <row r="1032">
          <cell r="B1032" t="str">
            <v>МОТО КЛУБ СОЮЗ Количество</v>
          </cell>
          <cell r="D1032">
            <v>1</v>
          </cell>
        </row>
        <row r="1033">
          <cell r="A1033">
            <v>53706214</v>
          </cell>
          <cell r="B1033" t="str">
            <v>МЧ-3</v>
          </cell>
          <cell r="C1033" t="str">
            <v>КРАСНОЯРСК   (КРС)</v>
          </cell>
          <cell r="D1033">
            <v>31564</v>
          </cell>
          <cell r="E1033">
            <v>37454</v>
          </cell>
          <cell r="F1033">
            <v>633</v>
          </cell>
          <cell r="H1033">
            <v>0</v>
          </cell>
          <cell r="I1033" t="str">
            <v>кап</v>
          </cell>
          <cell r="J1033">
            <v>38003</v>
          </cell>
        </row>
        <row r="1034">
          <cell r="A1034">
            <v>58726092</v>
          </cell>
          <cell r="B1034" t="str">
            <v>МЧ-3</v>
          </cell>
          <cell r="C1034" t="str">
            <v>КРАСНОЯРСК   (КРС)</v>
          </cell>
          <cell r="D1034">
            <v>31564</v>
          </cell>
          <cell r="E1034">
            <v>37454</v>
          </cell>
          <cell r="F1034">
            <v>633</v>
          </cell>
          <cell r="H1034">
            <v>0</v>
          </cell>
          <cell r="I1034" t="str">
            <v>кап</v>
          </cell>
          <cell r="J1034">
            <v>38003</v>
          </cell>
        </row>
        <row r="1035">
          <cell r="A1035">
            <v>58726191</v>
          </cell>
          <cell r="B1035" t="str">
            <v>МЧ-3</v>
          </cell>
          <cell r="C1035" t="str">
            <v>КРАСНОЯРСК   (КРС)</v>
          </cell>
          <cell r="D1035">
            <v>31564</v>
          </cell>
          <cell r="E1035">
            <v>37454</v>
          </cell>
          <cell r="F1035">
            <v>633</v>
          </cell>
          <cell r="H1035">
            <v>0</v>
          </cell>
          <cell r="I1035" t="str">
            <v>кап</v>
          </cell>
          <cell r="J1035">
            <v>38003</v>
          </cell>
        </row>
        <row r="1036">
          <cell r="A1036">
            <v>58726290</v>
          </cell>
          <cell r="B1036" t="str">
            <v>МЧ-3</v>
          </cell>
          <cell r="C1036" t="str">
            <v>КРАСНОЯРСК   (КРС)</v>
          </cell>
          <cell r="D1036">
            <v>31564</v>
          </cell>
          <cell r="E1036">
            <v>37454</v>
          </cell>
          <cell r="F1036">
            <v>633</v>
          </cell>
          <cell r="H1036">
            <v>0</v>
          </cell>
          <cell r="I1036" t="str">
            <v>кап</v>
          </cell>
          <cell r="J1036">
            <v>38003</v>
          </cell>
        </row>
        <row r="1037">
          <cell r="A1037">
            <v>58726399</v>
          </cell>
          <cell r="B1037" t="str">
            <v>МЧ-3</v>
          </cell>
          <cell r="C1037" t="str">
            <v>КРАСНОЯРСК   (КРС)</v>
          </cell>
          <cell r="D1037">
            <v>31564</v>
          </cell>
          <cell r="E1037">
            <v>37454</v>
          </cell>
          <cell r="F1037">
            <v>633</v>
          </cell>
          <cell r="H1037">
            <v>0</v>
          </cell>
          <cell r="I1037" t="str">
            <v>кап</v>
          </cell>
          <cell r="J1037">
            <v>38003</v>
          </cell>
        </row>
        <row r="1038">
          <cell r="B1038" t="str">
            <v>МЧ-3 Количество</v>
          </cell>
          <cell r="D1038">
            <v>5</v>
          </cell>
        </row>
        <row r="1039">
          <cell r="A1039">
            <v>53702379</v>
          </cell>
          <cell r="B1039" t="str">
            <v>НАДЫМГАЗСНАБКОМПЛЕКТ</v>
          </cell>
          <cell r="C1039" t="str">
            <v>ПАНГОДЫ      (СВР)</v>
          </cell>
          <cell r="D1039">
            <v>33970</v>
          </cell>
          <cell r="E1039">
            <v>37056</v>
          </cell>
          <cell r="F1039">
            <v>1016</v>
          </cell>
          <cell r="G1039">
            <v>37793</v>
          </cell>
          <cell r="H1039">
            <v>586</v>
          </cell>
          <cell r="I1039" t="str">
            <v>деп</v>
          </cell>
          <cell r="J1039">
            <v>38889</v>
          </cell>
        </row>
        <row r="1040">
          <cell r="B1040" t="str">
            <v>НАДЫМГАЗСНАБКОМПЛЕКТ Количество</v>
          </cell>
          <cell r="D1040">
            <v>1</v>
          </cell>
        </row>
        <row r="1041">
          <cell r="A1041">
            <v>58724873</v>
          </cell>
          <cell r="B1041" t="str">
            <v>НАХОДКА ФИШИНГ СЕРВИС</v>
          </cell>
          <cell r="C1041" t="str">
            <v>УССУРИЙСК    (ДВС)</v>
          </cell>
          <cell r="D1041">
            <v>33249</v>
          </cell>
          <cell r="E1041">
            <v>37953</v>
          </cell>
          <cell r="F1041">
            <v>163</v>
          </cell>
          <cell r="H1041">
            <v>0</v>
          </cell>
          <cell r="I1041" t="str">
            <v>деп</v>
          </cell>
          <cell r="J1041">
            <v>38500</v>
          </cell>
        </row>
        <row r="1042">
          <cell r="B1042" t="str">
            <v>НАХОДКА ФИШИНГ СЕРВИС Количество</v>
          </cell>
          <cell r="D1042">
            <v>1</v>
          </cell>
        </row>
        <row r="1043">
          <cell r="A1043">
            <v>58002296</v>
          </cell>
          <cell r="B1043" t="str">
            <v>НЕВАРЕФТРАНС ТК</v>
          </cell>
          <cell r="C1043" t="str">
            <v>СРЕДНЕРОГАТС (ОКТ)</v>
          </cell>
          <cell r="D1043">
            <v>29481</v>
          </cell>
          <cell r="E1043">
            <v>35765</v>
          </cell>
          <cell r="F1043">
            <v>1097</v>
          </cell>
          <cell r="G1043">
            <v>37946</v>
          </cell>
          <cell r="H1043">
            <v>1097</v>
          </cell>
          <cell r="I1043" t="str">
            <v>деп</v>
          </cell>
          <cell r="J1043">
            <v>38677</v>
          </cell>
        </row>
        <row r="1044">
          <cell r="A1044">
            <v>58002395</v>
          </cell>
          <cell r="B1044" t="str">
            <v>НЕВАРЕФТРАНС ТК</v>
          </cell>
          <cell r="C1044" t="str">
            <v>СРЕДНЕРОГАТС (ОКТ)</v>
          </cell>
          <cell r="D1044">
            <v>29651</v>
          </cell>
          <cell r="E1044">
            <v>33723</v>
          </cell>
          <cell r="F1044">
            <v>1097</v>
          </cell>
          <cell r="G1044">
            <v>37946</v>
          </cell>
          <cell r="H1044">
            <v>1097</v>
          </cell>
          <cell r="I1044" t="str">
            <v>деп</v>
          </cell>
          <cell r="J1044">
            <v>38677</v>
          </cell>
        </row>
        <row r="1045">
          <cell r="A1045">
            <v>58002494</v>
          </cell>
          <cell r="B1045" t="str">
            <v>НЕВАРЕФТРАНС ТК</v>
          </cell>
          <cell r="C1045" t="str">
            <v>СРЕДНЕРОГАТС (ОКТ)</v>
          </cell>
          <cell r="D1045">
            <v>29672</v>
          </cell>
          <cell r="E1045">
            <v>34568</v>
          </cell>
          <cell r="F1045">
            <v>1097</v>
          </cell>
          <cell r="G1045">
            <v>37946</v>
          </cell>
          <cell r="H1045">
            <v>1097</v>
          </cell>
          <cell r="I1045" t="str">
            <v>деп</v>
          </cell>
          <cell r="J1045">
            <v>38677</v>
          </cell>
        </row>
        <row r="1046">
          <cell r="A1046">
            <v>58002593</v>
          </cell>
          <cell r="B1046" t="str">
            <v>НЕВАРЕФТРАНС ТК</v>
          </cell>
          <cell r="C1046" t="str">
            <v>СРЕДНЕРОГАТС (ОКТ)</v>
          </cell>
          <cell r="D1046">
            <v>29672</v>
          </cell>
          <cell r="E1046">
            <v>33704</v>
          </cell>
          <cell r="F1046">
            <v>1097</v>
          </cell>
          <cell r="G1046">
            <v>37946</v>
          </cell>
          <cell r="H1046">
            <v>1097</v>
          </cell>
          <cell r="I1046" t="str">
            <v>деп</v>
          </cell>
          <cell r="J1046">
            <v>38677</v>
          </cell>
        </row>
        <row r="1047">
          <cell r="A1047">
            <v>58002692</v>
          </cell>
          <cell r="B1047" t="str">
            <v>НЕВАРЕФТРАНС ТК</v>
          </cell>
          <cell r="C1047" t="str">
            <v>СРЕДНЕРОГАТС (ОКТ)</v>
          </cell>
          <cell r="D1047">
            <v>29691</v>
          </cell>
          <cell r="E1047">
            <v>34577</v>
          </cell>
          <cell r="F1047">
            <v>1097</v>
          </cell>
          <cell r="G1047">
            <v>37946</v>
          </cell>
          <cell r="H1047">
            <v>1097</v>
          </cell>
          <cell r="I1047" t="str">
            <v>деп</v>
          </cell>
          <cell r="J1047">
            <v>38677</v>
          </cell>
        </row>
        <row r="1048">
          <cell r="A1048">
            <v>58002809</v>
          </cell>
          <cell r="B1048" t="str">
            <v>НЕВАРЕФТРАНС ТК</v>
          </cell>
          <cell r="C1048" t="str">
            <v>СРЕДНЕРОГАТС (ОКТ)</v>
          </cell>
          <cell r="D1048">
            <v>29426</v>
          </cell>
          <cell r="F1048">
            <v>0</v>
          </cell>
          <cell r="G1048">
            <v>37952</v>
          </cell>
          <cell r="H1048">
            <v>1097</v>
          </cell>
          <cell r="I1048" t="str">
            <v>деп</v>
          </cell>
          <cell r="J1048">
            <v>38683</v>
          </cell>
        </row>
        <row r="1049">
          <cell r="A1049">
            <v>58002817</v>
          </cell>
          <cell r="B1049" t="str">
            <v>НЕВАРЕФТРАНС ТК</v>
          </cell>
          <cell r="C1049" t="str">
            <v>СРЕДНЕРОГАТС (ОКТ)</v>
          </cell>
          <cell r="D1049">
            <v>29425</v>
          </cell>
          <cell r="F1049">
            <v>0</v>
          </cell>
          <cell r="G1049">
            <v>37951</v>
          </cell>
          <cell r="H1049">
            <v>1097</v>
          </cell>
          <cell r="I1049" t="str">
            <v>деп</v>
          </cell>
          <cell r="J1049">
            <v>38682</v>
          </cell>
        </row>
        <row r="1050">
          <cell r="A1050">
            <v>58002825</v>
          </cell>
          <cell r="B1050" t="str">
            <v>НЕВАРЕФТРАНС ТК</v>
          </cell>
          <cell r="C1050" t="str">
            <v>СРЕДНЕРОГАТС (ОКТ)</v>
          </cell>
          <cell r="D1050">
            <v>29425</v>
          </cell>
          <cell r="F1050">
            <v>0</v>
          </cell>
          <cell r="G1050">
            <v>37951</v>
          </cell>
          <cell r="H1050">
            <v>1097</v>
          </cell>
          <cell r="I1050" t="str">
            <v>деп</v>
          </cell>
          <cell r="J1050">
            <v>38682</v>
          </cell>
        </row>
        <row r="1051">
          <cell r="A1051">
            <v>58002833</v>
          </cell>
          <cell r="B1051" t="str">
            <v>НЕВАРЕФТРАНС ТК</v>
          </cell>
          <cell r="C1051" t="str">
            <v>СРЕДНЕРОГАТС (ОКТ)</v>
          </cell>
          <cell r="D1051">
            <v>29447</v>
          </cell>
          <cell r="F1051">
            <v>0</v>
          </cell>
          <cell r="G1051">
            <v>37970</v>
          </cell>
          <cell r="H1051">
            <v>1097</v>
          </cell>
          <cell r="I1051" t="str">
            <v>деп</v>
          </cell>
          <cell r="J1051">
            <v>38701</v>
          </cell>
        </row>
        <row r="1052">
          <cell r="A1052">
            <v>58002841</v>
          </cell>
          <cell r="B1052" t="str">
            <v>НЕВАРЕФТРАНС ТК</v>
          </cell>
          <cell r="C1052" t="str">
            <v>СРЕДНЕРОГАТС (ОКТ)</v>
          </cell>
          <cell r="D1052">
            <v>29481</v>
          </cell>
          <cell r="F1052">
            <v>0</v>
          </cell>
          <cell r="G1052">
            <v>37974</v>
          </cell>
          <cell r="H1052">
            <v>527</v>
          </cell>
          <cell r="I1052" t="str">
            <v>деп</v>
          </cell>
          <cell r="J1052">
            <v>38705</v>
          </cell>
        </row>
        <row r="1053">
          <cell r="A1053">
            <v>58002858</v>
          </cell>
          <cell r="B1053" t="str">
            <v>НЕВАРЕФТРАНС ТК</v>
          </cell>
          <cell r="C1053" t="str">
            <v>СРЕДНЕРОГАТС (ОКТ)</v>
          </cell>
          <cell r="D1053">
            <v>29494</v>
          </cell>
          <cell r="F1053">
            <v>0</v>
          </cell>
          <cell r="G1053">
            <v>37974</v>
          </cell>
          <cell r="H1053">
            <v>527</v>
          </cell>
          <cell r="I1053" t="str">
            <v>деп</v>
          </cell>
          <cell r="J1053">
            <v>38705</v>
          </cell>
        </row>
        <row r="1054">
          <cell r="A1054">
            <v>58002866</v>
          </cell>
          <cell r="B1054" t="str">
            <v>НЕВАРЕФТРАНС ТК</v>
          </cell>
          <cell r="C1054" t="str">
            <v>СРЕДНЕРОГАТС (ОКТ)</v>
          </cell>
          <cell r="D1054">
            <v>29494</v>
          </cell>
          <cell r="F1054">
            <v>0</v>
          </cell>
          <cell r="G1054">
            <v>37970</v>
          </cell>
          <cell r="H1054">
            <v>1097</v>
          </cell>
          <cell r="I1054" t="str">
            <v>деп</v>
          </cell>
          <cell r="J1054">
            <v>38701</v>
          </cell>
        </row>
        <row r="1055">
          <cell r="A1055">
            <v>58002874</v>
          </cell>
          <cell r="B1055" t="str">
            <v>НЕВАРЕФТРАНС ТК</v>
          </cell>
          <cell r="C1055" t="str">
            <v>СРЕДНЕРОГАТС (ОКТ)</v>
          </cell>
          <cell r="D1055">
            <v>29523</v>
          </cell>
          <cell r="F1055">
            <v>0</v>
          </cell>
          <cell r="G1055">
            <v>37952</v>
          </cell>
          <cell r="H1055">
            <v>1097</v>
          </cell>
          <cell r="I1055" t="str">
            <v>деп</v>
          </cell>
          <cell r="J1055">
            <v>38683</v>
          </cell>
        </row>
        <row r="1056">
          <cell r="A1056">
            <v>58002882</v>
          </cell>
          <cell r="B1056" t="str">
            <v>НЕВАРЕФТРАНС ТК</v>
          </cell>
          <cell r="C1056" t="str">
            <v>СРЕДНЕРОГАТС (ОКТ)</v>
          </cell>
          <cell r="D1056">
            <v>29543</v>
          </cell>
          <cell r="F1056">
            <v>0</v>
          </cell>
          <cell r="G1056">
            <v>37970</v>
          </cell>
          <cell r="H1056">
            <v>1097</v>
          </cell>
          <cell r="I1056" t="str">
            <v>деп</v>
          </cell>
          <cell r="J1056">
            <v>38701</v>
          </cell>
        </row>
        <row r="1057">
          <cell r="A1057">
            <v>58002908</v>
          </cell>
          <cell r="B1057" t="str">
            <v>НЕВАРЕФТРАНС ТК</v>
          </cell>
          <cell r="C1057" t="str">
            <v>СРЕДНЕРОГАТС (ОКТ)</v>
          </cell>
          <cell r="D1057">
            <v>29558</v>
          </cell>
          <cell r="F1057">
            <v>0</v>
          </cell>
          <cell r="G1057">
            <v>37970</v>
          </cell>
          <cell r="H1057">
            <v>1097</v>
          </cell>
          <cell r="I1057" t="str">
            <v>деп</v>
          </cell>
          <cell r="J1057">
            <v>38701</v>
          </cell>
        </row>
        <row r="1058">
          <cell r="A1058">
            <v>58002916</v>
          </cell>
          <cell r="B1058" t="str">
            <v>НЕВАРЕФТРАНС ТК</v>
          </cell>
          <cell r="C1058" t="str">
            <v>СРЕДНЕРОГАТС (ОКТ)</v>
          </cell>
          <cell r="D1058">
            <v>29672</v>
          </cell>
          <cell r="F1058">
            <v>0</v>
          </cell>
          <cell r="G1058">
            <v>37970</v>
          </cell>
          <cell r="H1058">
            <v>1097</v>
          </cell>
          <cell r="I1058" t="str">
            <v>деп</v>
          </cell>
          <cell r="J1058">
            <v>38701</v>
          </cell>
        </row>
        <row r="1059">
          <cell r="A1059">
            <v>58002924</v>
          </cell>
          <cell r="B1059" t="str">
            <v>НЕВАРЕФТРАНС ТК</v>
          </cell>
          <cell r="C1059" t="str">
            <v>СРЕДНЕРОГАТС (ОКТ)</v>
          </cell>
          <cell r="D1059">
            <v>29676</v>
          </cell>
          <cell r="F1059">
            <v>0</v>
          </cell>
          <cell r="G1059">
            <v>37974</v>
          </cell>
          <cell r="H1059">
            <v>527</v>
          </cell>
          <cell r="I1059" t="str">
            <v>деп</v>
          </cell>
          <cell r="J1059">
            <v>38705</v>
          </cell>
        </row>
        <row r="1060">
          <cell r="A1060">
            <v>58002932</v>
          </cell>
          <cell r="B1060" t="str">
            <v>НЕВАРЕФТРАНС ТК</v>
          </cell>
          <cell r="C1060" t="str">
            <v>СРЕДНЕРОГАТС (ОКТ)</v>
          </cell>
          <cell r="D1060">
            <v>29676</v>
          </cell>
          <cell r="F1060">
            <v>0</v>
          </cell>
          <cell r="G1060">
            <v>37951</v>
          </cell>
          <cell r="H1060">
            <v>1097</v>
          </cell>
          <cell r="I1060" t="str">
            <v>деп</v>
          </cell>
          <cell r="J1060">
            <v>38682</v>
          </cell>
        </row>
        <row r="1061">
          <cell r="A1061">
            <v>58002940</v>
          </cell>
          <cell r="B1061" t="str">
            <v>НЕВАРЕФТРАНС ТК</v>
          </cell>
          <cell r="C1061" t="str">
            <v>СРЕДНЕРОГАТС (ОКТ)</v>
          </cell>
          <cell r="D1061">
            <v>30064</v>
          </cell>
          <cell r="F1061">
            <v>0</v>
          </cell>
          <cell r="G1061">
            <v>37953</v>
          </cell>
          <cell r="H1061">
            <v>1097</v>
          </cell>
          <cell r="I1061" t="str">
            <v>деп</v>
          </cell>
          <cell r="J1061">
            <v>38684</v>
          </cell>
        </row>
        <row r="1062">
          <cell r="A1062">
            <v>58002957</v>
          </cell>
          <cell r="B1062" t="str">
            <v>НЕВАРЕФТРАНС ТК</v>
          </cell>
          <cell r="C1062" t="str">
            <v>СРЕДНЕРОГАТС (ОКТ)</v>
          </cell>
          <cell r="D1062">
            <v>30070</v>
          </cell>
          <cell r="F1062">
            <v>0</v>
          </cell>
          <cell r="G1062">
            <v>37946</v>
          </cell>
          <cell r="H1062">
            <v>1097</v>
          </cell>
          <cell r="I1062" t="str">
            <v>деп</v>
          </cell>
          <cell r="J1062">
            <v>38677</v>
          </cell>
        </row>
        <row r="1063">
          <cell r="A1063">
            <v>58002965</v>
          </cell>
          <cell r="B1063" t="str">
            <v>НЕВАРЕФТРАНС ТК</v>
          </cell>
          <cell r="C1063" t="str">
            <v>СРЕДНЕРОГАТС (ОКТ)</v>
          </cell>
          <cell r="D1063">
            <v>29419</v>
          </cell>
          <cell r="E1063">
            <v>34998</v>
          </cell>
          <cell r="F1063">
            <v>1097</v>
          </cell>
          <cell r="G1063">
            <v>37999</v>
          </cell>
          <cell r="H1063">
            <v>527</v>
          </cell>
          <cell r="I1063" t="str">
            <v>деп</v>
          </cell>
          <cell r="J1063">
            <v>38730</v>
          </cell>
        </row>
        <row r="1064">
          <cell r="A1064">
            <v>58002973</v>
          </cell>
          <cell r="B1064" t="str">
            <v>НЕВАРЕФТРАНС ТК</v>
          </cell>
          <cell r="C1064" t="str">
            <v>СРЕДНЕРОГАТС (ОКТ)</v>
          </cell>
          <cell r="D1064">
            <v>29447</v>
          </cell>
          <cell r="E1064">
            <v>35703</v>
          </cell>
          <cell r="F1064">
            <v>1097</v>
          </cell>
          <cell r="G1064">
            <v>37255</v>
          </cell>
          <cell r="H1064">
            <v>527</v>
          </cell>
          <cell r="I1064" t="str">
            <v>деп</v>
          </cell>
          <cell r="J1064">
            <v>38716</v>
          </cell>
        </row>
        <row r="1065">
          <cell r="A1065">
            <v>58002981</v>
          </cell>
          <cell r="B1065" t="str">
            <v>НЕВАРЕФТРАНС ТК</v>
          </cell>
          <cell r="C1065" t="str">
            <v>СРЕДНЕРОГАТС (ОКТ)</v>
          </cell>
          <cell r="D1065">
            <v>29459</v>
          </cell>
          <cell r="E1065">
            <v>35031</v>
          </cell>
          <cell r="F1065">
            <v>1097</v>
          </cell>
          <cell r="G1065">
            <v>37985</v>
          </cell>
          <cell r="H1065">
            <v>527</v>
          </cell>
          <cell r="I1065" t="str">
            <v>деп</v>
          </cell>
          <cell r="J1065">
            <v>38716</v>
          </cell>
        </row>
        <row r="1066">
          <cell r="A1066">
            <v>58003005</v>
          </cell>
          <cell r="B1066" t="str">
            <v>НЕВАРЕФТРАНС ТК</v>
          </cell>
          <cell r="C1066" t="str">
            <v>СРЕДНЕРОГАТС (ОКТ)</v>
          </cell>
          <cell r="D1066">
            <v>29488</v>
          </cell>
          <cell r="E1066">
            <v>35727</v>
          </cell>
          <cell r="F1066">
            <v>1097</v>
          </cell>
          <cell r="G1066">
            <v>37985</v>
          </cell>
          <cell r="H1066">
            <v>527</v>
          </cell>
          <cell r="I1066" t="str">
            <v>деп</v>
          </cell>
          <cell r="J1066">
            <v>38716</v>
          </cell>
        </row>
        <row r="1067">
          <cell r="A1067">
            <v>58003013</v>
          </cell>
          <cell r="B1067" t="str">
            <v>НЕВАРЕФТРАНС ТК</v>
          </cell>
          <cell r="C1067" t="str">
            <v>СРЕДНЕРОГАТС (ОКТ)</v>
          </cell>
          <cell r="D1067">
            <v>29543</v>
          </cell>
          <cell r="E1067">
            <v>35685</v>
          </cell>
          <cell r="F1067">
            <v>1097</v>
          </cell>
          <cell r="G1067">
            <v>37985</v>
          </cell>
          <cell r="H1067">
            <v>527</v>
          </cell>
          <cell r="I1067" t="str">
            <v>деп</v>
          </cell>
          <cell r="J1067">
            <v>38716</v>
          </cell>
        </row>
        <row r="1068">
          <cell r="A1068">
            <v>58003021</v>
          </cell>
          <cell r="B1068" t="str">
            <v>НЕВАРЕФТРАНС ТК</v>
          </cell>
          <cell r="C1068" t="str">
            <v>СРЕДНЕРОГАТС (ОКТ)</v>
          </cell>
          <cell r="D1068">
            <v>29558</v>
          </cell>
          <cell r="E1068">
            <v>35720</v>
          </cell>
          <cell r="F1068">
            <v>1097</v>
          </cell>
          <cell r="G1068">
            <v>37999</v>
          </cell>
          <cell r="H1068">
            <v>527</v>
          </cell>
          <cell r="I1068" t="str">
            <v>деп</v>
          </cell>
          <cell r="J1068">
            <v>38730</v>
          </cell>
        </row>
        <row r="1069">
          <cell r="A1069">
            <v>58003039</v>
          </cell>
          <cell r="B1069" t="str">
            <v>НЕВАРЕФТРАНС ТК</v>
          </cell>
          <cell r="C1069" t="str">
            <v>СРЕДНЕРОГАТС (ОКТ)</v>
          </cell>
          <cell r="D1069">
            <v>29662</v>
          </cell>
          <cell r="E1069">
            <v>34667</v>
          </cell>
          <cell r="F1069">
            <v>1097</v>
          </cell>
          <cell r="G1069">
            <v>37985</v>
          </cell>
          <cell r="H1069">
            <v>527</v>
          </cell>
          <cell r="I1069" t="str">
            <v>деп</v>
          </cell>
          <cell r="J1069">
            <v>38716</v>
          </cell>
        </row>
        <row r="1070">
          <cell r="B1070" t="str">
            <v>НЕВАРЕФТРАНС ТК Количество</v>
          </cell>
          <cell r="D1070">
            <v>27</v>
          </cell>
        </row>
        <row r="1071">
          <cell r="A1071">
            <v>53701660</v>
          </cell>
          <cell r="B1071" t="str">
            <v>НИЖНЕВАРТОВСКАЯ ГРЭС</v>
          </cell>
          <cell r="C1071" t="str">
            <v>НИЖНЕВАРТ. 1 (СВР)</v>
          </cell>
          <cell r="D1071">
            <v>33491</v>
          </cell>
          <cell r="E1071">
            <v>37036</v>
          </cell>
          <cell r="F1071">
            <v>819</v>
          </cell>
          <cell r="I1071" t="str">
            <v>деп</v>
          </cell>
          <cell r="J1071">
            <v>38132</v>
          </cell>
        </row>
        <row r="1072">
          <cell r="A1072">
            <v>58338666</v>
          </cell>
          <cell r="B1072" t="str">
            <v>НИЖНЕВАРТОВСКАЯ ГРЭС</v>
          </cell>
          <cell r="C1072" t="str">
            <v>НИЖНЕВАРТ. 1 (СВР)</v>
          </cell>
          <cell r="D1072">
            <v>33491</v>
          </cell>
          <cell r="E1072">
            <v>37800</v>
          </cell>
          <cell r="F1072">
            <v>163</v>
          </cell>
          <cell r="I1072" t="str">
            <v>деп</v>
          </cell>
          <cell r="J1072">
            <v>38531</v>
          </cell>
        </row>
        <row r="1073">
          <cell r="A1073">
            <v>58338674</v>
          </cell>
          <cell r="B1073" t="str">
            <v>НИЖНЕВАРТОВСКАЯ ГРЭС</v>
          </cell>
          <cell r="C1073" t="str">
            <v>НИЖНЕВАРТ. 1 (СВР)</v>
          </cell>
          <cell r="D1073">
            <v>33491</v>
          </cell>
          <cell r="E1073">
            <v>37802</v>
          </cell>
          <cell r="F1073">
            <v>163</v>
          </cell>
          <cell r="I1073" t="str">
            <v>деп</v>
          </cell>
          <cell r="J1073">
            <v>38533</v>
          </cell>
        </row>
        <row r="1074">
          <cell r="B1074" t="str">
            <v>НИЖНЕВАРТОВСКАЯ ГРЭС Количество</v>
          </cell>
          <cell r="D1074">
            <v>3</v>
          </cell>
        </row>
        <row r="1075">
          <cell r="A1075">
            <v>53701140</v>
          </cell>
          <cell r="B1075" t="str">
            <v>НОВОСИБИРСКРЕФСЕРВИС</v>
          </cell>
          <cell r="C1075" t="str">
            <v>КЛЕЩИХА      (ЗСБ)</v>
          </cell>
          <cell r="D1075">
            <v>33584</v>
          </cell>
          <cell r="E1075">
            <v>37789</v>
          </cell>
          <cell r="F1075">
            <v>819</v>
          </cell>
          <cell r="H1075">
            <v>0</v>
          </cell>
          <cell r="I1075" t="str">
            <v>деп</v>
          </cell>
          <cell r="J1075">
            <v>38338</v>
          </cell>
        </row>
        <row r="1076">
          <cell r="A1076">
            <v>53701645</v>
          </cell>
          <cell r="B1076" t="str">
            <v>НОВОСИБИРСКРЕФСЕРВИС</v>
          </cell>
          <cell r="C1076" t="str">
            <v>КЛЕЩИХА      (ЗСБ)</v>
          </cell>
          <cell r="D1076">
            <v>33239</v>
          </cell>
          <cell r="E1076">
            <v>37869</v>
          </cell>
          <cell r="F1076">
            <v>163</v>
          </cell>
          <cell r="G1076">
            <v>37298</v>
          </cell>
          <cell r="H1076">
            <v>594</v>
          </cell>
          <cell r="I1076" t="str">
            <v>деп</v>
          </cell>
          <cell r="J1076">
            <v>38416</v>
          </cell>
        </row>
        <row r="1077">
          <cell r="A1077">
            <v>53702387</v>
          </cell>
          <cell r="B1077" t="str">
            <v>НОВОСИБИРСКРЕФСЕРВИС</v>
          </cell>
          <cell r="C1077" t="str">
            <v>КЛЕЩИХА      (ЗСБ)</v>
          </cell>
          <cell r="D1077">
            <v>33604</v>
          </cell>
          <cell r="E1077">
            <v>37964</v>
          </cell>
          <cell r="F1077">
            <v>819</v>
          </cell>
          <cell r="H1077">
            <v>0</v>
          </cell>
          <cell r="I1077" t="str">
            <v>деп</v>
          </cell>
          <cell r="J1077">
            <v>38512</v>
          </cell>
        </row>
        <row r="1078">
          <cell r="A1078">
            <v>58338765</v>
          </cell>
          <cell r="B1078" t="str">
            <v>НОВОСИБИРСКРЕФСЕРВИС</v>
          </cell>
          <cell r="C1078" t="str">
            <v>КЛЕЩИХА      (ЗСБ)</v>
          </cell>
          <cell r="D1078">
            <v>33239</v>
          </cell>
          <cell r="E1078">
            <v>37869</v>
          </cell>
          <cell r="F1078">
            <v>163</v>
          </cell>
          <cell r="G1078">
            <v>37298</v>
          </cell>
          <cell r="H1078">
            <v>594</v>
          </cell>
          <cell r="I1078" t="str">
            <v>деп</v>
          </cell>
          <cell r="J1078">
            <v>38416</v>
          </cell>
        </row>
        <row r="1079">
          <cell r="A1079">
            <v>58338773</v>
          </cell>
          <cell r="B1079" t="str">
            <v>НОВОСИБИРСКРЕФСЕРВИС</v>
          </cell>
          <cell r="C1079" t="str">
            <v>КЛЕЩИХА      (ЗСБ)</v>
          </cell>
          <cell r="D1079">
            <v>33239</v>
          </cell>
          <cell r="E1079">
            <v>37869</v>
          </cell>
          <cell r="F1079">
            <v>163</v>
          </cell>
          <cell r="G1079">
            <v>37298</v>
          </cell>
          <cell r="H1079">
            <v>594</v>
          </cell>
          <cell r="I1079" t="str">
            <v>деп</v>
          </cell>
          <cell r="J1079">
            <v>38416</v>
          </cell>
        </row>
        <row r="1080">
          <cell r="A1080">
            <v>58338781</v>
          </cell>
          <cell r="B1080" t="str">
            <v>НОВОСИБИРСКРЕФСЕРВИС</v>
          </cell>
          <cell r="C1080" t="str">
            <v>КЛЕЩИХА      (ЗСБ)</v>
          </cell>
          <cell r="D1080">
            <v>33239</v>
          </cell>
          <cell r="E1080">
            <v>37869</v>
          </cell>
          <cell r="F1080">
            <v>163</v>
          </cell>
          <cell r="G1080">
            <v>37298</v>
          </cell>
          <cell r="H1080">
            <v>594</v>
          </cell>
          <cell r="I1080" t="str">
            <v>деп</v>
          </cell>
          <cell r="J1080">
            <v>38416</v>
          </cell>
        </row>
        <row r="1081">
          <cell r="A1081">
            <v>58338807</v>
          </cell>
          <cell r="B1081" t="str">
            <v>НОВОСИБИРСКРЕФСЕРВИС</v>
          </cell>
          <cell r="C1081" t="str">
            <v>КЛЕЩИХА      (ЗСБ)</v>
          </cell>
          <cell r="D1081">
            <v>33239</v>
          </cell>
          <cell r="E1081">
            <v>37869</v>
          </cell>
          <cell r="F1081">
            <v>163</v>
          </cell>
          <cell r="G1081">
            <v>37298</v>
          </cell>
          <cell r="H1081">
            <v>594</v>
          </cell>
          <cell r="I1081" t="str">
            <v>деп</v>
          </cell>
          <cell r="J1081">
            <v>38416</v>
          </cell>
        </row>
        <row r="1082">
          <cell r="A1082">
            <v>58740960</v>
          </cell>
          <cell r="B1082" t="str">
            <v>НОВОСИБИРСКРЕФСЕРВИС</v>
          </cell>
          <cell r="C1082" t="str">
            <v>КЛЕЩИХА      (ЗСБ)</v>
          </cell>
          <cell r="D1082">
            <v>33584</v>
          </cell>
          <cell r="E1082">
            <v>37789</v>
          </cell>
          <cell r="F1082">
            <v>819</v>
          </cell>
          <cell r="H1082">
            <v>0</v>
          </cell>
          <cell r="I1082" t="str">
            <v>деп</v>
          </cell>
          <cell r="J1082">
            <v>38338</v>
          </cell>
        </row>
        <row r="1083">
          <cell r="A1083">
            <v>58740978</v>
          </cell>
          <cell r="B1083" t="str">
            <v>НОВОСИБИРСКРЕФСЕРВИС</v>
          </cell>
          <cell r="C1083" t="str">
            <v>КЛЕЩИХА      (ЗСБ)</v>
          </cell>
          <cell r="D1083">
            <v>33584</v>
          </cell>
          <cell r="E1083">
            <v>37789</v>
          </cell>
          <cell r="F1083">
            <v>819</v>
          </cell>
          <cell r="H1083">
            <v>0</v>
          </cell>
          <cell r="I1083" t="str">
            <v>деп</v>
          </cell>
          <cell r="J1083">
            <v>38338</v>
          </cell>
        </row>
        <row r="1084">
          <cell r="A1084">
            <v>58740986</v>
          </cell>
          <cell r="B1084" t="str">
            <v>НОВОСИБИРСКРЕФСЕРВИС</v>
          </cell>
          <cell r="C1084" t="str">
            <v>КЛЕЩИХА      (ЗСБ)</v>
          </cell>
          <cell r="D1084">
            <v>33584</v>
          </cell>
          <cell r="E1084">
            <v>37789</v>
          </cell>
          <cell r="F1084">
            <v>819</v>
          </cell>
          <cell r="H1084">
            <v>0</v>
          </cell>
          <cell r="I1084" t="str">
            <v>деп</v>
          </cell>
          <cell r="J1084">
            <v>38338</v>
          </cell>
        </row>
        <row r="1085">
          <cell r="A1085">
            <v>58741000</v>
          </cell>
          <cell r="B1085" t="str">
            <v>НОВОСИБИРСКРЕФСЕРВИС</v>
          </cell>
          <cell r="C1085" t="str">
            <v>КЛЕЩИХА      (ЗСБ)</v>
          </cell>
          <cell r="D1085">
            <v>33584</v>
          </cell>
          <cell r="E1085">
            <v>37789</v>
          </cell>
          <cell r="F1085">
            <v>819</v>
          </cell>
          <cell r="H1085">
            <v>0</v>
          </cell>
          <cell r="I1085" t="str">
            <v>деп</v>
          </cell>
          <cell r="J1085">
            <v>38338</v>
          </cell>
        </row>
        <row r="1086">
          <cell r="A1086">
            <v>58742321</v>
          </cell>
          <cell r="B1086" t="str">
            <v>НОВОСИБИРСКРЕФСЕРВИС</v>
          </cell>
          <cell r="C1086" t="str">
            <v>КЛЕЩИХА      (ЗСБ)</v>
          </cell>
          <cell r="D1086">
            <v>33406</v>
          </cell>
          <cell r="E1086">
            <v>37964</v>
          </cell>
          <cell r="F1086">
            <v>819</v>
          </cell>
          <cell r="H1086">
            <v>0</v>
          </cell>
          <cell r="I1086" t="str">
            <v>деп</v>
          </cell>
          <cell r="J1086">
            <v>38512</v>
          </cell>
        </row>
        <row r="1087">
          <cell r="A1087">
            <v>58742339</v>
          </cell>
          <cell r="B1087" t="str">
            <v>НОВОСИБИРСКРЕФСЕРВИС</v>
          </cell>
          <cell r="C1087" t="str">
            <v>КЛЕЩИХА      (ЗСБ)</v>
          </cell>
          <cell r="D1087">
            <v>33409</v>
          </cell>
          <cell r="E1087">
            <v>37964</v>
          </cell>
          <cell r="F1087">
            <v>819</v>
          </cell>
          <cell r="H1087">
            <v>0</v>
          </cell>
          <cell r="I1087" t="str">
            <v>деп</v>
          </cell>
          <cell r="J1087">
            <v>38512</v>
          </cell>
        </row>
        <row r="1088">
          <cell r="A1088">
            <v>58742347</v>
          </cell>
          <cell r="B1088" t="str">
            <v>НОВОСИБИРСКРЕФСЕРВИС</v>
          </cell>
          <cell r="C1088" t="str">
            <v>КЛЕЩИХА      (ЗСБ)</v>
          </cell>
          <cell r="D1088">
            <v>33417</v>
          </cell>
          <cell r="E1088">
            <v>37964</v>
          </cell>
          <cell r="F1088">
            <v>819</v>
          </cell>
          <cell r="H1088">
            <v>0</v>
          </cell>
          <cell r="I1088" t="str">
            <v>деп</v>
          </cell>
          <cell r="J1088">
            <v>38512</v>
          </cell>
        </row>
        <row r="1089">
          <cell r="A1089">
            <v>58742354</v>
          </cell>
          <cell r="B1089" t="str">
            <v>НОВОСИБИРСКРЕФСЕРВИС</v>
          </cell>
          <cell r="C1089" t="str">
            <v>КЛЕЩИХА      (ЗСБ)</v>
          </cell>
          <cell r="D1089">
            <v>33419</v>
          </cell>
          <cell r="E1089">
            <v>37964</v>
          </cell>
          <cell r="F1089">
            <v>819</v>
          </cell>
          <cell r="H1089">
            <v>0</v>
          </cell>
          <cell r="I1089" t="str">
            <v>деп</v>
          </cell>
          <cell r="J1089">
            <v>38512</v>
          </cell>
        </row>
        <row r="1090">
          <cell r="B1090" t="str">
            <v>НОВОСИБИРСКРЕФСЕРВИС Количество</v>
          </cell>
          <cell r="D1090">
            <v>15</v>
          </cell>
        </row>
        <row r="1091">
          <cell r="A1091">
            <v>53706735</v>
          </cell>
          <cell r="B1091" t="str">
            <v>НОГИНСКОЕ ППЖТ</v>
          </cell>
          <cell r="C1091" t="str">
            <v>НОГИНСК      (МСK)</v>
          </cell>
          <cell r="D1091">
            <v>32507</v>
          </cell>
          <cell r="E1091">
            <v>34700</v>
          </cell>
          <cell r="F1091">
            <v>0</v>
          </cell>
          <cell r="G1091">
            <v>37873</v>
          </cell>
          <cell r="H1091">
            <v>332</v>
          </cell>
          <cell r="I1091" t="str">
            <v>деп</v>
          </cell>
          <cell r="J1091">
            <v>38420</v>
          </cell>
        </row>
        <row r="1092">
          <cell r="B1092" t="str">
            <v>НОГИНСКОЕ ППЖТ Количество</v>
          </cell>
          <cell r="D1092">
            <v>1</v>
          </cell>
        </row>
        <row r="1093">
          <cell r="A1093">
            <v>58330556</v>
          </cell>
          <cell r="B1093" t="str">
            <v>НОЯБРЬСКТОРГНЕФТЬ</v>
          </cell>
          <cell r="C1093" t="str">
            <v>НОЯБРЬСК 1   (СВР)</v>
          </cell>
          <cell r="D1093">
            <v>32509</v>
          </cell>
          <cell r="E1093">
            <v>37772</v>
          </cell>
          <cell r="F1093">
            <v>819</v>
          </cell>
          <cell r="G1093">
            <v>34849</v>
          </cell>
          <cell r="I1093" t="str">
            <v>деп</v>
          </cell>
          <cell r="J1093">
            <v>38503</v>
          </cell>
        </row>
        <row r="1094">
          <cell r="A1094">
            <v>58330564</v>
          </cell>
          <cell r="B1094" t="str">
            <v>НОЯБРЬСКТОРГНЕФТЬ</v>
          </cell>
          <cell r="C1094" t="str">
            <v>НОЯБРЬСК 1   (СВР)</v>
          </cell>
          <cell r="D1094">
            <v>30682</v>
          </cell>
          <cell r="E1094">
            <v>37772</v>
          </cell>
          <cell r="F1094">
            <v>819</v>
          </cell>
          <cell r="G1094">
            <v>34849</v>
          </cell>
          <cell r="I1094" t="str">
            <v>деп</v>
          </cell>
          <cell r="J1094">
            <v>38503</v>
          </cell>
        </row>
        <row r="1095">
          <cell r="A1095">
            <v>58330572</v>
          </cell>
          <cell r="B1095" t="str">
            <v>НОЯБРЬСКТОРГНЕФТЬ</v>
          </cell>
          <cell r="C1095" t="str">
            <v>НОЯБРЬСК 1   (СВР)</v>
          </cell>
          <cell r="D1095">
            <v>31048</v>
          </cell>
          <cell r="E1095">
            <v>37772</v>
          </cell>
          <cell r="F1095">
            <v>819</v>
          </cell>
          <cell r="G1095">
            <v>34849</v>
          </cell>
          <cell r="I1095" t="str">
            <v>деп</v>
          </cell>
          <cell r="J1095">
            <v>38503</v>
          </cell>
        </row>
        <row r="1096">
          <cell r="B1096" t="str">
            <v>НОЯБРЬСКТОРГНЕФТЬ Количество</v>
          </cell>
          <cell r="D1096">
            <v>3</v>
          </cell>
        </row>
        <row r="1097">
          <cell r="A1097">
            <v>53700357</v>
          </cell>
          <cell r="B1097" t="str">
            <v>ОКТЯБРЬ</v>
          </cell>
          <cell r="C1097" t="str">
            <v>КАМЕНСК-УРЛС (СВР)</v>
          </cell>
          <cell r="D1097">
            <v>33082</v>
          </cell>
          <cell r="E1097">
            <v>36970</v>
          </cell>
          <cell r="F1097">
            <v>819</v>
          </cell>
          <cell r="I1097" t="str">
            <v>кап</v>
          </cell>
          <cell r="J1097">
            <v>38066</v>
          </cell>
        </row>
        <row r="1098">
          <cell r="A1098">
            <v>53700365</v>
          </cell>
          <cell r="B1098" t="str">
            <v>ОКТЯБРЬ</v>
          </cell>
          <cell r="C1098" t="str">
            <v>КАМЕНСК-УРЛС (СВР)</v>
          </cell>
          <cell r="D1098">
            <v>33082</v>
          </cell>
          <cell r="E1098">
            <v>36970</v>
          </cell>
          <cell r="F1098">
            <v>819</v>
          </cell>
          <cell r="I1098" t="str">
            <v>кап</v>
          </cell>
          <cell r="J1098">
            <v>38066</v>
          </cell>
        </row>
        <row r="1099">
          <cell r="B1099" t="str">
            <v>ОКТЯБРЬ Количество</v>
          </cell>
          <cell r="D1099">
            <v>2</v>
          </cell>
        </row>
        <row r="1100">
          <cell r="A1100">
            <v>58726365</v>
          </cell>
          <cell r="B1100" t="str">
            <v>ОМСК.З-Д КОНСЕРВ.ПРОДУКЦИИ</v>
          </cell>
          <cell r="C1100" t="str">
            <v>ОМСК-ПАСС    (ЗСБ)</v>
          </cell>
          <cell r="D1100">
            <v>33526</v>
          </cell>
          <cell r="F1100">
            <v>0</v>
          </cell>
          <cell r="H1100">
            <v>0</v>
          </cell>
          <cell r="I1100" t="str">
            <v>деп</v>
          </cell>
          <cell r="J1100">
            <v>34622</v>
          </cell>
        </row>
        <row r="1101">
          <cell r="B1101" t="str">
            <v>ОМСК.З-Д КОНСЕРВ.ПРОДУКЦИИ Количество</v>
          </cell>
          <cell r="D1101">
            <v>1</v>
          </cell>
        </row>
        <row r="1102">
          <cell r="A1102">
            <v>53702361</v>
          </cell>
          <cell r="B1102" t="str">
            <v>ОМСКОЕ НПП ВНЕДРЕНИЕ</v>
          </cell>
          <cell r="C1102" t="str">
            <v>ОМСК-ПАСС    (ЗСБ)</v>
          </cell>
          <cell r="D1102">
            <v>33554</v>
          </cell>
          <cell r="E1102">
            <v>37613</v>
          </cell>
          <cell r="F1102">
            <v>609</v>
          </cell>
          <cell r="G1102">
            <v>35050</v>
          </cell>
          <cell r="I1102" t="str">
            <v>кап</v>
          </cell>
          <cell r="J1102">
            <v>38709</v>
          </cell>
        </row>
        <row r="1103">
          <cell r="A1103">
            <v>58720715</v>
          </cell>
          <cell r="B1103" t="str">
            <v>ОМСКОЕ НПП ВНЕДРЕНИЕ</v>
          </cell>
          <cell r="C1103" t="str">
            <v>ОМСК-ПАСС    (ЗСБ)</v>
          </cell>
          <cell r="D1103">
            <v>33522</v>
          </cell>
          <cell r="E1103">
            <v>37613</v>
          </cell>
          <cell r="F1103">
            <v>609</v>
          </cell>
          <cell r="G1103">
            <v>35050</v>
          </cell>
          <cell r="I1103" t="str">
            <v>деп</v>
          </cell>
          <cell r="J1103">
            <v>38344</v>
          </cell>
        </row>
        <row r="1104">
          <cell r="A1104">
            <v>58720723</v>
          </cell>
          <cell r="B1104" t="str">
            <v>ОМСКОЕ НПП ВНЕДРЕНИЕ</v>
          </cell>
          <cell r="C1104" t="str">
            <v>ОМСК-ПАСС    (ЗСБ)</v>
          </cell>
          <cell r="D1104">
            <v>33522</v>
          </cell>
          <cell r="E1104">
            <v>37613</v>
          </cell>
          <cell r="F1104">
            <v>609</v>
          </cell>
          <cell r="G1104">
            <v>35050</v>
          </cell>
          <cell r="I1104" t="str">
            <v>деп</v>
          </cell>
          <cell r="J1104">
            <v>38344</v>
          </cell>
        </row>
        <row r="1105">
          <cell r="A1105">
            <v>58720731</v>
          </cell>
          <cell r="B1105" t="str">
            <v>ОМСКОЕ НПП ВНЕДРЕНИЕ</v>
          </cell>
          <cell r="C1105" t="str">
            <v>ОМСК-ПАСС    (ЗСБ)</v>
          </cell>
          <cell r="D1105">
            <v>33553</v>
          </cell>
          <cell r="E1105">
            <v>37614</v>
          </cell>
          <cell r="F1105">
            <v>609</v>
          </cell>
          <cell r="G1105">
            <v>35050</v>
          </cell>
          <cell r="I1105" t="str">
            <v>деп</v>
          </cell>
          <cell r="J1105">
            <v>38345</v>
          </cell>
        </row>
        <row r="1106">
          <cell r="A1106">
            <v>58720749</v>
          </cell>
          <cell r="B1106" t="str">
            <v>ОМСКОЕ НПП ВНЕДРЕНИЕ</v>
          </cell>
          <cell r="C1106" t="str">
            <v>ОМСК-ПАСС    (ЗСБ)</v>
          </cell>
          <cell r="D1106">
            <v>33553</v>
          </cell>
          <cell r="E1106">
            <v>37614</v>
          </cell>
          <cell r="F1106">
            <v>609</v>
          </cell>
          <cell r="G1106">
            <v>35416</v>
          </cell>
          <cell r="I1106" t="str">
            <v>деп</v>
          </cell>
          <cell r="J1106">
            <v>38345</v>
          </cell>
        </row>
        <row r="1107">
          <cell r="B1107" t="str">
            <v>ОМСКОЕ НПП ВНЕДРЕНИЕ Количество</v>
          </cell>
          <cell r="D1107">
            <v>5</v>
          </cell>
        </row>
        <row r="1108">
          <cell r="A1108">
            <v>53702213</v>
          </cell>
          <cell r="B1108" t="str">
            <v>ОПЫТНЫЙ З-Д НИВА</v>
          </cell>
          <cell r="C1108" t="str">
            <v>ВОЛКОВСКАЯ   (ОКТ)</v>
          </cell>
          <cell r="D1108">
            <v>26665</v>
          </cell>
          <cell r="E1108">
            <v>34150</v>
          </cell>
          <cell r="F1108">
            <v>0</v>
          </cell>
          <cell r="G1108">
            <v>36640</v>
          </cell>
          <cell r="H1108">
            <v>0</v>
          </cell>
          <cell r="I1108" t="str">
            <v>деп</v>
          </cell>
          <cell r="J1108">
            <v>37735</v>
          </cell>
        </row>
        <row r="1109">
          <cell r="B1109" t="str">
            <v>ОПЫТНЫЙ З-Д НИВА Количество</v>
          </cell>
          <cell r="D1109">
            <v>1</v>
          </cell>
        </row>
        <row r="1110">
          <cell r="A1110">
            <v>58721879</v>
          </cell>
          <cell r="B1110" t="str">
            <v>ОРЛОВСКОЕ ГОРПО</v>
          </cell>
          <cell r="C1110" t="str">
            <v>САХАНСКАЯ    (МСK)</v>
          </cell>
          <cell r="D1110">
            <v>33557</v>
          </cell>
          <cell r="E1110">
            <v>37355</v>
          </cell>
          <cell r="F1110">
            <v>335</v>
          </cell>
        </row>
        <row r="1111">
          <cell r="A1111">
            <v>58724477</v>
          </cell>
          <cell r="B1111" t="str">
            <v>ОРЛОВСКОЕ ГОРПО</v>
          </cell>
          <cell r="C1111" t="str">
            <v>САХАНСКАЯ    (МСK)</v>
          </cell>
          <cell r="D1111">
            <v>32446</v>
          </cell>
          <cell r="E1111">
            <v>35409</v>
          </cell>
        </row>
        <row r="1112">
          <cell r="B1112" t="str">
            <v>ОРЛОВСКОЕ ГОРПО Количество</v>
          </cell>
          <cell r="D1112">
            <v>2</v>
          </cell>
        </row>
        <row r="1113">
          <cell r="A1113">
            <v>53702718</v>
          </cell>
          <cell r="B1113" t="str">
            <v>ОСКОЛЬСК.ЭЛЕКТРОМЕТКОМБ-Т</v>
          </cell>
          <cell r="C1113" t="str">
            <v>КОТЕЛ        (ЮВС)</v>
          </cell>
          <cell r="D1113">
            <v>33970</v>
          </cell>
          <cell r="E1113">
            <v>37594</v>
          </cell>
          <cell r="F1113">
            <v>492</v>
          </cell>
          <cell r="I1113" t="str">
            <v>деп</v>
          </cell>
          <cell r="J1113">
            <v>38690</v>
          </cell>
        </row>
        <row r="1114">
          <cell r="A1114">
            <v>53702726</v>
          </cell>
          <cell r="B1114" t="str">
            <v>ОСКОЛЬСК.ЭЛЕКТРОМЕТКОМБ-Т</v>
          </cell>
          <cell r="C1114" t="str">
            <v>КОТЕЛ        (ЮВС)</v>
          </cell>
          <cell r="D1114">
            <v>33970</v>
          </cell>
          <cell r="E1114">
            <v>37613</v>
          </cell>
          <cell r="F1114">
            <v>492</v>
          </cell>
          <cell r="I1114" t="str">
            <v>деп</v>
          </cell>
          <cell r="J1114">
            <v>38709</v>
          </cell>
        </row>
        <row r="1115">
          <cell r="A1115">
            <v>53702734</v>
          </cell>
          <cell r="B1115" t="str">
            <v>ОСКОЛЬСК.ЭЛЕКТРОМЕТКОМБ-Т</v>
          </cell>
          <cell r="C1115" t="str">
            <v>КОТЕЛ        (ЮВС)</v>
          </cell>
          <cell r="D1115">
            <v>33970</v>
          </cell>
          <cell r="E1115">
            <v>37616</v>
          </cell>
          <cell r="F1115">
            <v>492</v>
          </cell>
          <cell r="I1115" t="str">
            <v>деп</v>
          </cell>
          <cell r="J1115">
            <v>38712</v>
          </cell>
        </row>
        <row r="1116">
          <cell r="B1116" t="str">
            <v>ОСКОЛЬСК.ЭЛЕКТРОМЕТКОМБ-Т Количество</v>
          </cell>
          <cell r="D1116">
            <v>3</v>
          </cell>
        </row>
        <row r="1117">
          <cell r="A1117">
            <v>58000027</v>
          </cell>
          <cell r="B1117" t="str">
            <v>ПБОЮЛ ВЕТРОВ Е.И.</v>
          </cell>
          <cell r="C1117" t="str">
            <v>МОС-ТОВ-РЯЗ  (МСK)</v>
          </cell>
          <cell r="D1117">
            <v>32540</v>
          </cell>
          <cell r="E1117">
            <v>37525</v>
          </cell>
          <cell r="F1117">
            <v>634</v>
          </cell>
          <cell r="H1117">
            <v>0</v>
          </cell>
          <cell r="I1117" t="str">
            <v>кап</v>
          </cell>
          <cell r="J1117">
            <v>38256</v>
          </cell>
        </row>
        <row r="1118">
          <cell r="A1118">
            <v>58000035</v>
          </cell>
          <cell r="B1118" t="str">
            <v>ПБОЮЛ ВЕТРОВ Е.И.</v>
          </cell>
          <cell r="C1118" t="str">
            <v>МОС-ТОВ-РЯЗ  (МСK)</v>
          </cell>
          <cell r="D1118">
            <v>32540</v>
          </cell>
          <cell r="E1118">
            <v>37529</v>
          </cell>
          <cell r="F1118">
            <v>634</v>
          </cell>
          <cell r="H1118">
            <v>0</v>
          </cell>
          <cell r="I1118" t="str">
            <v>кап</v>
          </cell>
          <cell r="J1118">
            <v>38260</v>
          </cell>
        </row>
        <row r="1119">
          <cell r="A1119">
            <v>58000043</v>
          </cell>
          <cell r="B1119" t="str">
            <v>ПБОЮЛ ВЕТРОВ Е.И.</v>
          </cell>
          <cell r="C1119" t="str">
            <v>МОС-ТОВ-РЯЗ  (МСK)</v>
          </cell>
          <cell r="D1119">
            <v>32540</v>
          </cell>
          <cell r="E1119">
            <v>37517</v>
          </cell>
          <cell r="F1119">
            <v>634</v>
          </cell>
          <cell r="H1119">
            <v>0</v>
          </cell>
          <cell r="I1119" t="str">
            <v>кап</v>
          </cell>
          <cell r="J1119">
            <v>38248</v>
          </cell>
        </row>
        <row r="1120">
          <cell r="A1120">
            <v>58000050</v>
          </cell>
          <cell r="B1120" t="str">
            <v>ПБОЮЛ ВЕТРОВ Е.И.</v>
          </cell>
          <cell r="C1120" t="str">
            <v>МОС-ТОВ-РЯЗ  (МСK)</v>
          </cell>
          <cell r="D1120">
            <v>32540</v>
          </cell>
          <cell r="E1120">
            <v>37700</v>
          </cell>
          <cell r="F1120">
            <v>634</v>
          </cell>
          <cell r="H1120">
            <v>0</v>
          </cell>
          <cell r="I1120" t="str">
            <v>кап</v>
          </cell>
          <cell r="J1120">
            <v>38431</v>
          </cell>
        </row>
        <row r="1121">
          <cell r="A1121">
            <v>58000068</v>
          </cell>
          <cell r="B1121" t="str">
            <v>ПБОЮЛ ВЕТРОВ Е.И.</v>
          </cell>
          <cell r="C1121" t="str">
            <v>МОС-ТОВ-РЯЗ  (МСK)</v>
          </cell>
          <cell r="D1121">
            <v>32540</v>
          </cell>
          <cell r="E1121">
            <v>37543</v>
          </cell>
          <cell r="F1121">
            <v>634</v>
          </cell>
          <cell r="H1121">
            <v>0</v>
          </cell>
          <cell r="I1121" t="str">
            <v>кап</v>
          </cell>
          <cell r="J1121">
            <v>38274</v>
          </cell>
        </row>
        <row r="1122">
          <cell r="A1122">
            <v>58000076</v>
          </cell>
          <cell r="B1122" t="str">
            <v>ПБОЮЛ ВЕТРОВ Е.И.</v>
          </cell>
          <cell r="C1122" t="str">
            <v>МОС-ТОВ-РЯЗ  (МСK)</v>
          </cell>
          <cell r="D1122">
            <v>32540</v>
          </cell>
          <cell r="E1122">
            <v>37336</v>
          </cell>
          <cell r="F1122">
            <v>1065</v>
          </cell>
          <cell r="H1122">
            <v>0</v>
          </cell>
          <cell r="I1122" t="str">
            <v>кап</v>
          </cell>
          <cell r="J1122">
            <v>38067</v>
          </cell>
        </row>
        <row r="1123">
          <cell r="A1123">
            <v>58000084</v>
          </cell>
          <cell r="B1123" t="str">
            <v>ПБОЮЛ ВЕТРОВ Е.И.</v>
          </cell>
          <cell r="C1123" t="str">
            <v>МОС-ТОВ-РЯЗ  (МСK)</v>
          </cell>
          <cell r="D1123">
            <v>32540</v>
          </cell>
          <cell r="E1123">
            <v>37515</v>
          </cell>
          <cell r="F1123">
            <v>634</v>
          </cell>
          <cell r="H1123">
            <v>0</v>
          </cell>
          <cell r="I1123" t="str">
            <v>кап</v>
          </cell>
          <cell r="J1123">
            <v>38246</v>
          </cell>
        </row>
        <row r="1124">
          <cell r="A1124">
            <v>58000100</v>
          </cell>
          <cell r="B1124" t="str">
            <v>ПБОЮЛ ВЕТРОВ Е.И.</v>
          </cell>
          <cell r="C1124" t="str">
            <v>МОС-ТОВ-РЯЗ  (МСK)</v>
          </cell>
          <cell r="D1124">
            <v>32540</v>
          </cell>
          <cell r="E1124">
            <v>37536</v>
          </cell>
          <cell r="F1124">
            <v>634</v>
          </cell>
          <cell r="H1124">
            <v>0</v>
          </cell>
          <cell r="I1124" t="str">
            <v>кап</v>
          </cell>
          <cell r="J1124">
            <v>38267</v>
          </cell>
        </row>
        <row r="1125">
          <cell r="A1125">
            <v>58000118</v>
          </cell>
          <cell r="B1125" t="str">
            <v>ПБОЮЛ ВЕТРОВ Е.И.</v>
          </cell>
          <cell r="C1125" t="str">
            <v>МОС-ТОВ-РЯЗ  (МСK)</v>
          </cell>
          <cell r="D1125">
            <v>32540</v>
          </cell>
          <cell r="E1125">
            <v>37526</v>
          </cell>
          <cell r="F1125">
            <v>634</v>
          </cell>
          <cell r="H1125">
            <v>0</v>
          </cell>
          <cell r="I1125" t="str">
            <v>кап</v>
          </cell>
          <cell r="J1125">
            <v>38257</v>
          </cell>
        </row>
        <row r="1126">
          <cell r="A1126">
            <v>58000126</v>
          </cell>
          <cell r="B1126" t="str">
            <v>ПБОЮЛ ВЕТРОВ Е.И.</v>
          </cell>
          <cell r="C1126" t="str">
            <v>МОС-ТОВ-РЯЗ  (МСK)</v>
          </cell>
          <cell r="D1126">
            <v>32540</v>
          </cell>
          <cell r="E1126">
            <v>37523</v>
          </cell>
          <cell r="F1126">
            <v>634</v>
          </cell>
          <cell r="H1126">
            <v>0</v>
          </cell>
          <cell r="I1126" t="str">
            <v>кап</v>
          </cell>
          <cell r="J1126">
            <v>38254</v>
          </cell>
        </row>
        <row r="1127">
          <cell r="A1127">
            <v>58000134</v>
          </cell>
          <cell r="B1127" t="str">
            <v>ПБОЮЛ ВЕТРОВ Е.И.</v>
          </cell>
          <cell r="C1127" t="str">
            <v>МОС-ТОВ-РЯЗ  (МСK)</v>
          </cell>
          <cell r="D1127">
            <v>32540</v>
          </cell>
          <cell r="E1127">
            <v>37515</v>
          </cell>
          <cell r="F1127">
            <v>634</v>
          </cell>
          <cell r="H1127">
            <v>0</v>
          </cell>
          <cell r="I1127" t="str">
            <v>кап</v>
          </cell>
          <cell r="J1127">
            <v>38246</v>
          </cell>
        </row>
        <row r="1128">
          <cell r="A1128">
            <v>58000142</v>
          </cell>
          <cell r="B1128" t="str">
            <v>ПБОЮЛ ВЕТРОВ Е.И.</v>
          </cell>
          <cell r="C1128" t="str">
            <v>МОС-ТОВ-РЯЗ  (МСK)</v>
          </cell>
          <cell r="D1128">
            <v>32874</v>
          </cell>
          <cell r="E1128">
            <v>37524</v>
          </cell>
          <cell r="F1128">
            <v>634</v>
          </cell>
          <cell r="H1128">
            <v>0</v>
          </cell>
          <cell r="I1128" t="str">
            <v>деп</v>
          </cell>
          <cell r="J1128">
            <v>38255</v>
          </cell>
        </row>
        <row r="1129">
          <cell r="A1129">
            <v>58000159</v>
          </cell>
          <cell r="B1129" t="str">
            <v>ПБОЮЛ ВЕТРОВ Е.И.</v>
          </cell>
          <cell r="C1129" t="str">
            <v>МОС-ТОВ-РЯЗ  (МСK)</v>
          </cell>
          <cell r="D1129">
            <v>32874</v>
          </cell>
          <cell r="E1129">
            <v>37529</v>
          </cell>
          <cell r="F1129">
            <v>634</v>
          </cell>
          <cell r="H1129">
            <v>0</v>
          </cell>
          <cell r="I1129" t="str">
            <v>деп</v>
          </cell>
          <cell r="J1129">
            <v>38260</v>
          </cell>
        </row>
        <row r="1130">
          <cell r="A1130">
            <v>58000167</v>
          </cell>
          <cell r="B1130" t="str">
            <v>ПБОЮЛ ВЕТРОВ Е.И.</v>
          </cell>
          <cell r="C1130" t="str">
            <v>МОС-ТОВ-РЯЗ  (МСK)</v>
          </cell>
          <cell r="D1130">
            <v>32874</v>
          </cell>
          <cell r="E1130">
            <v>37529</v>
          </cell>
          <cell r="F1130">
            <v>634</v>
          </cell>
          <cell r="H1130">
            <v>0</v>
          </cell>
          <cell r="I1130" t="str">
            <v>деп</v>
          </cell>
          <cell r="J1130">
            <v>38260</v>
          </cell>
        </row>
        <row r="1131">
          <cell r="B1131" t="str">
            <v>ПБОЮЛ ВЕТРОВ Е.И. Количество</v>
          </cell>
          <cell r="D1131">
            <v>14</v>
          </cell>
        </row>
        <row r="1132">
          <cell r="A1132">
            <v>53701413</v>
          </cell>
          <cell r="B1132" t="str">
            <v>ПБОЮЛ ЛАБУНЦЕВ А.С.</v>
          </cell>
          <cell r="C1132" t="str">
            <v>КРАСНОЯРСК   (КРС)</v>
          </cell>
          <cell r="D1132">
            <v>33512</v>
          </cell>
          <cell r="E1132">
            <v>37650</v>
          </cell>
          <cell r="F1132">
            <v>819</v>
          </cell>
          <cell r="G1132">
            <v>35423</v>
          </cell>
          <cell r="H1132">
            <v>1108</v>
          </cell>
          <cell r="I1132" t="str">
            <v>деп</v>
          </cell>
          <cell r="J1132">
            <v>38197</v>
          </cell>
        </row>
        <row r="1133">
          <cell r="A1133">
            <v>58724782</v>
          </cell>
          <cell r="B1133" t="str">
            <v>ПБОЮЛ ЛАБУНЦЕВ А.С.</v>
          </cell>
          <cell r="C1133" t="str">
            <v>КРАСНОЯРСК   (КРС)</v>
          </cell>
          <cell r="D1133">
            <v>33512</v>
          </cell>
          <cell r="E1133">
            <v>37650</v>
          </cell>
          <cell r="F1133">
            <v>819</v>
          </cell>
          <cell r="G1133">
            <v>35423</v>
          </cell>
          <cell r="H1133">
            <v>0</v>
          </cell>
          <cell r="I1133" t="str">
            <v>деп</v>
          </cell>
          <cell r="J1133">
            <v>38197</v>
          </cell>
        </row>
        <row r="1134">
          <cell r="A1134">
            <v>58724808</v>
          </cell>
          <cell r="B1134" t="str">
            <v>ПБОЮЛ ЛАБУНЦЕВ А.С.</v>
          </cell>
          <cell r="C1134" t="str">
            <v>КРАСНОЯРСК   (КРС)</v>
          </cell>
          <cell r="D1134">
            <v>33512</v>
          </cell>
          <cell r="E1134">
            <v>37650</v>
          </cell>
          <cell r="F1134">
            <v>819</v>
          </cell>
          <cell r="G1134">
            <v>35423</v>
          </cell>
          <cell r="H1134">
            <v>0</v>
          </cell>
          <cell r="I1134" t="str">
            <v>деп</v>
          </cell>
          <cell r="J1134">
            <v>38197</v>
          </cell>
        </row>
        <row r="1135">
          <cell r="B1135" t="str">
            <v>ПБОЮЛ ЛАБУНЦЕВ А.С. Количество</v>
          </cell>
          <cell r="D1135">
            <v>3</v>
          </cell>
        </row>
        <row r="1136">
          <cell r="A1136">
            <v>58726894</v>
          </cell>
          <cell r="B1136" t="str">
            <v>ПБОЮЛ НИТЧЕНКО А.Ю.</v>
          </cell>
          <cell r="C1136" t="str">
            <v>УССУРИЙСК    (ДВС)</v>
          </cell>
          <cell r="D1136">
            <v>33326</v>
          </cell>
          <cell r="E1136">
            <v>38008</v>
          </cell>
          <cell r="F1136">
            <v>163</v>
          </cell>
          <cell r="H1136">
            <v>0</v>
          </cell>
          <cell r="I1136" t="str">
            <v>деп</v>
          </cell>
          <cell r="J1136">
            <v>38555</v>
          </cell>
        </row>
        <row r="1137">
          <cell r="A1137">
            <v>58727694</v>
          </cell>
          <cell r="B1137" t="str">
            <v>ПБОЮЛ НИТЧЕНКО А.Ю.</v>
          </cell>
          <cell r="C1137" t="str">
            <v>УССУРИЙСК    (ДВС)</v>
          </cell>
          <cell r="D1137">
            <v>33390</v>
          </cell>
          <cell r="E1137">
            <v>37526</v>
          </cell>
          <cell r="F1137">
            <v>163</v>
          </cell>
          <cell r="H1137">
            <v>0</v>
          </cell>
          <cell r="I1137" t="str">
            <v>деп</v>
          </cell>
          <cell r="J1137">
            <v>38073</v>
          </cell>
        </row>
        <row r="1138">
          <cell r="B1138" t="str">
            <v>ПБОЮЛ НИТЧЕНКО А.Ю. Количество</v>
          </cell>
          <cell r="D1138">
            <v>2</v>
          </cell>
        </row>
        <row r="1139">
          <cell r="A1139">
            <v>53706305</v>
          </cell>
          <cell r="B1139" t="str">
            <v>ПБОЮЛ РООТ Ю.Б.</v>
          </cell>
          <cell r="C1139" t="str">
            <v>ПОДСИНИЙ     (КРС)</v>
          </cell>
          <cell r="D1139">
            <v>33482</v>
          </cell>
          <cell r="E1139">
            <v>37805</v>
          </cell>
          <cell r="F1139">
            <v>634</v>
          </cell>
          <cell r="H1139">
            <v>0</v>
          </cell>
          <cell r="I1139" t="str">
            <v>деп</v>
          </cell>
          <cell r="J1139">
            <v>38355</v>
          </cell>
        </row>
        <row r="1140">
          <cell r="A1140">
            <v>53706560</v>
          </cell>
          <cell r="B1140" t="str">
            <v>ПБОЮЛ РООТ Ю.Б.</v>
          </cell>
          <cell r="C1140" t="str">
            <v>ПОДСИНИЙ     (КРС)</v>
          </cell>
          <cell r="D1140">
            <v>33848</v>
          </cell>
          <cell r="E1140">
            <v>37917</v>
          </cell>
          <cell r="F1140">
            <v>819</v>
          </cell>
          <cell r="H1140">
            <v>0</v>
          </cell>
          <cell r="I1140" t="str">
            <v>деп</v>
          </cell>
          <cell r="J1140">
            <v>38465</v>
          </cell>
        </row>
        <row r="1141">
          <cell r="A1141">
            <v>53706578</v>
          </cell>
          <cell r="B1141" t="str">
            <v>ПБОЮЛ РООТ Ю.Б.</v>
          </cell>
          <cell r="C1141" t="str">
            <v>ПОДСИНИЙ     (КРС)</v>
          </cell>
          <cell r="D1141">
            <v>33848</v>
          </cell>
          <cell r="E1141">
            <v>37953</v>
          </cell>
          <cell r="F1141">
            <v>819</v>
          </cell>
          <cell r="H1141">
            <v>0</v>
          </cell>
          <cell r="I1141" t="str">
            <v>деп</v>
          </cell>
          <cell r="J1141">
            <v>38500</v>
          </cell>
        </row>
        <row r="1142">
          <cell r="A1142">
            <v>58342445</v>
          </cell>
          <cell r="B1142" t="str">
            <v>ПБОЮЛ РООТ Ю.Б.</v>
          </cell>
          <cell r="C1142" t="str">
            <v>МИНУСИНСК    (КРС)</v>
          </cell>
          <cell r="D1142">
            <v>31813</v>
          </cell>
          <cell r="E1142">
            <v>37792</v>
          </cell>
          <cell r="F1142">
            <v>634</v>
          </cell>
          <cell r="G1142">
            <v>37984</v>
          </cell>
          <cell r="H1142">
            <v>819</v>
          </cell>
          <cell r="I1142" t="str">
            <v>деп</v>
          </cell>
          <cell r="J1142">
            <v>38715</v>
          </cell>
        </row>
        <row r="1143">
          <cell r="A1143">
            <v>58728395</v>
          </cell>
          <cell r="B1143" t="str">
            <v>ПБОЮЛ РООТ Ю.Б.</v>
          </cell>
          <cell r="C1143" t="str">
            <v>МИНУСИНСК    (КРС)</v>
          </cell>
          <cell r="D1143">
            <v>33482</v>
          </cell>
          <cell r="E1143">
            <v>37843</v>
          </cell>
          <cell r="F1143">
            <v>634</v>
          </cell>
          <cell r="H1143">
            <v>0</v>
          </cell>
          <cell r="I1143" t="str">
            <v>деп</v>
          </cell>
          <cell r="J1143">
            <v>38393</v>
          </cell>
        </row>
        <row r="1144">
          <cell r="A1144">
            <v>58728494</v>
          </cell>
          <cell r="B1144" t="str">
            <v>ПБОЮЛ РООТ Ю.Б.</v>
          </cell>
          <cell r="C1144" t="str">
            <v>МИНУСИНСК    (КРС)</v>
          </cell>
          <cell r="D1144">
            <v>33842</v>
          </cell>
          <cell r="E1144">
            <v>37844</v>
          </cell>
          <cell r="F1144">
            <v>634</v>
          </cell>
          <cell r="H1144">
            <v>0</v>
          </cell>
          <cell r="I1144" t="str">
            <v>деп</v>
          </cell>
          <cell r="J1144">
            <v>38394</v>
          </cell>
        </row>
        <row r="1145">
          <cell r="A1145">
            <v>58728593</v>
          </cell>
          <cell r="B1145" t="str">
            <v>ПБОЮЛ РООТ Ю.Б.</v>
          </cell>
          <cell r="C1145" t="str">
            <v>МИНУСИНСК    (КРС)</v>
          </cell>
          <cell r="D1145">
            <v>33482</v>
          </cell>
          <cell r="E1145">
            <v>37843</v>
          </cell>
          <cell r="F1145">
            <v>634</v>
          </cell>
          <cell r="H1145">
            <v>0</v>
          </cell>
          <cell r="I1145" t="str">
            <v>деп</v>
          </cell>
          <cell r="J1145">
            <v>38393</v>
          </cell>
        </row>
        <row r="1146">
          <cell r="A1146">
            <v>58728692</v>
          </cell>
          <cell r="B1146" t="str">
            <v>ПБОЮЛ РООТ Ю.Б.</v>
          </cell>
          <cell r="C1146" t="str">
            <v>МИНУСИНСК    (КРС)</v>
          </cell>
          <cell r="D1146">
            <v>33482</v>
          </cell>
          <cell r="E1146">
            <v>37812</v>
          </cell>
          <cell r="F1146">
            <v>634</v>
          </cell>
          <cell r="H1146">
            <v>0</v>
          </cell>
          <cell r="I1146" t="str">
            <v>деп</v>
          </cell>
          <cell r="J1146">
            <v>38362</v>
          </cell>
        </row>
        <row r="1147">
          <cell r="A1147">
            <v>58740481</v>
          </cell>
          <cell r="B1147" t="str">
            <v>ПБОЮЛ РООТ Ю.Б.</v>
          </cell>
          <cell r="C1147" t="str">
            <v>ПОДСИНИЙ     (КРС)</v>
          </cell>
          <cell r="D1147">
            <v>33763</v>
          </cell>
          <cell r="E1147">
            <v>37693</v>
          </cell>
          <cell r="F1147">
            <v>634</v>
          </cell>
          <cell r="H1147">
            <v>0</v>
          </cell>
          <cell r="I1147" t="str">
            <v>деп</v>
          </cell>
          <cell r="J1147">
            <v>38243</v>
          </cell>
        </row>
        <row r="1148">
          <cell r="A1148">
            <v>58740507</v>
          </cell>
          <cell r="B1148" t="str">
            <v>ПБОЮЛ РООТ Ю.Б.</v>
          </cell>
          <cell r="C1148" t="str">
            <v>ПОДСИНИЙ     (КРС)</v>
          </cell>
          <cell r="D1148">
            <v>33694</v>
          </cell>
          <cell r="E1148">
            <v>37709</v>
          </cell>
          <cell r="F1148">
            <v>634</v>
          </cell>
          <cell r="H1148">
            <v>0</v>
          </cell>
          <cell r="I1148" t="str">
            <v>деп</v>
          </cell>
          <cell r="J1148">
            <v>38259</v>
          </cell>
        </row>
        <row r="1149">
          <cell r="A1149">
            <v>58740515</v>
          </cell>
          <cell r="B1149" t="str">
            <v>ПБОЮЛ РООТ Ю.Б.</v>
          </cell>
          <cell r="C1149" t="str">
            <v>ПОДСИНИЙ     (КРС)</v>
          </cell>
          <cell r="D1149">
            <v>32959</v>
          </cell>
          <cell r="E1149">
            <v>37694</v>
          </cell>
          <cell r="F1149">
            <v>634</v>
          </cell>
          <cell r="H1149">
            <v>0</v>
          </cell>
          <cell r="I1149" t="str">
            <v>деп</v>
          </cell>
          <cell r="J1149">
            <v>38244</v>
          </cell>
        </row>
        <row r="1150">
          <cell r="A1150">
            <v>58740523</v>
          </cell>
          <cell r="B1150" t="str">
            <v>ПБОЮЛ РООТ Ю.Б.</v>
          </cell>
          <cell r="C1150" t="str">
            <v>ПОДСИНИЙ     (КРС)</v>
          </cell>
          <cell r="D1150">
            <v>33760</v>
          </cell>
          <cell r="E1150">
            <v>37717</v>
          </cell>
          <cell r="F1150">
            <v>634</v>
          </cell>
          <cell r="H1150">
            <v>0</v>
          </cell>
          <cell r="I1150" t="str">
            <v>деп</v>
          </cell>
          <cell r="J1150">
            <v>38266</v>
          </cell>
        </row>
        <row r="1151">
          <cell r="A1151">
            <v>58740531</v>
          </cell>
          <cell r="B1151" t="str">
            <v>ПБОЮЛ РООТ Ю.Б.</v>
          </cell>
          <cell r="C1151" t="str">
            <v>ПОДСИНИЙ     (КРС)</v>
          </cell>
          <cell r="D1151">
            <v>33722</v>
          </cell>
          <cell r="E1151">
            <v>37699</v>
          </cell>
          <cell r="F1151">
            <v>634</v>
          </cell>
          <cell r="H1151">
            <v>0</v>
          </cell>
          <cell r="I1151" t="str">
            <v>деп</v>
          </cell>
          <cell r="J1151">
            <v>38249</v>
          </cell>
        </row>
        <row r="1152">
          <cell r="A1152">
            <v>58740713</v>
          </cell>
          <cell r="B1152" t="str">
            <v>ПБОЮЛ РООТ Ю.Б.</v>
          </cell>
          <cell r="C1152" t="str">
            <v>ПОДСИНИЙ     (КРС)</v>
          </cell>
          <cell r="D1152">
            <v>33239</v>
          </cell>
          <cell r="E1152">
            <v>37953</v>
          </cell>
          <cell r="F1152">
            <v>819</v>
          </cell>
          <cell r="H1152">
            <v>0</v>
          </cell>
          <cell r="I1152" t="str">
            <v>деп</v>
          </cell>
          <cell r="J1152">
            <v>38500</v>
          </cell>
        </row>
        <row r="1153">
          <cell r="A1153">
            <v>58740721</v>
          </cell>
          <cell r="B1153" t="str">
            <v>ПБОЮЛ РООТ Ю.Б.</v>
          </cell>
          <cell r="C1153" t="str">
            <v>ПОДСИНИЙ     (КРС)</v>
          </cell>
          <cell r="D1153">
            <v>33482</v>
          </cell>
          <cell r="E1153">
            <v>37953</v>
          </cell>
          <cell r="F1153">
            <v>819</v>
          </cell>
          <cell r="H1153">
            <v>0</v>
          </cell>
          <cell r="I1153" t="str">
            <v>деп</v>
          </cell>
          <cell r="J1153">
            <v>38500</v>
          </cell>
        </row>
        <row r="1154">
          <cell r="A1154">
            <v>58740739</v>
          </cell>
          <cell r="B1154" t="str">
            <v>ПБОЮЛ РООТ Ю.Б.</v>
          </cell>
          <cell r="C1154" t="str">
            <v>ПОДСИНИЙ     (КРС)</v>
          </cell>
          <cell r="D1154">
            <v>33482</v>
          </cell>
          <cell r="E1154">
            <v>37953</v>
          </cell>
          <cell r="F1154">
            <v>819</v>
          </cell>
          <cell r="H1154">
            <v>0</v>
          </cell>
          <cell r="I1154" t="str">
            <v>деп</v>
          </cell>
          <cell r="J1154">
            <v>38500</v>
          </cell>
        </row>
        <row r="1155">
          <cell r="A1155">
            <v>58740747</v>
          </cell>
          <cell r="B1155" t="str">
            <v>ПБОЮЛ РООТ Ю.Б.</v>
          </cell>
          <cell r="C1155" t="str">
            <v>ПОДСИНИЙ     (КРС)</v>
          </cell>
          <cell r="D1155">
            <v>33482</v>
          </cell>
          <cell r="E1155">
            <v>37953</v>
          </cell>
          <cell r="F1155">
            <v>819</v>
          </cell>
          <cell r="H1155">
            <v>0</v>
          </cell>
          <cell r="I1155" t="str">
            <v>деп</v>
          </cell>
          <cell r="J1155">
            <v>38500</v>
          </cell>
        </row>
        <row r="1156">
          <cell r="A1156">
            <v>58740754</v>
          </cell>
          <cell r="B1156" t="str">
            <v>ПБОЮЛ РООТ Ю.Б.</v>
          </cell>
          <cell r="C1156" t="str">
            <v>ПОДСИНИЙ     (КРС)</v>
          </cell>
          <cell r="D1156">
            <v>33482</v>
          </cell>
          <cell r="E1156">
            <v>37741</v>
          </cell>
          <cell r="F1156">
            <v>819</v>
          </cell>
          <cell r="H1156">
            <v>0</v>
          </cell>
          <cell r="I1156" t="str">
            <v>деп</v>
          </cell>
          <cell r="J1156">
            <v>38290</v>
          </cell>
        </row>
        <row r="1157">
          <cell r="A1157">
            <v>58740762</v>
          </cell>
          <cell r="B1157" t="str">
            <v>ПБОЮЛ РООТ Ю.Б.</v>
          </cell>
          <cell r="C1157" t="str">
            <v>ПОДСИНИЙ     (КРС)</v>
          </cell>
          <cell r="D1157">
            <v>33482</v>
          </cell>
          <cell r="E1157">
            <v>37741</v>
          </cell>
          <cell r="F1157">
            <v>819</v>
          </cell>
          <cell r="H1157">
            <v>0</v>
          </cell>
          <cell r="I1157" t="str">
            <v>деп</v>
          </cell>
          <cell r="J1157">
            <v>38290</v>
          </cell>
        </row>
        <row r="1158">
          <cell r="B1158" t="str">
            <v>ПБОЮЛ РООТ Ю.Б. Количество</v>
          </cell>
          <cell r="D1158">
            <v>19</v>
          </cell>
        </row>
        <row r="1159">
          <cell r="A1159">
            <v>58727397</v>
          </cell>
          <cell r="B1159" t="str">
            <v>ПБОЮЛ САВОСТИНА В.Е.</v>
          </cell>
          <cell r="C1159" t="str">
            <v>ГАЙДАМАК     (ДВС)</v>
          </cell>
          <cell r="D1159">
            <v>33772</v>
          </cell>
          <cell r="E1159">
            <v>37482</v>
          </cell>
          <cell r="F1159">
            <v>669</v>
          </cell>
          <cell r="H1159">
            <v>0</v>
          </cell>
          <cell r="I1159" t="str">
            <v>деп</v>
          </cell>
          <cell r="J1159">
            <v>38031</v>
          </cell>
        </row>
        <row r="1160">
          <cell r="A1160">
            <v>58742545</v>
          </cell>
          <cell r="B1160" t="str">
            <v>ПБОЮЛ САВОСТИНА В.Е.</v>
          </cell>
          <cell r="C1160" t="str">
            <v>УССУРИЙСК    (ДВС)</v>
          </cell>
          <cell r="D1160">
            <v>33287</v>
          </cell>
          <cell r="E1160">
            <v>38012</v>
          </cell>
          <cell r="F1160">
            <v>163</v>
          </cell>
          <cell r="H1160">
            <v>0</v>
          </cell>
          <cell r="I1160" t="str">
            <v>деп</v>
          </cell>
          <cell r="J1160">
            <v>38559</v>
          </cell>
        </row>
        <row r="1161">
          <cell r="B1161" t="str">
            <v>ПБОЮЛ САВОСТИНА В.Е. Количество</v>
          </cell>
          <cell r="D1161">
            <v>2</v>
          </cell>
        </row>
        <row r="1162">
          <cell r="A1162">
            <v>58331174</v>
          </cell>
          <cell r="B1162" t="str">
            <v>ПБОЮЛ ЧУЕВ М.И.</v>
          </cell>
          <cell r="C1162" t="str">
            <v>ИРКУТСК-СОРТ (ВСБ)</v>
          </cell>
          <cell r="D1162">
            <v>31842</v>
          </cell>
          <cell r="E1162">
            <v>37999</v>
          </cell>
          <cell r="F1162">
            <v>647</v>
          </cell>
          <cell r="H1162">
            <v>0</v>
          </cell>
          <cell r="I1162" t="str">
            <v>кап</v>
          </cell>
          <cell r="J1162">
            <v>38546</v>
          </cell>
        </row>
        <row r="1163">
          <cell r="A1163">
            <v>58331208</v>
          </cell>
          <cell r="B1163" t="str">
            <v>ПБОЮЛ ЧУЕВ М.И.</v>
          </cell>
          <cell r="C1163" t="str">
            <v>ИРКУТСК-СОРТ (ВСБ)</v>
          </cell>
          <cell r="D1163">
            <v>31842</v>
          </cell>
          <cell r="E1163">
            <v>38011</v>
          </cell>
          <cell r="F1163">
            <v>647</v>
          </cell>
          <cell r="H1163">
            <v>0</v>
          </cell>
          <cell r="I1163" t="str">
            <v>кап</v>
          </cell>
          <cell r="J1163">
            <v>38558</v>
          </cell>
        </row>
        <row r="1164">
          <cell r="A1164">
            <v>58342676</v>
          </cell>
          <cell r="B1164" t="str">
            <v>ПБОЮЛ ЧУЕВ М.И.</v>
          </cell>
          <cell r="C1164" t="str">
            <v>ИРКУТСК-СОРТ (ВСБ)</v>
          </cell>
          <cell r="D1164">
            <v>30974</v>
          </cell>
          <cell r="F1164">
            <v>0</v>
          </cell>
          <cell r="H1164">
            <v>0</v>
          </cell>
          <cell r="I1164" t="str">
            <v>деп</v>
          </cell>
          <cell r="J1164">
            <v>31704</v>
          </cell>
        </row>
        <row r="1165">
          <cell r="A1165">
            <v>58342684</v>
          </cell>
          <cell r="B1165" t="str">
            <v>ПБОЮЛ ЧУЕВ М.И.</v>
          </cell>
          <cell r="C1165" t="str">
            <v>ИРКУТСК-СОРТ (ВСБ)</v>
          </cell>
          <cell r="D1165">
            <v>30974</v>
          </cell>
          <cell r="F1165">
            <v>0</v>
          </cell>
          <cell r="H1165">
            <v>0</v>
          </cell>
          <cell r="I1165" t="str">
            <v>деп</v>
          </cell>
          <cell r="J1165">
            <v>31704</v>
          </cell>
        </row>
        <row r="1166">
          <cell r="A1166">
            <v>58342692</v>
          </cell>
          <cell r="B1166" t="str">
            <v>ПБОЮЛ ЧУЕВ М.И.</v>
          </cell>
          <cell r="C1166" t="str">
            <v>ИРКУТСК-СОРТ (ВСБ)</v>
          </cell>
          <cell r="D1166">
            <v>30594</v>
          </cell>
          <cell r="F1166">
            <v>0</v>
          </cell>
          <cell r="H1166">
            <v>0</v>
          </cell>
          <cell r="I1166" t="str">
            <v>деп</v>
          </cell>
          <cell r="J1166">
            <v>31325</v>
          </cell>
        </row>
        <row r="1167">
          <cell r="A1167">
            <v>58342700</v>
          </cell>
          <cell r="B1167" t="str">
            <v>ПБОЮЛ ЧУЕВ М.И.</v>
          </cell>
          <cell r="C1167" t="str">
            <v>ИРКУТСК-СОРТ (ВСБ)</v>
          </cell>
          <cell r="D1167">
            <v>30602</v>
          </cell>
          <cell r="F1167">
            <v>0</v>
          </cell>
          <cell r="H1167">
            <v>0</v>
          </cell>
          <cell r="I1167" t="str">
            <v>деп</v>
          </cell>
          <cell r="J1167">
            <v>31333</v>
          </cell>
        </row>
        <row r="1168">
          <cell r="A1168">
            <v>58342718</v>
          </cell>
          <cell r="B1168" t="str">
            <v>ПБОЮЛ ЧУЕВ М.И.</v>
          </cell>
          <cell r="C1168" t="str">
            <v>ИРКУТСК-СОРТ (ВСБ)</v>
          </cell>
          <cell r="D1168">
            <v>30568</v>
          </cell>
          <cell r="E1168">
            <v>37969</v>
          </cell>
          <cell r="F1168">
            <v>647</v>
          </cell>
          <cell r="H1168">
            <v>0</v>
          </cell>
          <cell r="I1168" t="str">
            <v>кап</v>
          </cell>
          <cell r="J1168">
            <v>38517</v>
          </cell>
        </row>
        <row r="1169">
          <cell r="A1169">
            <v>58342726</v>
          </cell>
          <cell r="B1169" t="str">
            <v>ПБОЮЛ ЧУЕВ М.И.</v>
          </cell>
          <cell r="C1169" t="str">
            <v>ИРКУТСК-СОРТ (ВСБ)</v>
          </cell>
          <cell r="D1169">
            <v>30880</v>
          </cell>
          <cell r="E1169">
            <v>37969</v>
          </cell>
          <cell r="F1169">
            <v>647</v>
          </cell>
          <cell r="H1169">
            <v>0</v>
          </cell>
          <cell r="I1169" t="str">
            <v>кап</v>
          </cell>
          <cell r="J1169">
            <v>38517</v>
          </cell>
        </row>
        <row r="1170">
          <cell r="A1170">
            <v>58342734</v>
          </cell>
          <cell r="B1170" t="str">
            <v>ПБОЮЛ ЧУЕВ М.И.</v>
          </cell>
          <cell r="C1170" t="str">
            <v>ИРКУТСК-СОРТ (ВСБ)</v>
          </cell>
          <cell r="D1170">
            <v>30505</v>
          </cell>
          <cell r="E1170">
            <v>37963</v>
          </cell>
          <cell r="F1170">
            <v>647</v>
          </cell>
          <cell r="H1170">
            <v>0</v>
          </cell>
          <cell r="I1170" t="str">
            <v>кап</v>
          </cell>
          <cell r="J1170">
            <v>38511</v>
          </cell>
        </row>
        <row r="1171">
          <cell r="A1171">
            <v>58342742</v>
          </cell>
          <cell r="B1171" t="str">
            <v>ПБОЮЛ ЧУЕВ М.И.</v>
          </cell>
          <cell r="C1171" t="str">
            <v>ИРКУТСК-СОРТ (ВСБ)</v>
          </cell>
          <cell r="D1171">
            <v>31202</v>
          </cell>
          <cell r="E1171">
            <v>37951</v>
          </cell>
          <cell r="F1171">
            <v>647</v>
          </cell>
          <cell r="H1171">
            <v>0</v>
          </cell>
          <cell r="I1171" t="str">
            <v>кап</v>
          </cell>
          <cell r="J1171">
            <v>38498</v>
          </cell>
        </row>
        <row r="1172">
          <cell r="A1172">
            <v>58342759</v>
          </cell>
          <cell r="B1172" t="str">
            <v>ПБОЮЛ ЧУЕВ М.И.</v>
          </cell>
          <cell r="C1172" t="str">
            <v>ИРКУТСК-СОРТ (ВСБ)</v>
          </cell>
          <cell r="D1172">
            <v>30851</v>
          </cell>
          <cell r="E1172">
            <v>37963</v>
          </cell>
          <cell r="F1172">
            <v>647</v>
          </cell>
          <cell r="H1172">
            <v>0</v>
          </cell>
          <cell r="I1172" t="str">
            <v>кап</v>
          </cell>
          <cell r="J1172">
            <v>38511</v>
          </cell>
        </row>
        <row r="1173">
          <cell r="A1173">
            <v>58342767</v>
          </cell>
          <cell r="B1173" t="str">
            <v>ПБОЮЛ ЧУЕВ М.И.</v>
          </cell>
          <cell r="C1173" t="str">
            <v>ИРКУТСК-СОРТ (ВСБ)</v>
          </cell>
          <cell r="D1173">
            <v>30594</v>
          </cell>
          <cell r="E1173">
            <v>37950</v>
          </cell>
          <cell r="F1173">
            <v>647</v>
          </cell>
          <cell r="H1173">
            <v>0</v>
          </cell>
          <cell r="I1173" t="str">
            <v>кап</v>
          </cell>
          <cell r="J1173">
            <v>38497</v>
          </cell>
        </row>
        <row r="1174">
          <cell r="A1174">
            <v>58342775</v>
          </cell>
          <cell r="B1174" t="str">
            <v>ПБОЮЛ ЧУЕВ М.И.</v>
          </cell>
          <cell r="C1174" t="str">
            <v>ИРКУТСК-СОРТ (ВСБ)</v>
          </cell>
          <cell r="D1174">
            <v>30510</v>
          </cell>
          <cell r="F1174">
            <v>0</v>
          </cell>
          <cell r="H1174">
            <v>0</v>
          </cell>
          <cell r="I1174" t="str">
            <v>деп</v>
          </cell>
          <cell r="J1174">
            <v>31241</v>
          </cell>
        </row>
        <row r="1175">
          <cell r="A1175">
            <v>58342783</v>
          </cell>
          <cell r="B1175" t="str">
            <v>ПБОЮЛ ЧУЕВ М.И.</v>
          </cell>
          <cell r="C1175" t="str">
            <v>ИРКУТСК-СОРТ (ВСБ)</v>
          </cell>
          <cell r="D1175">
            <v>31184</v>
          </cell>
          <cell r="F1175">
            <v>0</v>
          </cell>
          <cell r="H1175">
            <v>0</v>
          </cell>
          <cell r="I1175" t="str">
            <v>деп</v>
          </cell>
          <cell r="J1175">
            <v>31914</v>
          </cell>
        </row>
        <row r="1176">
          <cell r="A1176">
            <v>58342791</v>
          </cell>
          <cell r="B1176" t="str">
            <v>ПБОЮЛ ЧУЕВ М.И.</v>
          </cell>
          <cell r="C1176" t="str">
            <v>ИРКУТСК-СОРТ (ВСБ)</v>
          </cell>
          <cell r="D1176">
            <v>31189</v>
          </cell>
          <cell r="F1176">
            <v>0</v>
          </cell>
          <cell r="H1176">
            <v>0</v>
          </cell>
          <cell r="I1176" t="str">
            <v>деп</v>
          </cell>
          <cell r="J1176">
            <v>31919</v>
          </cell>
        </row>
        <row r="1177">
          <cell r="A1177">
            <v>58342809</v>
          </cell>
          <cell r="B1177" t="str">
            <v>ПБОЮЛ ЧУЕВ М.И.</v>
          </cell>
          <cell r="C1177" t="str">
            <v>ИРКУТСК-СОРТ (ВСБ)</v>
          </cell>
          <cell r="D1177">
            <v>31240</v>
          </cell>
          <cell r="F1177">
            <v>0</v>
          </cell>
          <cell r="H1177">
            <v>0</v>
          </cell>
          <cell r="I1177" t="str">
            <v>деп</v>
          </cell>
          <cell r="J1177">
            <v>31970</v>
          </cell>
        </row>
        <row r="1178">
          <cell r="A1178">
            <v>58342817</v>
          </cell>
          <cell r="B1178" t="str">
            <v>ПБОЮЛ ЧУЕВ М.И.</v>
          </cell>
          <cell r="C1178" t="str">
            <v>ИРКУТСК-СОРТ (ВСБ)</v>
          </cell>
          <cell r="D1178">
            <v>31246</v>
          </cell>
          <cell r="F1178">
            <v>0</v>
          </cell>
          <cell r="H1178">
            <v>0</v>
          </cell>
          <cell r="I1178" t="str">
            <v>деп</v>
          </cell>
          <cell r="J1178">
            <v>31976</v>
          </cell>
        </row>
        <row r="1179">
          <cell r="A1179">
            <v>58342825</v>
          </cell>
          <cell r="B1179" t="str">
            <v>ПБОЮЛ ЧУЕВ М.И.</v>
          </cell>
          <cell r="C1179" t="str">
            <v>ИРКУТСК-СОРТ (ВСБ)</v>
          </cell>
          <cell r="D1179">
            <v>31253</v>
          </cell>
          <cell r="F1179">
            <v>0</v>
          </cell>
          <cell r="H1179">
            <v>0</v>
          </cell>
          <cell r="I1179" t="str">
            <v>деп</v>
          </cell>
          <cell r="J1179">
            <v>31983</v>
          </cell>
        </row>
        <row r="1180">
          <cell r="A1180">
            <v>58342833</v>
          </cell>
          <cell r="B1180" t="str">
            <v>ПБОЮЛ ЧУЕВ М.И.</v>
          </cell>
          <cell r="C1180" t="str">
            <v>ИРКУТСК-СОРТ (ВСБ)</v>
          </cell>
          <cell r="D1180">
            <v>31266</v>
          </cell>
          <cell r="F1180">
            <v>0</v>
          </cell>
          <cell r="H1180">
            <v>0</v>
          </cell>
          <cell r="I1180" t="str">
            <v>деп</v>
          </cell>
          <cell r="J1180">
            <v>31996</v>
          </cell>
        </row>
        <row r="1181">
          <cell r="A1181">
            <v>58342841</v>
          </cell>
          <cell r="B1181" t="str">
            <v>ПБОЮЛ ЧУЕВ М.И.</v>
          </cell>
          <cell r="C1181" t="str">
            <v>ИРКУТСК-СОРТ (ВСБ)</v>
          </cell>
          <cell r="D1181">
            <v>31273</v>
          </cell>
          <cell r="F1181">
            <v>0</v>
          </cell>
          <cell r="H1181">
            <v>0</v>
          </cell>
          <cell r="I1181" t="str">
            <v>деп</v>
          </cell>
          <cell r="J1181">
            <v>32003</v>
          </cell>
        </row>
        <row r="1182">
          <cell r="A1182">
            <v>58342858</v>
          </cell>
          <cell r="B1182" t="str">
            <v>ПБОЮЛ ЧУЕВ М.И.</v>
          </cell>
          <cell r="C1182" t="str">
            <v>ИРКУТСК-СОРТ (ВСБ)</v>
          </cell>
          <cell r="D1182">
            <v>31294</v>
          </cell>
          <cell r="F1182">
            <v>0</v>
          </cell>
          <cell r="H1182">
            <v>0</v>
          </cell>
          <cell r="I1182" t="str">
            <v>деп</v>
          </cell>
          <cell r="J1182">
            <v>32024</v>
          </cell>
        </row>
        <row r="1183">
          <cell r="A1183">
            <v>58342866</v>
          </cell>
          <cell r="B1183" t="str">
            <v>ПБОЮЛ ЧУЕВ М.И.</v>
          </cell>
          <cell r="C1183" t="str">
            <v>ИРКУТСК-СОРТ (ВСБ)</v>
          </cell>
          <cell r="D1183">
            <v>30561</v>
          </cell>
          <cell r="F1183">
            <v>0</v>
          </cell>
          <cell r="H1183">
            <v>0</v>
          </cell>
          <cell r="I1183" t="str">
            <v>деп</v>
          </cell>
          <cell r="J1183">
            <v>31292</v>
          </cell>
        </row>
        <row r="1184">
          <cell r="A1184">
            <v>58342874</v>
          </cell>
          <cell r="B1184" t="str">
            <v>ПБОЮЛ ЧУЕВ М.И.</v>
          </cell>
          <cell r="C1184" t="str">
            <v>ИРКУТСК-СОРТ (ВСБ)</v>
          </cell>
          <cell r="D1184">
            <v>30036</v>
          </cell>
          <cell r="F1184">
            <v>0</v>
          </cell>
          <cell r="H1184">
            <v>0</v>
          </cell>
          <cell r="I1184" t="str">
            <v>деп</v>
          </cell>
          <cell r="J1184">
            <v>30767</v>
          </cell>
        </row>
        <row r="1185">
          <cell r="A1185">
            <v>58342882</v>
          </cell>
          <cell r="B1185" t="str">
            <v>ПБОЮЛ ЧУЕВ М.И.</v>
          </cell>
          <cell r="C1185" t="str">
            <v>ИРКУТСК-СОРТ (ВСБ)</v>
          </cell>
          <cell r="D1185">
            <v>30946</v>
          </cell>
          <cell r="F1185">
            <v>0</v>
          </cell>
          <cell r="H1185">
            <v>0</v>
          </cell>
          <cell r="I1185" t="str">
            <v>деп</v>
          </cell>
          <cell r="J1185">
            <v>31676</v>
          </cell>
        </row>
        <row r="1186">
          <cell r="A1186">
            <v>58342890</v>
          </cell>
          <cell r="B1186" t="str">
            <v>ПБОЮЛ ЧУЕВ М.И.</v>
          </cell>
          <cell r="C1186" t="str">
            <v>ИРКУТСК-СОРТ (ВСБ)</v>
          </cell>
          <cell r="D1186">
            <v>30579</v>
          </cell>
          <cell r="F1186">
            <v>0</v>
          </cell>
          <cell r="H1186">
            <v>0</v>
          </cell>
          <cell r="I1186" t="str">
            <v>деп</v>
          </cell>
          <cell r="J1186">
            <v>31310</v>
          </cell>
        </row>
        <row r="1187">
          <cell r="A1187">
            <v>58342908</v>
          </cell>
          <cell r="B1187" t="str">
            <v>ПБОЮЛ ЧУЕВ М.И.</v>
          </cell>
          <cell r="C1187" t="str">
            <v>ИРКУТСК-СОРТ (ВСБ)</v>
          </cell>
          <cell r="D1187">
            <v>30859</v>
          </cell>
          <cell r="F1187">
            <v>0</v>
          </cell>
          <cell r="H1187">
            <v>0</v>
          </cell>
          <cell r="I1187" t="str">
            <v>деп</v>
          </cell>
          <cell r="J1187">
            <v>31589</v>
          </cell>
        </row>
        <row r="1188">
          <cell r="A1188">
            <v>58342916</v>
          </cell>
          <cell r="B1188" t="str">
            <v>ПБОЮЛ ЧУЕВ М.И.</v>
          </cell>
          <cell r="C1188" t="str">
            <v>ИРКУТСК-СОРТ (ВСБ)</v>
          </cell>
          <cell r="D1188">
            <v>30505</v>
          </cell>
          <cell r="F1188">
            <v>0</v>
          </cell>
          <cell r="H1188">
            <v>0</v>
          </cell>
          <cell r="I1188" t="str">
            <v>деп</v>
          </cell>
          <cell r="J1188">
            <v>31236</v>
          </cell>
        </row>
        <row r="1189">
          <cell r="A1189">
            <v>58342924</v>
          </cell>
          <cell r="B1189" t="str">
            <v>ПБОЮЛ ЧУЕВ М.И.</v>
          </cell>
          <cell r="C1189" t="str">
            <v>ИРКУТСК-СОРТ (ВСБ)</v>
          </cell>
          <cell r="D1189">
            <v>30510</v>
          </cell>
          <cell r="F1189">
            <v>0</v>
          </cell>
          <cell r="H1189">
            <v>0</v>
          </cell>
          <cell r="I1189" t="str">
            <v>деп</v>
          </cell>
          <cell r="J1189">
            <v>31241</v>
          </cell>
        </row>
        <row r="1190">
          <cell r="A1190">
            <v>58342932</v>
          </cell>
          <cell r="B1190" t="str">
            <v>ПБОЮЛ ЧУЕВ М.И.</v>
          </cell>
          <cell r="C1190" t="str">
            <v>ИРКУТСК-СОРТ (ВСБ)</v>
          </cell>
          <cell r="D1190">
            <v>29973</v>
          </cell>
          <cell r="E1190">
            <v>38002</v>
          </cell>
          <cell r="F1190">
            <v>647</v>
          </cell>
          <cell r="H1190">
            <v>0</v>
          </cell>
          <cell r="I1190" t="str">
            <v>кап</v>
          </cell>
          <cell r="J1190">
            <v>38549</v>
          </cell>
        </row>
        <row r="1191">
          <cell r="A1191">
            <v>58342940</v>
          </cell>
          <cell r="B1191" t="str">
            <v>ПБОЮЛ ЧУЕВ М.И.</v>
          </cell>
          <cell r="C1191" t="str">
            <v>ИРКУТСК-СОРТ (ВСБ)</v>
          </cell>
          <cell r="D1191">
            <v>30887</v>
          </cell>
          <cell r="F1191">
            <v>0</v>
          </cell>
          <cell r="H1191">
            <v>0</v>
          </cell>
          <cell r="I1191" t="str">
            <v>деп</v>
          </cell>
          <cell r="J1191">
            <v>31617</v>
          </cell>
        </row>
        <row r="1192">
          <cell r="A1192">
            <v>58342957</v>
          </cell>
          <cell r="B1192" t="str">
            <v>ПБОЮЛ ЧУЕВ М.И.</v>
          </cell>
          <cell r="C1192" t="str">
            <v>ИРКУТСК-СОРТ (ВСБ)</v>
          </cell>
          <cell r="D1192">
            <v>29936</v>
          </cell>
          <cell r="E1192">
            <v>38013</v>
          </cell>
          <cell r="F1192">
            <v>647</v>
          </cell>
          <cell r="H1192">
            <v>0</v>
          </cell>
          <cell r="I1192" t="str">
            <v>кап</v>
          </cell>
          <cell r="J1192">
            <v>38560</v>
          </cell>
        </row>
        <row r="1193">
          <cell r="B1193" t="str">
            <v>ПБОЮЛ ЧУЕВ М.И. Количество</v>
          </cell>
          <cell r="D1193">
            <v>31</v>
          </cell>
        </row>
        <row r="1194">
          <cell r="A1194">
            <v>53704516</v>
          </cell>
          <cell r="B1194" t="str">
            <v>ПЕРМСК.МАРГАРИН.З-Д СДОБРИ</v>
          </cell>
          <cell r="C1194" t="str">
            <v>ПЕРМЬ2       (СВР)</v>
          </cell>
          <cell r="D1194">
            <v>32962</v>
          </cell>
          <cell r="E1194">
            <v>36313</v>
          </cell>
          <cell r="F1194">
            <v>0</v>
          </cell>
          <cell r="G1194">
            <v>36691</v>
          </cell>
          <cell r="I1194" t="str">
            <v>деп</v>
          </cell>
          <cell r="J1194">
            <v>37786</v>
          </cell>
        </row>
        <row r="1195">
          <cell r="B1195" t="str">
            <v>ПЕРМСК.МАРГАРИН.З-Д СДОБРИ Количество</v>
          </cell>
          <cell r="D1195">
            <v>1</v>
          </cell>
        </row>
        <row r="1196">
          <cell r="A1196">
            <v>53702825</v>
          </cell>
          <cell r="B1196" t="str">
            <v>ПЕТРОВСК-ЗАБАЙКАЛ.МЕТ.З-Д</v>
          </cell>
          <cell r="C1196" t="str">
            <v>ПЕТРОВ.ЗАВОД (ЗАБ)</v>
          </cell>
          <cell r="D1196">
            <v>33604</v>
          </cell>
          <cell r="E1196">
            <v>35827</v>
          </cell>
        </row>
        <row r="1197">
          <cell r="B1197" t="str">
            <v>ПЕТРОВСК-ЗАБАЙКАЛ.МЕТ.З-Д Количество</v>
          </cell>
          <cell r="D1197">
            <v>1</v>
          </cell>
        </row>
        <row r="1198">
          <cell r="A1198">
            <v>53704326</v>
          </cell>
          <cell r="B1198" t="str">
            <v>ПМС-104</v>
          </cell>
          <cell r="C1198" t="str">
            <v>СТАЛЬН.КОНЬ  (МСK)</v>
          </cell>
          <cell r="D1198">
            <v>26604</v>
          </cell>
          <cell r="E1198">
            <v>37998</v>
          </cell>
          <cell r="F1198">
            <v>335</v>
          </cell>
          <cell r="G1198">
            <v>35735</v>
          </cell>
          <cell r="H1198">
            <v>335</v>
          </cell>
          <cell r="I1198" t="str">
            <v>деп</v>
          </cell>
          <cell r="J1198">
            <v>38545</v>
          </cell>
        </row>
        <row r="1199">
          <cell r="B1199" t="str">
            <v>ПМС-104 Количество</v>
          </cell>
          <cell r="D1199">
            <v>1</v>
          </cell>
        </row>
        <row r="1200">
          <cell r="A1200">
            <v>53703823</v>
          </cell>
          <cell r="B1200" t="str">
            <v>ПОДОЛЬСКОЕ ППЖТ</v>
          </cell>
          <cell r="C1200" t="str">
            <v>СИЛИКАТНАЯ   (МСK)</v>
          </cell>
          <cell r="D1200">
            <v>25355</v>
          </cell>
          <cell r="E1200">
            <v>34732</v>
          </cell>
          <cell r="G1200">
            <v>31989</v>
          </cell>
        </row>
        <row r="1201">
          <cell r="B1201" t="str">
            <v>ПОДОЛЬСКОЕ ППЖТ Количество</v>
          </cell>
          <cell r="D1201">
            <v>1</v>
          </cell>
        </row>
        <row r="1202">
          <cell r="A1202">
            <v>53703724</v>
          </cell>
          <cell r="B1202" t="str">
            <v>ПОДСОБН.ХОЗ-ВО ТЮМ.ЭНЕРГО</v>
          </cell>
          <cell r="C1202" t="str">
            <v>ОЗ.АНДРЕЕВСК (СВР)</v>
          </cell>
          <cell r="D1202">
            <v>34973</v>
          </cell>
          <cell r="E1202">
            <v>37999</v>
          </cell>
          <cell r="F1202">
            <v>886</v>
          </cell>
          <cell r="I1202" t="str">
            <v>деп</v>
          </cell>
          <cell r="J1202">
            <v>39095</v>
          </cell>
        </row>
        <row r="1203">
          <cell r="A1203">
            <v>58723040</v>
          </cell>
          <cell r="B1203" t="str">
            <v>ПОДСОБН.ХОЗ-ВО ТЮМ.ЭНЕРГО</v>
          </cell>
          <cell r="C1203" t="str">
            <v>ОЗ.АНДРЕЕВСК (СВР)</v>
          </cell>
          <cell r="D1203">
            <v>34973</v>
          </cell>
          <cell r="E1203">
            <v>37999</v>
          </cell>
          <cell r="F1203">
            <v>886</v>
          </cell>
          <cell r="I1203" t="str">
            <v>деп</v>
          </cell>
          <cell r="J1203">
            <v>38424</v>
          </cell>
        </row>
        <row r="1204">
          <cell r="A1204">
            <v>58723057</v>
          </cell>
          <cell r="B1204" t="str">
            <v>ПОДСОБН.ХОЗ-ВО ТЮМ.ЭНЕРГО</v>
          </cell>
          <cell r="C1204" t="str">
            <v>ОЗ.АНДРЕЕВСК (СВР)</v>
          </cell>
          <cell r="D1204">
            <v>34973</v>
          </cell>
          <cell r="E1204">
            <v>37999</v>
          </cell>
          <cell r="F1204">
            <v>886</v>
          </cell>
          <cell r="I1204" t="str">
            <v>деп</v>
          </cell>
          <cell r="J1204">
            <v>38424</v>
          </cell>
        </row>
        <row r="1205">
          <cell r="A1205">
            <v>58723065</v>
          </cell>
          <cell r="B1205" t="str">
            <v>ПОДСОБН.ХОЗ-ВО ТЮМ.ЭНЕРГО</v>
          </cell>
          <cell r="C1205" t="str">
            <v>ОЗ.АНДРЕЕВСК (СВР)</v>
          </cell>
          <cell r="D1205">
            <v>34973</v>
          </cell>
          <cell r="E1205">
            <v>37999</v>
          </cell>
          <cell r="F1205">
            <v>886</v>
          </cell>
          <cell r="I1205" t="str">
            <v>деп</v>
          </cell>
          <cell r="J1205">
            <v>38424</v>
          </cell>
        </row>
        <row r="1206">
          <cell r="A1206">
            <v>58723073</v>
          </cell>
          <cell r="B1206" t="str">
            <v>ПОДСОБН.ХОЗ-ВО ТЮМ.ЭНЕРГО</v>
          </cell>
          <cell r="C1206" t="str">
            <v>ОЗ.АНДРЕЕВСК (СВР)</v>
          </cell>
          <cell r="D1206">
            <v>34973</v>
          </cell>
          <cell r="E1206">
            <v>37999</v>
          </cell>
          <cell r="F1206">
            <v>886</v>
          </cell>
          <cell r="I1206" t="str">
            <v>деп</v>
          </cell>
          <cell r="J1206">
            <v>38424</v>
          </cell>
        </row>
        <row r="1207">
          <cell r="B1207" t="str">
            <v>ПОДСОБН.ХОЗ-ВО ТЮМ.ЭНЕРГО Количество</v>
          </cell>
          <cell r="D1207">
            <v>5</v>
          </cell>
        </row>
        <row r="1208">
          <cell r="A1208">
            <v>53703807</v>
          </cell>
          <cell r="B1208" t="str">
            <v>ППСК ТЭЦ-25</v>
          </cell>
          <cell r="C1208" t="str">
            <v>ОЧАКОВО 1    (МСK)</v>
          </cell>
          <cell r="D1208">
            <v>26053</v>
          </cell>
          <cell r="E1208">
            <v>35052</v>
          </cell>
        </row>
        <row r="1209">
          <cell r="A1209">
            <v>53703815</v>
          </cell>
          <cell r="B1209" t="str">
            <v>ППСК ТЭЦ-25</v>
          </cell>
          <cell r="C1209" t="str">
            <v>ОЧАКОВО 1    (МСK)</v>
          </cell>
          <cell r="D1209">
            <v>24555</v>
          </cell>
          <cell r="E1209">
            <v>34999</v>
          </cell>
        </row>
        <row r="1210">
          <cell r="B1210" t="str">
            <v>ППСК ТЭЦ-25 Количество</v>
          </cell>
          <cell r="D1210">
            <v>2</v>
          </cell>
        </row>
        <row r="1211">
          <cell r="A1211">
            <v>53701520</v>
          </cell>
          <cell r="B1211" t="str">
            <v>ПРАВО</v>
          </cell>
          <cell r="C1211" t="str">
            <v>КУМЕРТАУ     (КБШ)</v>
          </cell>
          <cell r="D1211">
            <v>33329</v>
          </cell>
          <cell r="F1211">
            <v>0</v>
          </cell>
          <cell r="H1211">
            <v>0</v>
          </cell>
          <cell r="I1211" t="str">
            <v>деп</v>
          </cell>
          <cell r="J1211">
            <v>34425</v>
          </cell>
        </row>
        <row r="1212">
          <cell r="A1212">
            <v>58338328</v>
          </cell>
          <cell r="B1212" t="str">
            <v>ПРАВО</v>
          </cell>
          <cell r="C1212" t="str">
            <v>КУМЕРТАУ     (КБШ)</v>
          </cell>
          <cell r="D1212">
            <v>33329</v>
          </cell>
          <cell r="F1212">
            <v>0</v>
          </cell>
          <cell r="H1212">
            <v>0</v>
          </cell>
          <cell r="I1212" t="str">
            <v>деп</v>
          </cell>
          <cell r="J1212">
            <v>34425</v>
          </cell>
        </row>
        <row r="1213">
          <cell r="A1213">
            <v>58338336</v>
          </cell>
          <cell r="B1213" t="str">
            <v>ПРАВО</v>
          </cell>
          <cell r="C1213" t="str">
            <v>КУМЕРТАУ     (КБШ)</v>
          </cell>
          <cell r="D1213">
            <v>33329</v>
          </cell>
          <cell r="F1213">
            <v>0</v>
          </cell>
          <cell r="H1213">
            <v>0</v>
          </cell>
          <cell r="I1213" t="str">
            <v>деп</v>
          </cell>
          <cell r="J1213">
            <v>34425</v>
          </cell>
        </row>
        <row r="1214">
          <cell r="A1214">
            <v>58338344</v>
          </cell>
          <cell r="B1214" t="str">
            <v>ПРАВО</v>
          </cell>
          <cell r="C1214" t="str">
            <v>КУМЕРТАУ     (КБШ)</v>
          </cell>
          <cell r="D1214">
            <v>33329</v>
          </cell>
          <cell r="F1214">
            <v>0</v>
          </cell>
          <cell r="H1214">
            <v>0</v>
          </cell>
          <cell r="I1214" t="str">
            <v>деп</v>
          </cell>
          <cell r="J1214">
            <v>34425</v>
          </cell>
        </row>
        <row r="1215">
          <cell r="A1215">
            <v>58338351</v>
          </cell>
          <cell r="B1215" t="str">
            <v>ПРАВО</v>
          </cell>
          <cell r="C1215" t="str">
            <v>КУМЕРТАУ     (КБШ)</v>
          </cell>
          <cell r="D1215">
            <v>33329</v>
          </cell>
          <cell r="F1215">
            <v>0</v>
          </cell>
          <cell r="H1215">
            <v>0</v>
          </cell>
          <cell r="I1215" t="str">
            <v>деп</v>
          </cell>
          <cell r="J1215">
            <v>34425</v>
          </cell>
        </row>
        <row r="1216">
          <cell r="B1216" t="str">
            <v>ПРАВО Количество</v>
          </cell>
          <cell r="D1216">
            <v>5</v>
          </cell>
        </row>
        <row r="1217">
          <cell r="A1217">
            <v>53703609</v>
          </cell>
          <cell r="B1217" t="str">
            <v>ПРАЙД</v>
          </cell>
          <cell r="C1217" t="str">
            <v>ТВЕРЬ        (ОКТ)</v>
          </cell>
          <cell r="D1217">
            <v>32143</v>
          </cell>
          <cell r="E1217">
            <v>37936</v>
          </cell>
          <cell r="F1217">
            <v>317</v>
          </cell>
          <cell r="I1217" t="str">
            <v>кап</v>
          </cell>
          <cell r="J1217">
            <v>39032</v>
          </cell>
        </row>
        <row r="1218">
          <cell r="B1218" t="str">
            <v>ПРАЙД Количество</v>
          </cell>
          <cell r="D1218">
            <v>1</v>
          </cell>
        </row>
        <row r="1219">
          <cell r="A1219">
            <v>53703831</v>
          </cell>
          <cell r="B1219" t="str">
            <v>ПРОМЖЕЛДОРТРАНС КОЛОМ.ОТД.</v>
          </cell>
          <cell r="C1219" t="str">
            <v>ЩУРОВО       (МСK)</v>
          </cell>
          <cell r="D1219">
            <v>25934</v>
          </cell>
          <cell r="E1219">
            <v>34973</v>
          </cell>
          <cell r="G1219">
            <v>31868</v>
          </cell>
        </row>
        <row r="1220">
          <cell r="A1220">
            <v>53703849</v>
          </cell>
          <cell r="B1220" t="str">
            <v>ПРОМЖЕЛДОРТРАНС КОЛОМ.ОТД.</v>
          </cell>
          <cell r="C1220" t="str">
            <v>ЩУРОВО       (МСK)</v>
          </cell>
          <cell r="D1220">
            <v>25204</v>
          </cell>
          <cell r="E1220">
            <v>37491</v>
          </cell>
          <cell r="F1220">
            <v>316</v>
          </cell>
          <cell r="G1220">
            <v>31868</v>
          </cell>
          <cell r="I1220" t="str">
            <v>деп</v>
          </cell>
          <cell r="J1220">
            <v>38587</v>
          </cell>
        </row>
        <row r="1221">
          <cell r="A1221">
            <v>53704557</v>
          </cell>
          <cell r="B1221" t="str">
            <v>ПРОМЖЕЛДОРТРАНС КОЛОМ.ОТД.</v>
          </cell>
          <cell r="C1221" t="str">
            <v>ЩУРОВО       (МСK)</v>
          </cell>
          <cell r="D1221">
            <v>29625</v>
          </cell>
          <cell r="E1221">
            <v>36602</v>
          </cell>
          <cell r="G1221">
            <v>37346</v>
          </cell>
          <cell r="H1221">
            <v>316</v>
          </cell>
          <cell r="I1221" t="str">
            <v>деп</v>
          </cell>
          <cell r="J1221">
            <v>38442</v>
          </cell>
        </row>
        <row r="1222">
          <cell r="B1222" t="str">
            <v>ПРОМЖЕЛДОРТРАНС КОЛОМ.ОТД. Количество</v>
          </cell>
          <cell r="D1222">
            <v>3</v>
          </cell>
        </row>
        <row r="1223">
          <cell r="A1223">
            <v>53703179</v>
          </cell>
          <cell r="B1223" t="str">
            <v>ПРОМЖЕЛДОРТРАНС МГАО</v>
          </cell>
          <cell r="C1223" t="str">
            <v>БЕСКУДНИКОВО (МСK)</v>
          </cell>
          <cell r="D1223">
            <v>32623</v>
          </cell>
          <cell r="E1223">
            <v>37349</v>
          </cell>
          <cell r="F1223">
            <v>350</v>
          </cell>
          <cell r="I1223" t="str">
            <v>кап</v>
          </cell>
          <cell r="J1223">
            <v>38445</v>
          </cell>
        </row>
        <row r="1224">
          <cell r="A1224">
            <v>53703187</v>
          </cell>
          <cell r="B1224" t="str">
            <v>ПРОМЖЕЛДОРТРАНС МГАО</v>
          </cell>
          <cell r="C1224" t="str">
            <v>БЕСКУДНИКОВО (МСK)</v>
          </cell>
          <cell r="D1224">
            <v>32808</v>
          </cell>
          <cell r="E1224">
            <v>37518</v>
          </cell>
          <cell r="F1224">
            <v>350</v>
          </cell>
          <cell r="I1224" t="str">
            <v>кап</v>
          </cell>
          <cell r="J1224">
            <v>38614</v>
          </cell>
        </row>
        <row r="1225">
          <cell r="A1225">
            <v>53703203</v>
          </cell>
          <cell r="B1225" t="str">
            <v>ПРОМЖЕЛДОРТРАНС МГАО</v>
          </cell>
          <cell r="C1225" t="str">
            <v>БЕСКУДНИКОВО (МСK)</v>
          </cell>
          <cell r="D1225">
            <v>32867</v>
          </cell>
          <cell r="E1225">
            <v>37418</v>
          </cell>
          <cell r="F1225">
            <v>350</v>
          </cell>
          <cell r="I1225" t="str">
            <v>кап</v>
          </cell>
          <cell r="J1225">
            <v>38514</v>
          </cell>
        </row>
        <row r="1226">
          <cell r="A1226">
            <v>53703211</v>
          </cell>
          <cell r="B1226" t="str">
            <v>ПРОМЖЕЛДОРТРАНС МГАО</v>
          </cell>
          <cell r="C1226" t="str">
            <v>БЕСКУДНИКОВО (МСK)</v>
          </cell>
          <cell r="D1226">
            <v>29076</v>
          </cell>
          <cell r="E1226">
            <v>37484</v>
          </cell>
          <cell r="F1226">
            <v>350</v>
          </cell>
          <cell r="I1226" t="str">
            <v>деп</v>
          </cell>
          <cell r="J1226">
            <v>38580</v>
          </cell>
        </row>
        <row r="1227">
          <cell r="A1227">
            <v>53703229</v>
          </cell>
          <cell r="B1227" t="str">
            <v>ПРОМЖЕЛДОРТРАНС МГАО</v>
          </cell>
          <cell r="C1227" t="str">
            <v>БЕСКУДНИКОВО (МСK)</v>
          </cell>
          <cell r="D1227">
            <v>29104</v>
          </cell>
          <cell r="E1227">
            <v>37393</v>
          </cell>
          <cell r="F1227">
            <v>350</v>
          </cell>
          <cell r="I1227" t="str">
            <v>деп</v>
          </cell>
          <cell r="J1227">
            <v>38489</v>
          </cell>
        </row>
        <row r="1228">
          <cell r="A1228">
            <v>53703237</v>
          </cell>
          <cell r="B1228" t="str">
            <v>ПРОМЖЕЛДОРТРАНС МГАО</v>
          </cell>
          <cell r="C1228" t="str">
            <v>БЕСКУДНИКОВО (МСK)</v>
          </cell>
          <cell r="D1228">
            <v>29185</v>
          </cell>
          <cell r="E1228">
            <v>37442</v>
          </cell>
          <cell r="F1228">
            <v>350</v>
          </cell>
          <cell r="I1228" t="str">
            <v>деп</v>
          </cell>
          <cell r="J1228">
            <v>38538</v>
          </cell>
        </row>
        <row r="1229">
          <cell r="A1229">
            <v>53706420</v>
          </cell>
          <cell r="B1229" t="str">
            <v>ПРОМЖЕЛДОРТРАНС МГАО</v>
          </cell>
          <cell r="C1229" t="str">
            <v>БЕСКУДНИКОВО (МСK)</v>
          </cell>
          <cell r="D1229">
            <v>32478</v>
          </cell>
          <cell r="F1229">
            <v>0</v>
          </cell>
          <cell r="G1229">
            <v>37859</v>
          </cell>
          <cell r="H1229">
            <v>332</v>
          </cell>
          <cell r="I1229" t="str">
            <v>деп</v>
          </cell>
          <cell r="J1229">
            <v>38409</v>
          </cell>
        </row>
        <row r="1230">
          <cell r="A1230">
            <v>53706438</v>
          </cell>
          <cell r="B1230" t="str">
            <v>ПРОМЖЕЛДОРТРАНС МГАО</v>
          </cell>
          <cell r="C1230" t="str">
            <v>БЕСКУДНИКОВО (МСK)</v>
          </cell>
          <cell r="D1230">
            <v>32478</v>
          </cell>
          <cell r="F1230">
            <v>0</v>
          </cell>
          <cell r="G1230">
            <v>37859</v>
          </cell>
          <cell r="H1230">
            <v>332</v>
          </cell>
          <cell r="I1230" t="str">
            <v>деп</v>
          </cell>
          <cell r="J1230">
            <v>38409</v>
          </cell>
        </row>
        <row r="1231">
          <cell r="B1231" t="str">
            <v>ПРОМЖЕЛДОРТРАНС МГАО Количество</v>
          </cell>
          <cell r="D1231">
            <v>8</v>
          </cell>
        </row>
        <row r="1232">
          <cell r="A1232">
            <v>53700647</v>
          </cell>
          <cell r="B1232" t="str">
            <v>ПУРНЕФТЕГАЗГЕОЛОГИЯ</v>
          </cell>
          <cell r="C1232" t="str">
            <v>ПУРОВСК      (СВР)</v>
          </cell>
          <cell r="D1232">
            <v>33115</v>
          </cell>
          <cell r="E1232">
            <v>37860</v>
          </cell>
          <cell r="F1232">
            <v>616</v>
          </cell>
          <cell r="I1232" t="str">
            <v>кап</v>
          </cell>
          <cell r="J1232">
            <v>38956</v>
          </cell>
        </row>
        <row r="1233">
          <cell r="A1233">
            <v>58336629</v>
          </cell>
          <cell r="B1233" t="str">
            <v>ПУРНЕФТЕГАЗГЕОЛОГИЯ</v>
          </cell>
          <cell r="C1233" t="str">
            <v>ПУРОВСК      (СВР)</v>
          </cell>
          <cell r="D1233">
            <v>33177</v>
          </cell>
          <cell r="E1233">
            <v>37857</v>
          </cell>
          <cell r="F1233">
            <v>616</v>
          </cell>
          <cell r="I1233" t="str">
            <v>деп</v>
          </cell>
          <cell r="J1233">
            <v>38588</v>
          </cell>
        </row>
        <row r="1234">
          <cell r="A1234">
            <v>58336637</v>
          </cell>
          <cell r="B1234" t="str">
            <v>ПУРНЕФТЕГАЗГЕОЛОГИЯ</v>
          </cell>
          <cell r="C1234" t="str">
            <v>ПУРОВСК      (СВР)</v>
          </cell>
          <cell r="D1234">
            <v>33177</v>
          </cell>
          <cell r="E1234">
            <v>37860</v>
          </cell>
          <cell r="F1234">
            <v>616</v>
          </cell>
          <cell r="I1234" t="str">
            <v>деп</v>
          </cell>
          <cell r="J1234">
            <v>38591</v>
          </cell>
        </row>
        <row r="1235">
          <cell r="A1235">
            <v>58336645</v>
          </cell>
          <cell r="B1235" t="str">
            <v>ПУРНЕФТЕГАЗГЕОЛОГИЯ</v>
          </cell>
          <cell r="C1235" t="str">
            <v>ПУРОВСК      (СВР)</v>
          </cell>
          <cell r="D1235">
            <v>33177</v>
          </cell>
          <cell r="E1235">
            <v>37860</v>
          </cell>
          <cell r="F1235">
            <v>616</v>
          </cell>
          <cell r="I1235" t="str">
            <v>деп</v>
          </cell>
          <cell r="J1235">
            <v>38591</v>
          </cell>
        </row>
        <row r="1236">
          <cell r="A1236">
            <v>58336652</v>
          </cell>
          <cell r="B1236" t="str">
            <v>ПУРНЕФТЕГАЗГЕОЛОГИЯ</v>
          </cell>
          <cell r="C1236" t="str">
            <v>ПУРОВСК      (СВР)</v>
          </cell>
          <cell r="D1236">
            <v>33177</v>
          </cell>
          <cell r="E1236">
            <v>37860</v>
          </cell>
          <cell r="F1236">
            <v>616</v>
          </cell>
          <cell r="I1236" t="str">
            <v>деп</v>
          </cell>
          <cell r="J1236">
            <v>38591</v>
          </cell>
        </row>
        <row r="1237">
          <cell r="B1237" t="str">
            <v>ПУРНЕФТЕГАЗГЕОЛОГИЯ Количество</v>
          </cell>
          <cell r="D1237">
            <v>5</v>
          </cell>
        </row>
        <row r="1238">
          <cell r="A1238">
            <v>58728809</v>
          </cell>
          <cell r="B1238" t="str">
            <v>РГУПС</v>
          </cell>
          <cell r="C1238" t="str">
            <v>РОСТОВ-ЗАПАД (СКВ)</v>
          </cell>
          <cell r="D1238">
            <v>32843</v>
          </cell>
          <cell r="E1238">
            <v>37095</v>
          </cell>
          <cell r="F1238">
            <v>555</v>
          </cell>
          <cell r="H1238">
            <v>0</v>
          </cell>
          <cell r="I1238" t="str">
            <v>деп</v>
          </cell>
          <cell r="J1238">
            <v>37825</v>
          </cell>
        </row>
        <row r="1239">
          <cell r="A1239">
            <v>58728817</v>
          </cell>
          <cell r="B1239" t="str">
            <v>РГУПС</v>
          </cell>
          <cell r="C1239" t="str">
            <v>РОСТОВ-ЗАПАД (СКВ)</v>
          </cell>
          <cell r="D1239">
            <v>32843</v>
          </cell>
          <cell r="E1239">
            <v>37095</v>
          </cell>
          <cell r="F1239">
            <v>555</v>
          </cell>
          <cell r="H1239">
            <v>0</v>
          </cell>
          <cell r="I1239" t="str">
            <v>деп</v>
          </cell>
          <cell r="J1239">
            <v>37825</v>
          </cell>
        </row>
        <row r="1240">
          <cell r="A1240">
            <v>58728825</v>
          </cell>
          <cell r="B1240" t="str">
            <v>РГУПС</v>
          </cell>
          <cell r="C1240" t="str">
            <v>РОСТОВ-ЗАПАД (СКВ)</v>
          </cell>
          <cell r="D1240">
            <v>27262</v>
          </cell>
          <cell r="E1240">
            <v>34213</v>
          </cell>
          <cell r="F1240">
            <v>557</v>
          </cell>
          <cell r="G1240">
            <v>37164</v>
          </cell>
          <cell r="H1240">
            <v>557</v>
          </cell>
          <cell r="I1240" t="str">
            <v>деп</v>
          </cell>
          <cell r="J1240">
            <v>37894</v>
          </cell>
        </row>
        <row r="1241">
          <cell r="B1241" t="str">
            <v>РГУПС Количество</v>
          </cell>
          <cell r="D1241">
            <v>3</v>
          </cell>
        </row>
        <row r="1242">
          <cell r="A1242">
            <v>53704425</v>
          </cell>
          <cell r="B1242" t="str">
            <v>РЕМПУТЬМАШ КАЛУЖСКИЙ З-Д</v>
          </cell>
          <cell r="C1242" t="str">
            <v>КАЛУГА 1     (МСK)</v>
          </cell>
          <cell r="D1242">
            <v>33512</v>
          </cell>
          <cell r="E1242">
            <v>37443</v>
          </cell>
          <cell r="F1242">
            <v>350</v>
          </cell>
          <cell r="H1242">
            <v>0</v>
          </cell>
          <cell r="I1242" t="str">
            <v>деп</v>
          </cell>
          <cell r="J1242">
            <v>38174</v>
          </cell>
        </row>
        <row r="1243">
          <cell r="B1243" t="str">
            <v>РЕМПУТЬМАШ КАЛУЖСКИЙ З-Д Количество</v>
          </cell>
          <cell r="D1243">
            <v>1</v>
          </cell>
        </row>
        <row r="1244">
          <cell r="A1244">
            <v>53400008</v>
          </cell>
          <cell r="B1244" t="str">
            <v>РЕФРИЖЕРАТОРНАЯ КОМПАНИЯ</v>
          </cell>
          <cell r="C1244" t="str">
            <v>ВОЛКОВСКАЯ   (ОКТ)</v>
          </cell>
          <cell r="D1244">
            <v>29526</v>
          </cell>
          <cell r="E1244">
            <v>37183</v>
          </cell>
          <cell r="F1244">
            <v>352</v>
          </cell>
          <cell r="G1244">
            <v>37652</v>
          </cell>
          <cell r="H1244">
            <v>897</v>
          </cell>
          <cell r="I1244" t="str">
            <v>деп</v>
          </cell>
          <cell r="J1244">
            <v>38383</v>
          </cell>
        </row>
        <row r="1245">
          <cell r="A1245">
            <v>53400024</v>
          </cell>
          <cell r="B1245" t="str">
            <v>РЕФРИЖЕРАТОРНАЯ КОМПАНИЯ</v>
          </cell>
          <cell r="C1245" t="str">
            <v>ВОЛКОВСКАЯ   (ОКТ)</v>
          </cell>
          <cell r="D1245">
            <v>29465</v>
          </cell>
          <cell r="E1245">
            <v>37894</v>
          </cell>
          <cell r="F1245">
            <v>792</v>
          </cell>
          <cell r="G1245">
            <v>37102</v>
          </cell>
          <cell r="H1245">
            <v>330</v>
          </cell>
          <cell r="I1245" t="str">
            <v>деп</v>
          </cell>
          <cell r="J1245">
            <v>38321</v>
          </cell>
        </row>
        <row r="1246">
          <cell r="A1246">
            <v>53400032</v>
          </cell>
          <cell r="B1246" t="str">
            <v>РЕФРИЖЕРАТОРНАЯ КОМПАНИЯ</v>
          </cell>
          <cell r="C1246" t="str">
            <v>ВОЛКОВСКАЯ   (ОКТ)</v>
          </cell>
          <cell r="D1246">
            <v>29495</v>
          </cell>
          <cell r="E1246">
            <v>37183</v>
          </cell>
          <cell r="F1246">
            <v>352</v>
          </cell>
          <cell r="H1246">
            <v>0</v>
          </cell>
          <cell r="I1246" t="str">
            <v>деп</v>
          </cell>
          <cell r="J1246">
            <v>37950</v>
          </cell>
        </row>
        <row r="1247">
          <cell r="A1247">
            <v>53400040</v>
          </cell>
          <cell r="B1247" t="str">
            <v>РЕФРИЖЕРАТОРНАЯ КОМПАНИЯ</v>
          </cell>
          <cell r="C1247" t="str">
            <v>ВОЛКОВСКАЯ   (ОКТ)</v>
          </cell>
          <cell r="D1247">
            <v>29526</v>
          </cell>
          <cell r="E1247">
            <v>37964</v>
          </cell>
          <cell r="F1247">
            <v>350</v>
          </cell>
          <cell r="H1247">
            <v>0</v>
          </cell>
          <cell r="I1247" t="str">
            <v>кап</v>
          </cell>
          <cell r="J1247">
            <v>38392</v>
          </cell>
        </row>
        <row r="1248">
          <cell r="A1248">
            <v>53400057</v>
          </cell>
          <cell r="B1248" t="str">
            <v>РЕФРИЖЕРАТОРНАЯ КОМПАНИЯ</v>
          </cell>
          <cell r="C1248" t="str">
            <v>ВОЛКОВСКАЯ   (ОКТ)</v>
          </cell>
          <cell r="D1248">
            <v>30651</v>
          </cell>
          <cell r="E1248">
            <v>37120</v>
          </cell>
          <cell r="F1248">
            <v>330</v>
          </cell>
          <cell r="H1248">
            <v>0</v>
          </cell>
          <cell r="I1248" t="str">
            <v>деп</v>
          </cell>
          <cell r="J1248">
            <v>37942</v>
          </cell>
        </row>
        <row r="1249">
          <cell r="A1249">
            <v>53400073</v>
          </cell>
          <cell r="B1249" t="str">
            <v>РЕФРИЖЕРАТОРНАЯ КОМПАНИЯ</v>
          </cell>
          <cell r="C1249" t="str">
            <v>ВОЛКОВСКАЯ   (ОКТ)</v>
          </cell>
          <cell r="D1249">
            <v>30682</v>
          </cell>
          <cell r="E1249">
            <v>37134</v>
          </cell>
          <cell r="F1249">
            <v>323</v>
          </cell>
          <cell r="G1249">
            <v>37798</v>
          </cell>
          <cell r="H1249">
            <v>492</v>
          </cell>
          <cell r="I1249" t="str">
            <v>деп</v>
          </cell>
          <cell r="J1249">
            <v>38347</v>
          </cell>
        </row>
        <row r="1250">
          <cell r="A1250">
            <v>53401030</v>
          </cell>
          <cell r="B1250" t="str">
            <v>РЕФРИЖЕРАТОРНАЯ КОМПАНИЯ</v>
          </cell>
          <cell r="C1250" t="str">
            <v>ВОЛКОВСКАЯ   (ОКТ)</v>
          </cell>
          <cell r="D1250">
            <v>30649</v>
          </cell>
          <cell r="E1250">
            <v>36557</v>
          </cell>
          <cell r="F1250">
            <v>897</v>
          </cell>
          <cell r="G1250">
            <v>37644</v>
          </cell>
          <cell r="H1250">
            <v>897</v>
          </cell>
          <cell r="I1250" t="str">
            <v>деп</v>
          </cell>
          <cell r="J1250">
            <v>38191</v>
          </cell>
        </row>
        <row r="1251">
          <cell r="A1251">
            <v>53401048</v>
          </cell>
          <cell r="B1251" t="str">
            <v>РЕФРИЖЕРАТОРНАЯ КОМПАНИЯ</v>
          </cell>
          <cell r="C1251" t="str">
            <v>ВОЛКОВСКАЯ   (ОКТ)</v>
          </cell>
          <cell r="D1251">
            <v>30682</v>
          </cell>
          <cell r="E1251">
            <v>36537</v>
          </cell>
          <cell r="F1251">
            <v>897</v>
          </cell>
          <cell r="G1251">
            <v>37643</v>
          </cell>
          <cell r="H1251">
            <v>897</v>
          </cell>
          <cell r="I1251" t="str">
            <v>деп</v>
          </cell>
          <cell r="J1251">
            <v>38190</v>
          </cell>
        </row>
        <row r="1252">
          <cell r="A1252">
            <v>53401055</v>
          </cell>
          <cell r="B1252" t="str">
            <v>РЕФРИЖЕРАТОРНАЯ КОМПАНИЯ</v>
          </cell>
          <cell r="C1252" t="str">
            <v>ВОЛКОВСКАЯ   (ОКТ)</v>
          </cell>
          <cell r="D1252">
            <v>30713</v>
          </cell>
          <cell r="E1252">
            <v>36592</v>
          </cell>
          <cell r="F1252">
            <v>897</v>
          </cell>
          <cell r="G1252">
            <v>37651</v>
          </cell>
          <cell r="H1252">
            <v>897</v>
          </cell>
          <cell r="I1252" t="str">
            <v>деп</v>
          </cell>
          <cell r="J1252">
            <v>38198</v>
          </cell>
        </row>
        <row r="1253">
          <cell r="A1253">
            <v>53401063</v>
          </cell>
          <cell r="B1253" t="str">
            <v>РЕФРИЖЕРАТОРНАЯ КОМПАНИЯ</v>
          </cell>
          <cell r="C1253" t="str">
            <v>ВОЛКОВСКАЯ   (ОКТ)</v>
          </cell>
          <cell r="D1253">
            <v>30713</v>
          </cell>
          <cell r="E1253">
            <v>36476</v>
          </cell>
          <cell r="F1253">
            <v>897</v>
          </cell>
          <cell r="G1253">
            <v>37648</v>
          </cell>
          <cell r="H1253">
            <v>897</v>
          </cell>
          <cell r="I1253" t="str">
            <v>деп</v>
          </cell>
          <cell r="J1253">
            <v>38195</v>
          </cell>
        </row>
        <row r="1254">
          <cell r="A1254">
            <v>53401071</v>
          </cell>
          <cell r="B1254" t="str">
            <v>РЕФРИЖЕРАТОРНАЯ КОМПАНИЯ</v>
          </cell>
          <cell r="C1254" t="str">
            <v>ВОЛКОВСКАЯ   (ОКТ)</v>
          </cell>
          <cell r="D1254">
            <v>31444</v>
          </cell>
          <cell r="E1254">
            <v>36340</v>
          </cell>
          <cell r="F1254">
            <v>897</v>
          </cell>
          <cell r="G1254">
            <v>37656</v>
          </cell>
          <cell r="H1254">
            <v>897</v>
          </cell>
          <cell r="I1254" t="str">
            <v>деп</v>
          </cell>
          <cell r="J1254">
            <v>38172</v>
          </cell>
        </row>
        <row r="1255">
          <cell r="A1255">
            <v>53401089</v>
          </cell>
          <cell r="B1255" t="str">
            <v>РЕФРИЖЕРАТОРНАЯ КОМПАНИЯ</v>
          </cell>
          <cell r="C1255" t="str">
            <v>ВОЛКОВСКАЯ   (ОКТ)</v>
          </cell>
          <cell r="D1255">
            <v>31472</v>
          </cell>
          <cell r="E1255">
            <v>36657</v>
          </cell>
          <cell r="F1255">
            <v>897</v>
          </cell>
          <cell r="G1255">
            <v>37657</v>
          </cell>
          <cell r="H1255">
            <v>897</v>
          </cell>
          <cell r="I1255" t="str">
            <v>деп</v>
          </cell>
          <cell r="J1255">
            <v>38173</v>
          </cell>
        </row>
        <row r="1256">
          <cell r="A1256">
            <v>53401105</v>
          </cell>
          <cell r="B1256" t="str">
            <v>РЕФРИЖЕРАТОРНАЯ КОМПАНИЯ</v>
          </cell>
          <cell r="C1256" t="str">
            <v>ВОЛКОВСКАЯ   (ОКТ)</v>
          </cell>
          <cell r="D1256">
            <v>31717</v>
          </cell>
          <cell r="E1256">
            <v>36504</v>
          </cell>
          <cell r="F1256">
            <v>897</v>
          </cell>
          <cell r="G1256">
            <v>37645</v>
          </cell>
          <cell r="H1256">
            <v>897</v>
          </cell>
          <cell r="I1256" t="str">
            <v>деп</v>
          </cell>
          <cell r="J1256">
            <v>38192</v>
          </cell>
        </row>
        <row r="1257">
          <cell r="A1257">
            <v>53401170</v>
          </cell>
          <cell r="B1257" t="str">
            <v>РЕФРИЖЕРАТОРНАЯ КОМПАНИЯ</v>
          </cell>
          <cell r="C1257" t="str">
            <v>ВОЛКОВСКАЯ   (ОКТ)</v>
          </cell>
          <cell r="D1257">
            <v>30621</v>
          </cell>
          <cell r="E1257">
            <v>37685</v>
          </cell>
          <cell r="F1257">
            <v>897</v>
          </cell>
          <cell r="G1257">
            <v>36279</v>
          </cell>
          <cell r="H1257">
            <v>897</v>
          </cell>
          <cell r="I1257" t="str">
            <v>деп</v>
          </cell>
          <cell r="J1257">
            <v>38235</v>
          </cell>
        </row>
        <row r="1258">
          <cell r="A1258">
            <v>53401188</v>
          </cell>
          <cell r="B1258" t="str">
            <v>РЕФРИЖЕРАТОРНАЯ КОМПАНИЯ</v>
          </cell>
          <cell r="C1258" t="str">
            <v>ВОЛКОВСКАЯ   (ОКТ)</v>
          </cell>
          <cell r="D1258">
            <v>30651</v>
          </cell>
          <cell r="E1258">
            <v>37679</v>
          </cell>
          <cell r="F1258">
            <v>897</v>
          </cell>
          <cell r="G1258">
            <v>36257</v>
          </cell>
          <cell r="H1258">
            <v>897</v>
          </cell>
          <cell r="I1258" t="str">
            <v>деп</v>
          </cell>
          <cell r="J1258">
            <v>38226</v>
          </cell>
        </row>
        <row r="1259">
          <cell r="A1259">
            <v>53401204</v>
          </cell>
          <cell r="B1259" t="str">
            <v>РЕФРИЖЕРАТОРНАЯ КОМПАНИЯ</v>
          </cell>
          <cell r="C1259" t="str">
            <v>ВОЛКОВСКАЯ   (ОКТ)</v>
          </cell>
          <cell r="D1259">
            <v>30651</v>
          </cell>
          <cell r="E1259">
            <v>37694</v>
          </cell>
          <cell r="F1259">
            <v>897</v>
          </cell>
          <cell r="G1259">
            <v>36333</v>
          </cell>
          <cell r="H1259">
            <v>897</v>
          </cell>
          <cell r="I1259" t="str">
            <v>деп</v>
          </cell>
          <cell r="J1259">
            <v>38244</v>
          </cell>
        </row>
        <row r="1260">
          <cell r="A1260">
            <v>53401212</v>
          </cell>
          <cell r="B1260" t="str">
            <v>РЕФРИЖЕРАТОРНАЯ КОМПАНИЯ</v>
          </cell>
          <cell r="C1260" t="str">
            <v>ВОЛКОВСКАЯ   (ОКТ)</v>
          </cell>
          <cell r="D1260">
            <v>31321</v>
          </cell>
          <cell r="E1260">
            <v>36623</v>
          </cell>
          <cell r="F1260">
            <v>897</v>
          </cell>
          <cell r="G1260">
            <v>37691</v>
          </cell>
          <cell r="H1260">
            <v>897</v>
          </cell>
          <cell r="I1260" t="str">
            <v>деп</v>
          </cell>
          <cell r="J1260">
            <v>38241</v>
          </cell>
        </row>
        <row r="1261">
          <cell r="A1261">
            <v>53401329</v>
          </cell>
          <cell r="B1261" t="str">
            <v>РЕФРИЖЕРАТОРНАЯ КОМПАНИЯ</v>
          </cell>
          <cell r="C1261" t="str">
            <v>ВОЛКОВСКАЯ   (ОКТ)</v>
          </cell>
          <cell r="D1261">
            <v>30621</v>
          </cell>
          <cell r="E1261">
            <v>37685</v>
          </cell>
          <cell r="F1261">
            <v>897</v>
          </cell>
          <cell r="G1261">
            <v>36279</v>
          </cell>
          <cell r="H1261">
            <v>897</v>
          </cell>
          <cell r="I1261" t="str">
            <v>деп</v>
          </cell>
          <cell r="J1261">
            <v>38235</v>
          </cell>
        </row>
        <row r="1262">
          <cell r="A1262">
            <v>53401337</v>
          </cell>
          <cell r="B1262" t="str">
            <v>РЕФРИЖЕРАТОРНАЯ КОМПАНИЯ</v>
          </cell>
          <cell r="C1262" t="str">
            <v>ВОЛКОВСКАЯ   (ОКТ)</v>
          </cell>
          <cell r="D1262">
            <v>30651</v>
          </cell>
          <cell r="E1262">
            <v>37679</v>
          </cell>
          <cell r="F1262">
            <v>897</v>
          </cell>
          <cell r="G1262">
            <v>35892</v>
          </cell>
          <cell r="H1262">
            <v>897</v>
          </cell>
          <cell r="I1262" t="str">
            <v>деп</v>
          </cell>
          <cell r="J1262">
            <v>38226</v>
          </cell>
        </row>
        <row r="1263">
          <cell r="A1263">
            <v>53401345</v>
          </cell>
          <cell r="B1263" t="str">
            <v>РЕФРИЖЕРАТОРНАЯ КОМПАНИЯ</v>
          </cell>
          <cell r="C1263" t="str">
            <v>ВОЛКОВСКАЯ   (ОКТ)</v>
          </cell>
          <cell r="D1263">
            <v>30713</v>
          </cell>
          <cell r="E1263">
            <v>37694</v>
          </cell>
          <cell r="F1263">
            <v>897</v>
          </cell>
          <cell r="G1263">
            <v>36333</v>
          </cell>
          <cell r="H1263">
            <v>897</v>
          </cell>
          <cell r="I1263" t="str">
            <v>кап</v>
          </cell>
          <cell r="J1263">
            <v>38244</v>
          </cell>
        </row>
        <row r="1264">
          <cell r="A1264">
            <v>53700605</v>
          </cell>
          <cell r="B1264" t="str">
            <v>РЕФРИЖЕРАТОРНАЯ КОМПАНИЯ</v>
          </cell>
          <cell r="C1264" t="str">
            <v>ВОЛКОВСКАЯ   (ОКТ)</v>
          </cell>
          <cell r="D1264">
            <v>33178</v>
          </cell>
          <cell r="E1264">
            <v>37985</v>
          </cell>
          <cell r="F1264">
            <v>163</v>
          </cell>
          <cell r="G1264">
            <v>37256</v>
          </cell>
          <cell r="H1264">
            <v>819</v>
          </cell>
          <cell r="I1264" t="str">
            <v>деп</v>
          </cell>
          <cell r="J1264">
            <v>39081</v>
          </cell>
        </row>
        <row r="1265">
          <cell r="A1265">
            <v>53700613</v>
          </cell>
          <cell r="B1265" t="str">
            <v>РЕФРИЖЕРАТОРНАЯ КОМПАНИЯ</v>
          </cell>
          <cell r="C1265" t="str">
            <v>ВОЛКОВСКАЯ   (ОКТ)</v>
          </cell>
          <cell r="D1265">
            <v>33178</v>
          </cell>
          <cell r="E1265">
            <v>37701</v>
          </cell>
          <cell r="F1265">
            <v>886</v>
          </cell>
          <cell r="H1265">
            <v>0</v>
          </cell>
          <cell r="I1265" t="str">
            <v>кап</v>
          </cell>
          <cell r="J1265">
            <v>38797</v>
          </cell>
        </row>
        <row r="1266">
          <cell r="A1266">
            <v>53701546</v>
          </cell>
          <cell r="B1266" t="str">
            <v>РЕФРИЖЕРАТОРНАЯ КОМПАНИЯ</v>
          </cell>
          <cell r="C1266" t="str">
            <v>ВОЛКОВСКАЯ   (ОКТ)</v>
          </cell>
          <cell r="D1266">
            <v>33239</v>
          </cell>
          <cell r="E1266">
            <v>37824</v>
          </cell>
          <cell r="F1266">
            <v>163</v>
          </cell>
          <cell r="H1266">
            <v>0</v>
          </cell>
          <cell r="I1266" t="str">
            <v>кап</v>
          </cell>
          <cell r="J1266">
            <v>38920</v>
          </cell>
        </row>
        <row r="1267">
          <cell r="A1267">
            <v>53706933</v>
          </cell>
          <cell r="B1267" t="str">
            <v>РЕФРИЖЕРАТОРНАЯ КОМПАНИЯ</v>
          </cell>
          <cell r="C1267" t="str">
            <v>ВОЛКОВСКАЯ   (ОКТ)</v>
          </cell>
          <cell r="D1267">
            <v>31444</v>
          </cell>
          <cell r="E1267">
            <v>37377</v>
          </cell>
          <cell r="F1267">
            <v>341</v>
          </cell>
          <cell r="G1267">
            <v>37981</v>
          </cell>
          <cell r="H1267">
            <v>886</v>
          </cell>
          <cell r="I1267" t="str">
            <v>деп</v>
          </cell>
          <cell r="J1267">
            <v>38529</v>
          </cell>
        </row>
        <row r="1268">
          <cell r="A1268">
            <v>53706941</v>
          </cell>
          <cell r="B1268" t="str">
            <v>РЕФРИЖЕРАТОРНАЯ КОМПАНИЯ</v>
          </cell>
          <cell r="C1268" t="str">
            <v>ВОЛКОВСКАЯ   (ОКТ)</v>
          </cell>
          <cell r="D1268">
            <v>31472</v>
          </cell>
          <cell r="E1268">
            <v>36602</v>
          </cell>
          <cell r="F1268">
            <v>886</v>
          </cell>
          <cell r="G1268">
            <v>37981</v>
          </cell>
          <cell r="H1268">
            <v>886</v>
          </cell>
          <cell r="I1268" t="str">
            <v>деп</v>
          </cell>
          <cell r="J1268">
            <v>38529</v>
          </cell>
        </row>
        <row r="1269">
          <cell r="A1269">
            <v>58000175</v>
          </cell>
          <cell r="B1269" t="str">
            <v>РЕФРИЖЕРАТОРНАЯ КОМПАНИЯ</v>
          </cell>
          <cell r="C1269" t="str">
            <v>ВОЛКОВСКАЯ   (ОКТ)</v>
          </cell>
          <cell r="D1269">
            <v>33329</v>
          </cell>
          <cell r="E1269">
            <v>37520</v>
          </cell>
          <cell r="F1269">
            <v>1058</v>
          </cell>
          <cell r="H1269">
            <v>0</v>
          </cell>
          <cell r="I1269" t="str">
            <v>деп</v>
          </cell>
          <cell r="J1269">
            <v>38251</v>
          </cell>
        </row>
        <row r="1270">
          <cell r="A1270">
            <v>58000183</v>
          </cell>
          <cell r="B1270" t="str">
            <v>РЕФРИЖЕРАТОРНАЯ КОМПАНИЯ</v>
          </cell>
          <cell r="C1270" t="str">
            <v>ВОЛКОВСКАЯ   (ОКТ)</v>
          </cell>
          <cell r="D1270">
            <v>33329</v>
          </cell>
          <cell r="E1270">
            <v>37501</v>
          </cell>
          <cell r="F1270">
            <v>1058</v>
          </cell>
          <cell r="H1270">
            <v>0</v>
          </cell>
          <cell r="I1270" t="str">
            <v>деп</v>
          </cell>
          <cell r="J1270">
            <v>38232</v>
          </cell>
        </row>
        <row r="1271">
          <cell r="A1271">
            <v>58000209</v>
          </cell>
          <cell r="B1271" t="str">
            <v>РЕФРИЖЕРАТОРНАЯ КОМПАНИЯ</v>
          </cell>
          <cell r="C1271" t="str">
            <v>ВОЛКОВСКАЯ   (ОКТ)</v>
          </cell>
          <cell r="D1271">
            <v>33329</v>
          </cell>
          <cell r="E1271">
            <v>37500</v>
          </cell>
          <cell r="F1271">
            <v>1058</v>
          </cell>
          <cell r="H1271">
            <v>0</v>
          </cell>
          <cell r="I1271" t="str">
            <v>деп</v>
          </cell>
          <cell r="J1271">
            <v>38231</v>
          </cell>
        </row>
        <row r="1272">
          <cell r="A1272">
            <v>58000217</v>
          </cell>
          <cell r="B1272" t="str">
            <v>РЕФРИЖЕРАТОРНАЯ КОМПАНИЯ</v>
          </cell>
          <cell r="C1272" t="str">
            <v>ВОЛКОВСКАЯ   (ОКТ)</v>
          </cell>
          <cell r="D1272">
            <v>33329</v>
          </cell>
          <cell r="E1272">
            <v>37491</v>
          </cell>
          <cell r="F1272">
            <v>1058</v>
          </cell>
          <cell r="H1272">
            <v>0</v>
          </cell>
          <cell r="I1272" t="str">
            <v>деп</v>
          </cell>
          <cell r="J1272">
            <v>38222</v>
          </cell>
        </row>
        <row r="1273">
          <cell r="A1273">
            <v>58000225</v>
          </cell>
          <cell r="B1273" t="str">
            <v>РЕФРИЖЕРАТОРНАЯ КОМПАНИЯ</v>
          </cell>
          <cell r="C1273" t="str">
            <v>ВОЛКОВСКАЯ   (ОКТ)</v>
          </cell>
          <cell r="D1273">
            <v>33329</v>
          </cell>
          <cell r="E1273">
            <v>37500</v>
          </cell>
          <cell r="F1273">
            <v>1058</v>
          </cell>
          <cell r="H1273">
            <v>0</v>
          </cell>
          <cell r="I1273" t="str">
            <v>деп</v>
          </cell>
          <cell r="J1273">
            <v>38231</v>
          </cell>
        </row>
        <row r="1274">
          <cell r="A1274">
            <v>58000233</v>
          </cell>
          <cell r="B1274" t="str">
            <v>РЕФРИЖЕРАТОРНАЯ КОМПАНИЯ</v>
          </cell>
          <cell r="C1274" t="str">
            <v>ВОЛКОВСКАЯ   (ОКТ)</v>
          </cell>
          <cell r="D1274">
            <v>33329</v>
          </cell>
          <cell r="E1274">
            <v>37516</v>
          </cell>
          <cell r="F1274">
            <v>1058</v>
          </cell>
          <cell r="H1274">
            <v>0</v>
          </cell>
          <cell r="I1274" t="str">
            <v>деп</v>
          </cell>
          <cell r="J1274">
            <v>38247</v>
          </cell>
        </row>
        <row r="1275">
          <cell r="A1275">
            <v>58000241</v>
          </cell>
          <cell r="B1275" t="str">
            <v>РЕФРИЖЕРАТОРНАЯ КОМПАНИЯ</v>
          </cell>
          <cell r="C1275" t="str">
            <v>ВОЛКОВСКАЯ   (ОКТ)</v>
          </cell>
          <cell r="D1275">
            <v>33329</v>
          </cell>
          <cell r="E1275">
            <v>37803</v>
          </cell>
          <cell r="F1275">
            <v>1099</v>
          </cell>
          <cell r="H1275">
            <v>0</v>
          </cell>
          <cell r="I1275" t="str">
            <v>деп</v>
          </cell>
          <cell r="J1275">
            <v>38534</v>
          </cell>
        </row>
        <row r="1276">
          <cell r="A1276">
            <v>58000258</v>
          </cell>
          <cell r="B1276" t="str">
            <v>РЕФРИЖЕРАТОРНАЯ КОМПАНИЯ</v>
          </cell>
          <cell r="C1276" t="str">
            <v>ВОЛКОВСКАЯ   (ОКТ)</v>
          </cell>
          <cell r="D1276">
            <v>33329</v>
          </cell>
          <cell r="E1276">
            <v>37833</v>
          </cell>
          <cell r="F1276">
            <v>1099</v>
          </cell>
          <cell r="H1276">
            <v>0</v>
          </cell>
          <cell r="I1276" t="str">
            <v>деп</v>
          </cell>
          <cell r="J1276">
            <v>38564</v>
          </cell>
        </row>
        <row r="1277">
          <cell r="A1277">
            <v>58000266</v>
          </cell>
          <cell r="B1277" t="str">
            <v>РЕФРИЖЕРАТОРНАЯ КОМПАНИЯ</v>
          </cell>
          <cell r="C1277" t="str">
            <v>ВОЛКОВСКАЯ   (ОКТ)</v>
          </cell>
          <cell r="D1277">
            <v>33329</v>
          </cell>
          <cell r="E1277">
            <v>37823</v>
          </cell>
          <cell r="F1277">
            <v>1099</v>
          </cell>
          <cell r="H1277">
            <v>0</v>
          </cell>
          <cell r="I1277" t="str">
            <v>деп</v>
          </cell>
          <cell r="J1277">
            <v>38554</v>
          </cell>
        </row>
        <row r="1278">
          <cell r="A1278">
            <v>58000274</v>
          </cell>
          <cell r="B1278" t="str">
            <v>РЕФРИЖЕРАТОРНАЯ КОМПАНИЯ</v>
          </cell>
          <cell r="C1278" t="str">
            <v>ВОЛКОВСКАЯ   (ОКТ)</v>
          </cell>
          <cell r="D1278">
            <v>33329</v>
          </cell>
          <cell r="E1278">
            <v>37826</v>
          </cell>
          <cell r="F1278">
            <v>1099</v>
          </cell>
          <cell r="H1278">
            <v>0</v>
          </cell>
          <cell r="I1278" t="str">
            <v>деп</v>
          </cell>
          <cell r="J1278">
            <v>38557</v>
          </cell>
        </row>
        <row r="1279">
          <cell r="A1279">
            <v>58000282</v>
          </cell>
          <cell r="B1279" t="str">
            <v>РЕФРИЖЕРАТОРНАЯ КОМПАНИЯ</v>
          </cell>
          <cell r="C1279" t="str">
            <v>ВОЛКОВСКАЯ   (ОКТ)</v>
          </cell>
          <cell r="D1279">
            <v>33329</v>
          </cell>
          <cell r="E1279">
            <v>37501</v>
          </cell>
          <cell r="F1279">
            <v>1058</v>
          </cell>
          <cell r="H1279">
            <v>0</v>
          </cell>
          <cell r="I1279" t="str">
            <v>деп</v>
          </cell>
          <cell r="J1279">
            <v>38232</v>
          </cell>
        </row>
        <row r="1280">
          <cell r="A1280">
            <v>58000308</v>
          </cell>
          <cell r="B1280" t="str">
            <v>РЕФРИЖЕРАТОРНАЯ КОМПАНИЯ</v>
          </cell>
          <cell r="C1280" t="str">
            <v>ВОЛКОВСКАЯ   (ОКТ)</v>
          </cell>
          <cell r="D1280">
            <v>33329</v>
          </cell>
          <cell r="E1280">
            <v>37803</v>
          </cell>
          <cell r="F1280">
            <v>1099</v>
          </cell>
          <cell r="H1280">
            <v>0</v>
          </cell>
          <cell r="I1280" t="str">
            <v>деп</v>
          </cell>
          <cell r="J1280">
            <v>38534</v>
          </cell>
        </row>
        <row r="1281">
          <cell r="A1281">
            <v>58000316</v>
          </cell>
          <cell r="B1281" t="str">
            <v>РЕФРИЖЕРАТОРНАЯ КОМПАНИЯ</v>
          </cell>
          <cell r="C1281" t="str">
            <v>ВОЛКОВСКАЯ   (ОКТ)</v>
          </cell>
          <cell r="D1281">
            <v>33329</v>
          </cell>
          <cell r="E1281">
            <v>37803</v>
          </cell>
          <cell r="F1281">
            <v>1099</v>
          </cell>
          <cell r="H1281">
            <v>0</v>
          </cell>
          <cell r="I1281" t="str">
            <v>деп</v>
          </cell>
          <cell r="J1281">
            <v>38534</v>
          </cell>
        </row>
        <row r="1282">
          <cell r="A1282">
            <v>58336447</v>
          </cell>
          <cell r="B1282" t="str">
            <v>РЕФРИЖЕРАТОРНАЯ КОМПАНИЯ</v>
          </cell>
          <cell r="C1282" t="str">
            <v>ВОЛКОВСКАЯ   (ОКТ)</v>
          </cell>
          <cell r="D1282">
            <v>33208</v>
          </cell>
          <cell r="E1282">
            <v>37985</v>
          </cell>
          <cell r="F1282">
            <v>163</v>
          </cell>
          <cell r="G1282">
            <v>37256</v>
          </cell>
          <cell r="H1282">
            <v>819</v>
          </cell>
          <cell r="I1282" t="str">
            <v>деп</v>
          </cell>
          <cell r="J1282">
            <v>38716</v>
          </cell>
        </row>
        <row r="1283">
          <cell r="A1283">
            <v>58336454</v>
          </cell>
          <cell r="B1283" t="str">
            <v>РЕФРИЖЕРАТОРНАЯ КОМПАНИЯ</v>
          </cell>
          <cell r="C1283" t="str">
            <v>ВОЛКОВСКАЯ   (ОКТ)</v>
          </cell>
          <cell r="D1283">
            <v>33208</v>
          </cell>
          <cell r="E1283">
            <v>37985</v>
          </cell>
          <cell r="F1283">
            <v>163</v>
          </cell>
          <cell r="G1283">
            <v>37256</v>
          </cell>
          <cell r="H1283">
            <v>819</v>
          </cell>
          <cell r="I1283" t="str">
            <v>деп</v>
          </cell>
          <cell r="J1283">
            <v>38716</v>
          </cell>
        </row>
        <row r="1284">
          <cell r="A1284">
            <v>58336462</v>
          </cell>
          <cell r="B1284" t="str">
            <v>РЕФРИЖЕРАТОРНАЯ КОМПАНИЯ</v>
          </cell>
          <cell r="C1284" t="str">
            <v>ВОЛКОВСКАЯ   (ОКТ)</v>
          </cell>
          <cell r="D1284">
            <v>33208</v>
          </cell>
          <cell r="E1284">
            <v>37985</v>
          </cell>
          <cell r="F1284">
            <v>163</v>
          </cell>
          <cell r="G1284">
            <v>37256</v>
          </cell>
          <cell r="H1284">
            <v>819</v>
          </cell>
          <cell r="I1284" t="str">
            <v>деп</v>
          </cell>
          <cell r="J1284">
            <v>38716</v>
          </cell>
        </row>
        <row r="1285">
          <cell r="A1285">
            <v>58336470</v>
          </cell>
          <cell r="B1285" t="str">
            <v>РЕФРИЖЕРАТОРНАЯ КОМПАНИЯ</v>
          </cell>
          <cell r="C1285" t="str">
            <v>ВОЛКОВСКАЯ   (ОКТ)</v>
          </cell>
          <cell r="D1285">
            <v>33208</v>
          </cell>
          <cell r="E1285">
            <v>37985</v>
          </cell>
          <cell r="F1285">
            <v>163</v>
          </cell>
          <cell r="G1285">
            <v>37256</v>
          </cell>
          <cell r="H1285">
            <v>819</v>
          </cell>
          <cell r="I1285" t="str">
            <v>деп</v>
          </cell>
          <cell r="J1285">
            <v>38716</v>
          </cell>
        </row>
        <row r="1286">
          <cell r="A1286">
            <v>58336488</v>
          </cell>
          <cell r="B1286" t="str">
            <v>РЕФРИЖЕРАТОРНАЯ КОМПАНИЯ</v>
          </cell>
          <cell r="C1286" t="str">
            <v>ВОЛКОВСКАЯ   (ОКТ)</v>
          </cell>
          <cell r="D1286">
            <v>33178</v>
          </cell>
          <cell r="E1286">
            <v>37701</v>
          </cell>
          <cell r="F1286">
            <v>886</v>
          </cell>
          <cell r="H1286">
            <v>0</v>
          </cell>
          <cell r="I1286" t="str">
            <v>деп</v>
          </cell>
          <cell r="J1286">
            <v>38432</v>
          </cell>
        </row>
        <row r="1287">
          <cell r="A1287">
            <v>58336496</v>
          </cell>
          <cell r="B1287" t="str">
            <v>РЕФРИЖЕРАТОРНАЯ КОМПАНИЯ</v>
          </cell>
          <cell r="C1287" t="str">
            <v>ВОЛКОВСКАЯ   (ОКТ)</v>
          </cell>
          <cell r="D1287">
            <v>33208</v>
          </cell>
          <cell r="E1287">
            <v>37701</v>
          </cell>
          <cell r="F1287">
            <v>886</v>
          </cell>
          <cell r="H1287">
            <v>0</v>
          </cell>
          <cell r="I1287" t="str">
            <v>деп</v>
          </cell>
          <cell r="J1287">
            <v>38432</v>
          </cell>
        </row>
        <row r="1288">
          <cell r="A1288">
            <v>58336504</v>
          </cell>
          <cell r="B1288" t="str">
            <v>РЕФРИЖЕРАТОРНАЯ КОМПАНИЯ</v>
          </cell>
          <cell r="C1288" t="str">
            <v>ВОЛКОВСКАЯ   (ОКТ)</v>
          </cell>
          <cell r="D1288">
            <v>33208</v>
          </cell>
          <cell r="E1288">
            <v>37701</v>
          </cell>
          <cell r="F1288">
            <v>886</v>
          </cell>
          <cell r="H1288">
            <v>0</v>
          </cell>
          <cell r="I1288" t="str">
            <v>деп</v>
          </cell>
          <cell r="J1288">
            <v>38432</v>
          </cell>
        </row>
        <row r="1289">
          <cell r="A1289">
            <v>58336512</v>
          </cell>
          <cell r="B1289" t="str">
            <v>РЕФРИЖЕРАТОРНАЯ КОМПАНИЯ</v>
          </cell>
          <cell r="C1289" t="str">
            <v>ВОЛКОВСКАЯ   (ОКТ)</v>
          </cell>
          <cell r="D1289">
            <v>33208</v>
          </cell>
          <cell r="E1289">
            <v>37701</v>
          </cell>
          <cell r="F1289">
            <v>886</v>
          </cell>
          <cell r="H1289">
            <v>0</v>
          </cell>
          <cell r="I1289" t="str">
            <v>деп</v>
          </cell>
          <cell r="J1289">
            <v>38432</v>
          </cell>
        </row>
        <row r="1290">
          <cell r="A1290">
            <v>58338419</v>
          </cell>
          <cell r="B1290" t="str">
            <v>РЕФРИЖЕРАТОРНАЯ КОМПАНИЯ</v>
          </cell>
          <cell r="C1290" t="str">
            <v>ВОЛКОВСКАЯ   (ОКТ)</v>
          </cell>
          <cell r="D1290">
            <v>33239</v>
          </cell>
          <cell r="E1290">
            <v>37824</v>
          </cell>
          <cell r="F1290">
            <v>163</v>
          </cell>
          <cell r="H1290">
            <v>0</v>
          </cell>
          <cell r="I1290" t="str">
            <v>деп</v>
          </cell>
          <cell r="J1290">
            <v>38555</v>
          </cell>
        </row>
        <row r="1291">
          <cell r="A1291">
            <v>58338427</v>
          </cell>
          <cell r="B1291" t="str">
            <v>РЕФРИЖЕРАТОРНАЯ КОМПАНИЯ</v>
          </cell>
          <cell r="C1291" t="str">
            <v>ВОЛКОВСКАЯ   (ОКТ)</v>
          </cell>
          <cell r="D1291">
            <v>33239</v>
          </cell>
          <cell r="E1291">
            <v>37824</v>
          </cell>
          <cell r="F1291">
            <v>163</v>
          </cell>
          <cell r="H1291">
            <v>0</v>
          </cell>
          <cell r="I1291" t="str">
            <v>деп</v>
          </cell>
          <cell r="J1291">
            <v>38555</v>
          </cell>
        </row>
        <row r="1292">
          <cell r="A1292">
            <v>58338435</v>
          </cell>
          <cell r="B1292" t="str">
            <v>РЕФРИЖЕРАТОРНАЯ КОМПАНИЯ</v>
          </cell>
          <cell r="C1292" t="str">
            <v>ВОЛКОВСКАЯ   (ОКТ)</v>
          </cell>
          <cell r="D1292">
            <v>33239</v>
          </cell>
          <cell r="E1292">
            <v>37824</v>
          </cell>
          <cell r="F1292">
            <v>163</v>
          </cell>
          <cell r="H1292">
            <v>0</v>
          </cell>
          <cell r="I1292" t="str">
            <v>деп</v>
          </cell>
          <cell r="J1292">
            <v>38555</v>
          </cell>
        </row>
        <row r="1293">
          <cell r="A1293">
            <v>58338443</v>
          </cell>
          <cell r="B1293" t="str">
            <v>РЕФРИЖЕРАТОРНАЯ КОМПАНИЯ</v>
          </cell>
          <cell r="C1293" t="str">
            <v>ВОЛКОВСКАЯ   (ОКТ)</v>
          </cell>
          <cell r="D1293">
            <v>33239</v>
          </cell>
          <cell r="E1293">
            <v>37824</v>
          </cell>
          <cell r="F1293">
            <v>163</v>
          </cell>
          <cell r="H1293">
            <v>0</v>
          </cell>
          <cell r="I1293" t="str">
            <v>деп</v>
          </cell>
          <cell r="J1293">
            <v>38555</v>
          </cell>
        </row>
        <row r="1294">
          <cell r="A1294">
            <v>58728924</v>
          </cell>
          <cell r="B1294" t="str">
            <v>РЕФРИЖЕРАТОРНАЯ КОМПАНИЯ</v>
          </cell>
          <cell r="C1294" t="str">
            <v>ВОЛКОВСКАЯ   (ОКТ)</v>
          </cell>
          <cell r="D1294">
            <v>29465</v>
          </cell>
          <cell r="E1294">
            <v>37894</v>
          </cell>
          <cell r="F1294">
            <v>792</v>
          </cell>
          <cell r="G1294">
            <v>37102</v>
          </cell>
          <cell r="H1294">
            <v>330</v>
          </cell>
          <cell r="I1294" t="str">
            <v>деп</v>
          </cell>
          <cell r="J1294">
            <v>38321</v>
          </cell>
        </row>
        <row r="1295">
          <cell r="A1295">
            <v>58728932</v>
          </cell>
          <cell r="B1295" t="str">
            <v>РЕФРИЖЕРАТОРНАЯ КОМПАНИЯ</v>
          </cell>
          <cell r="C1295" t="str">
            <v>ВОЛКОВСКАЯ   (ОКТ)</v>
          </cell>
          <cell r="D1295">
            <v>29465</v>
          </cell>
          <cell r="E1295">
            <v>37894</v>
          </cell>
          <cell r="F1295">
            <v>792</v>
          </cell>
          <cell r="G1295">
            <v>37099</v>
          </cell>
          <cell r="H1295">
            <v>330</v>
          </cell>
          <cell r="I1295" t="str">
            <v>деп</v>
          </cell>
          <cell r="J1295">
            <v>38321</v>
          </cell>
        </row>
        <row r="1296">
          <cell r="A1296">
            <v>58728940</v>
          </cell>
          <cell r="B1296" t="str">
            <v>РЕФРИЖЕРАТОРНАЯ КОМПАНИЯ</v>
          </cell>
          <cell r="C1296" t="str">
            <v>ВОЛКОВСКАЯ   (ОКТ)</v>
          </cell>
          <cell r="D1296">
            <v>29465</v>
          </cell>
          <cell r="E1296">
            <v>37894</v>
          </cell>
          <cell r="F1296">
            <v>792</v>
          </cell>
          <cell r="G1296">
            <v>37103</v>
          </cell>
          <cell r="H1296">
            <v>330</v>
          </cell>
          <cell r="I1296" t="str">
            <v>деп</v>
          </cell>
          <cell r="J1296">
            <v>38321</v>
          </cell>
        </row>
        <row r="1297">
          <cell r="A1297">
            <v>58728957</v>
          </cell>
          <cell r="B1297" t="str">
            <v>РЕФРИЖЕРАТОРНАЯ КОМПАНИЯ</v>
          </cell>
          <cell r="C1297" t="str">
            <v>ВОЛКОВСКАЯ   (ОКТ)</v>
          </cell>
          <cell r="D1297">
            <v>29465</v>
          </cell>
          <cell r="E1297">
            <v>37894</v>
          </cell>
          <cell r="F1297">
            <v>792</v>
          </cell>
          <cell r="G1297">
            <v>37103</v>
          </cell>
          <cell r="H1297">
            <v>330</v>
          </cell>
          <cell r="I1297" t="str">
            <v>деп</v>
          </cell>
          <cell r="J1297">
            <v>38321</v>
          </cell>
        </row>
        <row r="1298">
          <cell r="A1298">
            <v>58728965</v>
          </cell>
          <cell r="B1298" t="str">
            <v>РЕФРИЖЕРАТОРНАЯ КОМПАНИЯ</v>
          </cell>
          <cell r="C1298" t="str">
            <v>ВОЛКОВСКАЯ   (ОКТ)</v>
          </cell>
          <cell r="D1298">
            <v>29495</v>
          </cell>
          <cell r="E1298">
            <v>37183</v>
          </cell>
          <cell r="F1298">
            <v>352</v>
          </cell>
          <cell r="H1298">
            <v>0</v>
          </cell>
          <cell r="I1298" t="str">
            <v>деп</v>
          </cell>
          <cell r="J1298">
            <v>37950</v>
          </cell>
        </row>
        <row r="1299">
          <cell r="A1299">
            <v>58728973</v>
          </cell>
          <cell r="B1299" t="str">
            <v>РЕФРИЖЕРАТОРНАЯ КОМПАНИЯ</v>
          </cell>
          <cell r="C1299" t="str">
            <v>ВОЛКОВСКАЯ   (ОКТ)</v>
          </cell>
          <cell r="D1299">
            <v>29495</v>
          </cell>
          <cell r="E1299">
            <v>37183</v>
          </cell>
          <cell r="F1299">
            <v>352</v>
          </cell>
          <cell r="H1299">
            <v>0</v>
          </cell>
          <cell r="I1299" t="str">
            <v>деп</v>
          </cell>
          <cell r="J1299">
            <v>37950</v>
          </cell>
        </row>
        <row r="1300">
          <cell r="A1300">
            <v>58728981</v>
          </cell>
          <cell r="B1300" t="str">
            <v>РЕФРИЖЕРАТОРНАЯ КОМПАНИЯ</v>
          </cell>
          <cell r="C1300" t="str">
            <v>ВОЛКОВСКАЯ   (ОКТ)</v>
          </cell>
          <cell r="D1300">
            <v>29495</v>
          </cell>
          <cell r="E1300">
            <v>37183</v>
          </cell>
          <cell r="F1300">
            <v>352</v>
          </cell>
          <cell r="H1300">
            <v>0</v>
          </cell>
          <cell r="I1300" t="str">
            <v>деп</v>
          </cell>
          <cell r="J1300">
            <v>37950</v>
          </cell>
        </row>
        <row r="1301">
          <cell r="A1301">
            <v>58729005</v>
          </cell>
          <cell r="B1301" t="str">
            <v>РЕФРИЖЕРАТОРНАЯ КОМПАНИЯ</v>
          </cell>
          <cell r="C1301" t="str">
            <v>ВОЛКОВСКАЯ   (ОКТ)</v>
          </cell>
          <cell r="D1301">
            <v>29495</v>
          </cell>
          <cell r="E1301">
            <v>37183</v>
          </cell>
          <cell r="F1301">
            <v>352</v>
          </cell>
          <cell r="H1301">
            <v>0</v>
          </cell>
          <cell r="I1301" t="str">
            <v>деп</v>
          </cell>
          <cell r="J1301">
            <v>37950</v>
          </cell>
        </row>
        <row r="1302">
          <cell r="A1302">
            <v>58729013</v>
          </cell>
          <cell r="B1302" t="str">
            <v>РЕФРИЖЕРАТОРНАЯ КОМПАНИЯ</v>
          </cell>
          <cell r="C1302" t="str">
            <v>ВОЛКОВСКАЯ   (ОКТ)</v>
          </cell>
          <cell r="D1302">
            <v>29526</v>
          </cell>
          <cell r="E1302">
            <v>37964</v>
          </cell>
          <cell r="F1302">
            <v>350</v>
          </cell>
          <cell r="H1302">
            <v>0</v>
          </cell>
          <cell r="I1302" t="str">
            <v>кап</v>
          </cell>
          <cell r="J1302">
            <v>38392</v>
          </cell>
        </row>
        <row r="1303">
          <cell r="A1303">
            <v>58729021</v>
          </cell>
          <cell r="B1303" t="str">
            <v>РЕФРИЖЕРАТОРНАЯ КОМПАНИЯ</v>
          </cell>
          <cell r="C1303" t="str">
            <v>ВОЛКОВСКАЯ   (ОКТ)</v>
          </cell>
          <cell r="D1303">
            <v>29526</v>
          </cell>
          <cell r="E1303">
            <v>37964</v>
          </cell>
          <cell r="F1303">
            <v>350</v>
          </cell>
          <cell r="H1303">
            <v>0</v>
          </cell>
          <cell r="I1303" t="str">
            <v>кап</v>
          </cell>
          <cell r="J1303">
            <v>38392</v>
          </cell>
        </row>
        <row r="1304">
          <cell r="A1304">
            <v>58729039</v>
          </cell>
          <cell r="B1304" t="str">
            <v>РЕФРИЖЕРАТОРНАЯ КОМПАНИЯ</v>
          </cell>
          <cell r="C1304" t="str">
            <v>ВОЛКОВСКАЯ   (ОКТ)</v>
          </cell>
          <cell r="D1304">
            <v>29526</v>
          </cell>
          <cell r="E1304">
            <v>37964</v>
          </cell>
          <cell r="F1304">
            <v>350</v>
          </cell>
          <cell r="H1304">
            <v>0</v>
          </cell>
          <cell r="I1304" t="str">
            <v>кап</v>
          </cell>
          <cell r="J1304">
            <v>38392</v>
          </cell>
        </row>
        <row r="1305">
          <cell r="A1305">
            <v>58729047</v>
          </cell>
          <cell r="B1305" t="str">
            <v>РЕФРИЖЕРАТОРНАЯ КОМПАНИЯ</v>
          </cell>
          <cell r="C1305" t="str">
            <v>ВОЛКОВСКАЯ   (ОКТ)</v>
          </cell>
          <cell r="D1305">
            <v>29526</v>
          </cell>
          <cell r="E1305">
            <v>37133</v>
          </cell>
          <cell r="F1305">
            <v>323</v>
          </cell>
          <cell r="G1305">
            <v>37798</v>
          </cell>
          <cell r="H1305">
            <v>492</v>
          </cell>
          <cell r="I1305" t="str">
            <v>деп</v>
          </cell>
          <cell r="J1305">
            <v>38347</v>
          </cell>
        </row>
        <row r="1306">
          <cell r="A1306">
            <v>58729054</v>
          </cell>
          <cell r="B1306" t="str">
            <v>РЕФРИЖЕРАТОРНАЯ КОМПАНИЯ</v>
          </cell>
          <cell r="C1306" t="str">
            <v>ВОЛКОВСКАЯ   (ОКТ)</v>
          </cell>
          <cell r="D1306">
            <v>30621</v>
          </cell>
          <cell r="E1306">
            <v>37134</v>
          </cell>
          <cell r="F1306">
            <v>323</v>
          </cell>
          <cell r="G1306">
            <v>37795</v>
          </cell>
          <cell r="H1306">
            <v>492</v>
          </cell>
          <cell r="I1306" t="str">
            <v>деп</v>
          </cell>
          <cell r="J1306">
            <v>38344</v>
          </cell>
        </row>
        <row r="1307">
          <cell r="A1307">
            <v>58729062</v>
          </cell>
          <cell r="B1307" t="str">
            <v>РЕФРИЖЕРАТОРНАЯ КОМПАНИЯ</v>
          </cell>
          <cell r="C1307" t="str">
            <v>ВОЛКОВСКАЯ   (ОКТ)</v>
          </cell>
          <cell r="D1307">
            <v>30621</v>
          </cell>
          <cell r="E1307">
            <v>37134</v>
          </cell>
          <cell r="F1307">
            <v>323</v>
          </cell>
          <cell r="G1307">
            <v>37798</v>
          </cell>
          <cell r="H1307">
            <v>492</v>
          </cell>
          <cell r="I1307" t="str">
            <v>деп</v>
          </cell>
          <cell r="J1307">
            <v>38347</v>
          </cell>
        </row>
        <row r="1308">
          <cell r="A1308">
            <v>58729070</v>
          </cell>
          <cell r="B1308" t="str">
            <v>РЕФРИЖЕРАТОРНАЯ КОМПАНИЯ</v>
          </cell>
          <cell r="C1308" t="str">
            <v>ВОЛКОВСКАЯ   (ОКТ)</v>
          </cell>
          <cell r="D1308">
            <v>30621</v>
          </cell>
          <cell r="E1308">
            <v>37134</v>
          </cell>
          <cell r="F1308">
            <v>323</v>
          </cell>
          <cell r="G1308">
            <v>37795</v>
          </cell>
          <cell r="H1308">
            <v>492</v>
          </cell>
          <cell r="I1308" t="str">
            <v>деп</v>
          </cell>
          <cell r="J1308">
            <v>38344</v>
          </cell>
        </row>
        <row r="1309">
          <cell r="A1309">
            <v>58729088</v>
          </cell>
          <cell r="B1309" t="str">
            <v>РЕФРИЖЕРАТОРНАЯ КОМПАНИЯ</v>
          </cell>
          <cell r="C1309" t="str">
            <v>ВОЛКОВСКАЯ   (ОКТ)</v>
          </cell>
          <cell r="D1309">
            <v>30621</v>
          </cell>
          <cell r="E1309">
            <v>37159</v>
          </cell>
          <cell r="F1309">
            <v>330</v>
          </cell>
          <cell r="G1309">
            <v>37894</v>
          </cell>
          <cell r="H1309">
            <v>492</v>
          </cell>
          <cell r="I1309" t="str">
            <v>деп</v>
          </cell>
          <cell r="J1309">
            <v>38441</v>
          </cell>
        </row>
        <row r="1310">
          <cell r="A1310">
            <v>58729104</v>
          </cell>
          <cell r="B1310" t="str">
            <v>РЕФРИЖЕРАТОРНАЯ КОМПАНИЯ</v>
          </cell>
          <cell r="C1310" t="str">
            <v>ВОЛКОВСКАЯ   (ОКТ)</v>
          </cell>
          <cell r="D1310">
            <v>30651</v>
          </cell>
          <cell r="E1310">
            <v>37118</v>
          </cell>
          <cell r="F1310">
            <v>330</v>
          </cell>
          <cell r="H1310">
            <v>0</v>
          </cell>
          <cell r="I1310" t="str">
            <v>деп</v>
          </cell>
          <cell r="J1310">
            <v>37942</v>
          </cell>
        </row>
        <row r="1311">
          <cell r="A1311">
            <v>58729112</v>
          </cell>
          <cell r="B1311" t="str">
            <v>РЕФРИЖЕРАТОРНАЯ КОМПАНИЯ</v>
          </cell>
          <cell r="C1311" t="str">
            <v>ВОЛКОВСКАЯ   (ОКТ)</v>
          </cell>
          <cell r="D1311">
            <v>30651</v>
          </cell>
          <cell r="E1311">
            <v>37118</v>
          </cell>
          <cell r="F1311">
            <v>330</v>
          </cell>
          <cell r="H1311">
            <v>0</v>
          </cell>
          <cell r="I1311" t="str">
            <v>деп</v>
          </cell>
          <cell r="J1311">
            <v>37942</v>
          </cell>
        </row>
        <row r="1312">
          <cell r="A1312">
            <v>58729120</v>
          </cell>
          <cell r="B1312" t="str">
            <v>РЕФРИЖЕРАТОРНАЯ КОМПАНИЯ</v>
          </cell>
          <cell r="C1312" t="str">
            <v>ВОЛКОВСКАЯ   (ОКТ)</v>
          </cell>
          <cell r="D1312">
            <v>30651</v>
          </cell>
          <cell r="E1312">
            <v>37119</v>
          </cell>
          <cell r="F1312">
            <v>330</v>
          </cell>
          <cell r="H1312">
            <v>0</v>
          </cell>
          <cell r="I1312" t="str">
            <v>деп</v>
          </cell>
          <cell r="J1312">
            <v>37942</v>
          </cell>
        </row>
        <row r="1313">
          <cell r="A1313">
            <v>58729138</v>
          </cell>
          <cell r="B1313" t="str">
            <v>РЕФРИЖЕРАТОРНАЯ КОМПАНИЯ</v>
          </cell>
          <cell r="C1313" t="str">
            <v>ВОЛКОВСКАЯ   (ОКТ)</v>
          </cell>
          <cell r="D1313">
            <v>30651</v>
          </cell>
          <cell r="E1313">
            <v>37118</v>
          </cell>
          <cell r="F1313">
            <v>330</v>
          </cell>
          <cell r="H1313">
            <v>0</v>
          </cell>
          <cell r="I1313" t="str">
            <v>деп</v>
          </cell>
          <cell r="J1313">
            <v>37942</v>
          </cell>
        </row>
        <row r="1314">
          <cell r="A1314">
            <v>58729146</v>
          </cell>
          <cell r="B1314" t="str">
            <v>РЕФРИЖЕРАТОРНАЯ КОМПАНИЯ</v>
          </cell>
          <cell r="C1314" t="str">
            <v>ВОЛКОВСКАЯ   (ОКТ)</v>
          </cell>
          <cell r="D1314">
            <v>30682</v>
          </cell>
          <cell r="E1314">
            <v>37127</v>
          </cell>
          <cell r="F1314">
            <v>330</v>
          </cell>
          <cell r="G1314">
            <v>37652</v>
          </cell>
          <cell r="H1314">
            <v>897</v>
          </cell>
          <cell r="I1314" t="str">
            <v>деп</v>
          </cell>
          <cell r="J1314">
            <v>38383</v>
          </cell>
        </row>
        <row r="1315">
          <cell r="A1315">
            <v>58729153</v>
          </cell>
          <cell r="B1315" t="str">
            <v>РЕФРИЖЕРАТОРНАЯ КОМПАНИЯ</v>
          </cell>
          <cell r="C1315" t="str">
            <v>ВОЛКОВСКАЯ   (ОКТ)</v>
          </cell>
          <cell r="D1315">
            <v>30682</v>
          </cell>
          <cell r="E1315">
            <v>37964</v>
          </cell>
          <cell r="F1315">
            <v>350</v>
          </cell>
          <cell r="H1315">
            <v>0</v>
          </cell>
          <cell r="I1315" t="str">
            <v>кап</v>
          </cell>
          <cell r="J1315">
            <v>38392</v>
          </cell>
        </row>
        <row r="1316">
          <cell r="A1316">
            <v>58729161</v>
          </cell>
          <cell r="B1316" t="str">
            <v>РЕФРИЖЕРАТОРНАЯ КОМПАНИЯ</v>
          </cell>
          <cell r="C1316" t="str">
            <v>ВОЛКОВСКАЯ   (ОКТ)</v>
          </cell>
          <cell r="D1316">
            <v>30682</v>
          </cell>
          <cell r="E1316">
            <v>37134</v>
          </cell>
          <cell r="F1316">
            <v>323</v>
          </cell>
          <cell r="G1316">
            <v>37795</v>
          </cell>
          <cell r="H1316">
            <v>492</v>
          </cell>
          <cell r="I1316" t="str">
            <v>деп</v>
          </cell>
          <cell r="J1316">
            <v>38344</v>
          </cell>
        </row>
        <row r="1317">
          <cell r="A1317">
            <v>58729179</v>
          </cell>
          <cell r="B1317" t="str">
            <v>РЕФРИЖЕРАТОРНАЯ КОМПАНИЯ</v>
          </cell>
          <cell r="C1317" t="str">
            <v>ВОЛКОВСКАЯ   (ОКТ)</v>
          </cell>
          <cell r="D1317">
            <v>30682</v>
          </cell>
          <cell r="E1317">
            <v>37120</v>
          </cell>
          <cell r="F1317">
            <v>330</v>
          </cell>
          <cell r="G1317">
            <v>37754</v>
          </cell>
          <cell r="H1317">
            <v>492</v>
          </cell>
          <cell r="I1317" t="str">
            <v>деп</v>
          </cell>
          <cell r="J1317">
            <v>38485</v>
          </cell>
        </row>
        <row r="1318">
          <cell r="A1318">
            <v>58729203</v>
          </cell>
          <cell r="B1318" t="str">
            <v>РЕФРИЖЕРАТОРНАЯ КОМПАНИЯ</v>
          </cell>
          <cell r="C1318" t="str">
            <v>ВОЛКОВСКАЯ   (ОКТ)</v>
          </cell>
          <cell r="D1318">
            <v>30713</v>
          </cell>
          <cell r="E1318">
            <v>37894</v>
          </cell>
          <cell r="F1318">
            <v>792</v>
          </cell>
          <cell r="G1318">
            <v>37110</v>
          </cell>
          <cell r="H1318">
            <v>330</v>
          </cell>
          <cell r="I1318" t="str">
            <v>деп</v>
          </cell>
          <cell r="J1318">
            <v>38321</v>
          </cell>
        </row>
        <row r="1319">
          <cell r="A1319">
            <v>58729211</v>
          </cell>
          <cell r="B1319" t="str">
            <v>РЕФРИЖЕРАТОРНАЯ КОМПАНИЯ</v>
          </cell>
          <cell r="C1319" t="str">
            <v>ВОЛКОВСКАЯ   (ОКТ)</v>
          </cell>
          <cell r="D1319">
            <v>30713</v>
          </cell>
          <cell r="E1319">
            <v>37183</v>
          </cell>
          <cell r="F1319">
            <v>352</v>
          </cell>
          <cell r="H1319">
            <v>0</v>
          </cell>
          <cell r="I1319" t="str">
            <v>деп</v>
          </cell>
          <cell r="J1319">
            <v>37950</v>
          </cell>
        </row>
        <row r="1320">
          <cell r="A1320">
            <v>58729229</v>
          </cell>
          <cell r="B1320" t="str">
            <v>РЕФРИЖЕРАТОРНАЯ КОМПАНИЯ</v>
          </cell>
          <cell r="C1320" t="str">
            <v>ВОЛКОВСКАЯ   (ОКТ)</v>
          </cell>
          <cell r="D1320">
            <v>30713</v>
          </cell>
          <cell r="E1320">
            <v>37125</v>
          </cell>
          <cell r="F1320">
            <v>330</v>
          </cell>
          <cell r="G1320">
            <v>37652</v>
          </cell>
          <cell r="H1320">
            <v>897</v>
          </cell>
          <cell r="I1320" t="str">
            <v>деп</v>
          </cell>
          <cell r="J1320">
            <v>38383</v>
          </cell>
        </row>
        <row r="1321">
          <cell r="A1321">
            <v>58729237</v>
          </cell>
          <cell r="B1321" t="str">
            <v>РЕФРИЖЕРАТОРНАЯ КОМПАНИЯ</v>
          </cell>
          <cell r="C1321" t="str">
            <v>ВОЛКОВСКАЯ   (ОКТ)</v>
          </cell>
          <cell r="D1321">
            <v>30713</v>
          </cell>
          <cell r="E1321">
            <v>37125</v>
          </cell>
          <cell r="F1321">
            <v>330</v>
          </cell>
          <cell r="G1321">
            <v>37652</v>
          </cell>
          <cell r="H1321">
            <v>897</v>
          </cell>
          <cell r="I1321" t="str">
            <v>деп</v>
          </cell>
          <cell r="J1321">
            <v>38383</v>
          </cell>
        </row>
        <row r="1322">
          <cell r="A1322">
            <v>58729245</v>
          </cell>
          <cell r="B1322" t="str">
            <v>РЕФРИЖЕРАТОРНАЯ КОМПАНИЯ</v>
          </cell>
          <cell r="C1322" t="str">
            <v>ВОЛКОВСКАЯ   (ОКТ)</v>
          </cell>
          <cell r="D1322">
            <v>30713</v>
          </cell>
          <cell r="E1322">
            <v>37126</v>
          </cell>
          <cell r="F1322">
            <v>330</v>
          </cell>
          <cell r="G1322">
            <v>37652</v>
          </cell>
          <cell r="H1322">
            <v>897</v>
          </cell>
          <cell r="I1322" t="str">
            <v>деп</v>
          </cell>
          <cell r="J1322">
            <v>38383</v>
          </cell>
        </row>
        <row r="1323">
          <cell r="A1323">
            <v>58729252</v>
          </cell>
          <cell r="B1323" t="str">
            <v>РЕФРИЖЕРАТОРНАЯ КОМПАНИЯ</v>
          </cell>
          <cell r="C1323" t="str">
            <v>ВОЛКОВСКАЯ   (ОКТ)</v>
          </cell>
          <cell r="D1323">
            <v>30713</v>
          </cell>
          <cell r="E1323">
            <v>37126</v>
          </cell>
          <cell r="F1323">
            <v>330</v>
          </cell>
          <cell r="G1323">
            <v>37652</v>
          </cell>
          <cell r="H1323">
            <v>897</v>
          </cell>
          <cell r="I1323" t="str">
            <v>деп</v>
          </cell>
          <cell r="J1323">
            <v>38383</v>
          </cell>
        </row>
        <row r="1324">
          <cell r="A1324">
            <v>58733163</v>
          </cell>
          <cell r="B1324" t="str">
            <v>РЕФРИЖЕРАТОРНАЯ КОМПАНИЯ</v>
          </cell>
          <cell r="C1324" t="str">
            <v>ВОЛКОВСКАЯ   (ОКТ)</v>
          </cell>
          <cell r="D1324">
            <v>30317</v>
          </cell>
          <cell r="E1324">
            <v>36557</v>
          </cell>
          <cell r="F1324">
            <v>897</v>
          </cell>
          <cell r="G1324">
            <v>37644</v>
          </cell>
          <cell r="H1324">
            <v>897</v>
          </cell>
          <cell r="I1324" t="str">
            <v>деп</v>
          </cell>
          <cell r="J1324">
            <v>38191</v>
          </cell>
        </row>
        <row r="1325">
          <cell r="A1325">
            <v>58733171</v>
          </cell>
          <cell r="B1325" t="str">
            <v>РЕФРИЖЕРАТОРНАЯ КОМПАНИЯ</v>
          </cell>
          <cell r="C1325" t="str">
            <v>ВОЛКОВСКАЯ   (ОКТ)</v>
          </cell>
          <cell r="D1325">
            <v>30621</v>
          </cell>
          <cell r="E1325">
            <v>36557</v>
          </cell>
          <cell r="F1325">
            <v>897</v>
          </cell>
          <cell r="G1325">
            <v>37644</v>
          </cell>
          <cell r="H1325">
            <v>897</v>
          </cell>
          <cell r="I1325" t="str">
            <v>деп</v>
          </cell>
          <cell r="J1325">
            <v>38191</v>
          </cell>
        </row>
        <row r="1326">
          <cell r="A1326">
            <v>58733189</v>
          </cell>
          <cell r="B1326" t="str">
            <v>РЕФРИЖЕРАТОРНАЯ КОМПАНИЯ</v>
          </cell>
          <cell r="C1326" t="str">
            <v>ВОЛКОВСКАЯ   (ОКТ)</v>
          </cell>
          <cell r="D1326">
            <v>30621</v>
          </cell>
          <cell r="E1326">
            <v>36557</v>
          </cell>
          <cell r="F1326">
            <v>897</v>
          </cell>
          <cell r="G1326">
            <v>37644</v>
          </cell>
          <cell r="H1326">
            <v>897</v>
          </cell>
          <cell r="I1326" t="str">
            <v>деп</v>
          </cell>
          <cell r="J1326">
            <v>38191</v>
          </cell>
        </row>
        <row r="1327">
          <cell r="A1327">
            <v>58733205</v>
          </cell>
          <cell r="B1327" t="str">
            <v>РЕФРИЖЕРАТОРНАЯ КОМПАНИЯ</v>
          </cell>
          <cell r="C1327" t="str">
            <v>ВОЛКОВСКАЯ   (ОКТ)</v>
          </cell>
          <cell r="D1327">
            <v>30621</v>
          </cell>
          <cell r="E1327">
            <v>36557</v>
          </cell>
          <cell r="F1327">
            <v>897</v>
          </cell>
          <cell r="G1327">
            <v>37644</v>
          </cell>
          <cell r="H1327">
            <v>897</v>
          </cell>
          <cell r="I1327" t="str">
            <v>деп</v>
          </cell>
          <cell r="J1327">
            <v>38191</v>
          </cell>
        </row>
        <row r="1328">
          <cell r="A1328">
            <v>58733213</v>
          </cell>
          <cell r="B1328" t="str">
            <v>РЕФРИЖЕРАТОРНАЯ КОМПАНИЯ</v>
          </cell>
          <cell r="C1328" t="str">
            <v>ВОЛКОВСКАЯ   (ОКТ)</v>
          </cell>
          <cell r="D1328">
            <v>30987</v>
          </cell>
          <cell r="E1328">
            <v>36537</v>
          </cell>
          <cell r="F1328">
            <v>897</v>
          </cell>
          <cell r="G1328">
            <v>37644</v>
          </cell>
          <cell r="H1328">
            <v>897</v>
          </cell>
          <cell r="I1328" t="str">
            <v>деп</v>
          </cell>
          <cell r="J1328">
            <v>38191</v>
          </cell>
        </row>
        <row r="1329">
          <cell r="A1329">
            <v>58733221</v>
          </cell>
          <cell r="B1329" t="str">
            <v>РЕФРИЖЕРАТОРНАЯ КОМПАНИЯ</v>
          </cell>
          <cell r="C1329" t="str">
            <v>ВОЛКОВСКАЯ   (ОКТ)</v>
          </cell>
          <cell r="D1329">
            <v>30987</v>
          </cell>
          <cell r="E1329">
            <v>36537</v>
          </cell>
          <cell r="F1329">
            <v>897</v>
          </cell>
          <cell r="G1329">
            <v>37643</v>
          </cell>
          <cell r="H1329">
            <v>897</v>
          </cell>
          <cell r="I1329" t="str">
            <v>деп</v>
          </cell>
          <cell r="J1329">
            <v>38190</v>
          </cell>
        </row>
        <row r="1330">
          <cell r="A1330">
            <v>58733239</v>
          </cell>
          <cell r="B1330" t="str">
            <v>РЕФРИЖЕРАТОРНАЯ КОМПАНИЯ</v>
          </cell>
          <cell r="C1330" t="str">
            <v>ВОЛКОВСКАЯ   (ОКТ)</v>
          </cell>
          <cell r="D1330">
            <v>30987</v>
          </cell>
          <cell r="E1330">
            <v>36537</v>
          </cell>
          <cell r="F1330">
            <v>897</v>
          </cell>
          <cell r="G1330">
            <v>37643</v>
          </cell>
          <cell r="H1330">
            <v>897</v>
          </cell>
          <cell r="I1330" t="str">
            <v>деп</v>
          </cell>
          <cell r="J1330">
            <v>38190</v>
          </cell>
        </row>
        <row r="1331">
          <cell r="A1331">
            <v>58733247</v>
          </cell>
          <cell r="B1331" t="str">
            <v>РЕФРИЖЕРАТОРНАЯ КОМПАНИЯ</v>
          </cell>
          <cell r="C1331" t="str">
            <v>ВОЛКОВСКАЯ   (ОКТ)</v>
          </cell>
          <cell r="D1331">
            <v>30987</v>
          </cell>
          <cell r="E1331">
            <v>36537</v>
          </cell>
          <cell r="F1331">
            <v>897</v>
          </cell>
          <cell r="G1331">
            <v>37643</v>
          </cell>
          <cell r="H1331">
            <v>897</v>
          </cell>
          <cell r="I1331" t="str">
            <v>деп</v>
          </cell>
          <cell r="J1331">
            <v>38190</v>
          </cell>
        </row>
        <row r="1332">
          <cell r="A1332">
            <v>58733254</v>
          </cell>
          <cell r="B1332" t="str">
            <v>РЕФРИЖЕРАТОРНАЯ КОМПАНИЯ</v>
          </cell>
          <cell r="C1332" t="str">
            <v>ВОЛКОВСКАЯ   (ОКТ)</v>
          </cell>
          <cell r="D1332">
            <v>30987</v>
          </cell>
          <cell r="E1332">
            <v>36592</v>
          </cell>
          <cell r="F1332">
            <v>897</v>
          </cell>
          <cell r="G1332">
            <v>37651</v>
          </cell>
          <cell r="H1332">
            <v>897</v>
          </cell>
          <cell r="I1332" t="str">
            <v>деп</v>
          </cell>
          <cell r="J1332">
            <v>38198</v>
          </cell>
        </row>
        <row r="1333">
          <cell r="A1333">
            <v>58733262</v>
          </cell>
          <cell r="B1333" t="str">
            <v>РЕФРИЖЕРАТОРНАЯ КОМПАНИЯ</v>
          </cell>
          <cell r="C1333" t="str">
            <v>ВОЛКОВСКАЯ   (ОКТ)</v>
          </cell>
          <cell r="D1333">
            <v>30987</v>
          </cell>
          <cell r="E1333">
            <v>36592</v>
          </cell>
          <cell r="F1333">
            <v>897</v>
          </cell>
          <cell r="G1333">
            <v>37651</v>
          </cell>
          <cell r="H1333">
            <v>897</v>
          </cell>
          <cell r="I1333" t="str">
            <v>деп</v>
          </cell>
          <cell r="J1333">
            <v>38198</v>
          </cell>
        </row>
        <row r="1334">
          <cell r="A1334">
            <v>58733270</v>
          </cell>
          <cell r="B1334" t="str">
            <v>РЕФРИЖЕРАТОРНАЯ КОМПАНИЯ</v>
          </cell>
          <cell r="C1334" t="str">
            <v>ВОЛКОВСКАЯ   (ОКТ)</v>
          </cell>
          <cell r="D1334">
            <v>30987</v>
          </cell>
          <cell r="E1334">
            <v>36592</v>
          </cell>
          <cell r="F1334">
            <v>897</v>
          </cell>
          <cell r="G1334">
            <v>37651</v>
          </cell>
          <cell r="H1334">
            <v>897</v>
          </cell>
          <cell r="I1334" t="str">
            <v>деп</v>
          </cell>
          <cell r="J1334">
            <v>38198</v>
          </cell>
        </row>
        <row r="1335">
          <cell r="A1335">
            <v>58733288</v>
          </cell>
          <cell r="B1335" t="str">
            <v>РЕФРИЖЕРАТОРНАЯ КОМПАНИЯ</v>
          </cell>
          <cell r="C1335" t="str">
            <v>ВОЛКОВСКАЯ   (ОКТ)</v>
          </cell>
          <cell r="D1335">
            <v>30987</v>
          </cell>
          <cell r="E1335">
            <v>36592</v>
          </cell>
          <cell r="F1335">
            <v>897</v>
          </cell>
          <cell r="G1335">
            <v>37651</v>
          </cell>
          <cell r="H1335">
            <v>897</v>
          </cell>
          <cell r="I1335" t="str">
            <v>деп</v>
          </cell>
          <cell r="J1335">
            <v>38198</v>
          </cell>
        </row>
        <row r="1336">
          <cell r="A1336">
            <v>58733304</v>
          </cell>
          <cell r="B1336" t="str">
            <v>РЕФРИЖЕРАТОРНАЯ КОМПАНИЯ</v>
          </cell>
          <cell r="C1336" t="str">
            <v>ВОЛКОВСКАЯ   (ОКТ)</v>
          </cell>
          <cell r="D1336">
            <v>30987</v>
          </cell>
          <cell r="E1336">
            <v>36476</v>
          </cell>
          <cell r="F1336">
            <v>897</v>
          </cell>
          <cell r="G1336">
            <v>37648</v>
          </cell>
          <cell r="H1336">
            <v>897</v>
          </cell>
          <cell r="I1336" t="str">
            <v>деп</v>
          </cell>
          <cell r="J1336">
            <v>38195</v>
          </cell>
        </row>
        <row r="1337">
          <cell r="A1337">
            <v>58733312</v>
          </cell>
          <cell r="B1337" t="str">
            <v>РЕФРИЖЕРАТОРНАЯ КОМПАНИЯ</v>
          </cell>
          <cell r="C1337" t="str">
            <v>ВОЛКОВСКАЯ   (ОКТ)</v>
          </cell>
          <cell r="D1337">
            <v>30987</v>
          </cell>
          <cell r="E1337">
            <v>36476</v>
          </cell>
          <cell r="F1337">
            <v>897</v>
          </cell>
          <cell r="G1337">
            <v>37648</v>
          </cell>
          <cell r="H1337">
            <v>897</v>
          </cell>
          <cell r="I1337" t="str">
            <v>деп</v>
          </cell>
          <cell r="J1337">
            <v>38195</v>
          </cell>
        </row>
        <row r="1338">
          <cell r="A1338">
            <v>58733320</v>
          </cell>
          <cell r="B1338" t="str">
            <v>РЕФРИЖЕРАТОРНАЯ КОМПАНИЯ</v>
          </cell>
          <cell r="C1338" t="str">
            <v>ВОЛКОВСКАЯ   (ОКТ)</v>
          </cell>
          <cell r="D1338">
            <v>30987</v>
          </cell>
          <cell r="E1338">
            <v>36476</v>
          </cell>
          <cell r="F1338">
            <v>897</v>
          </cell>
          <cell r="G1338">
            <v>37648</v>
          </cell>
          <cell r="H1338">
            <v>897</v>
          </cell>
          <cell r="I1338" t="str">
            <v>деп</v>
          </cell>
          <cell r="J1338">
            <v>38195</v>
          </cell>
        </row>
        <row r="1339">
          <cell r="A1339">
            <v>58733338</v>
          </cell>
          <cell r="B1339" t="str">
            <v>РЕФРИЖЕРАТОРНАЯ КОМПАНИЯ</v>
          </cell>
          <cell r="C1339" t="str">
            <v>ВОЛКОВСКАЯ   (ОКТ)</v>
          </cell>
          <cell r="D1339">
            <v>30987</v>
          </cell>
          <cell r="E1339">
            <v>36476</v>
          </cell>
          <cell r="F1339">
            <v>897</v>
          </cell>
          <cell r="G1339">
            <v>37648</v>
          </cell>
          <cell r="H1339">
            <v>897</v>
          </cell>
          <cell r="I1339" t="str">
            <v>деп</v>
          </cell>
          <cell r="J1339">
            <v>38195</v>
          </cell>
        </row>
        <row r="1340">
          <cell r="A1340">
            <v>58733346</v>
          </cell>
          <cell r="B1340" t="str">
            <v>РЕФРИЖЕРАТОРНАЯ КОМПАНИЯ</v>
          </cell>
          <cell r="C1340" t="str">
            <v>ВОЛКОВСКАЯ   (ОКТ)</v>
          </cell>
          <cell r="D1340">
            <v>31413</v>
          </cell>
          <cell r="E1340">
            <v>36340</v>
          </cell>
          <cell r="F1340">
            <v>897</v>
          </cell>
          <cell r="G1340">
            <v>37656</v>
          </cell>
          <cell r="H1340">
            <v>897</v>
          </cell>
          <cell r="I1340" t="str">
            <v>деп</v>
          </cell>
          <cell r="J1340">
            <v>38203</v>
          </cell>
        </row>
        <row r="1341">
          <cell r="A1341">
            <v>58733353</v>
          </cell>
          <cell r="B1341" t="str">
            <v>РЕФРИЖЕРАТОРНАЯ КОМПАНИЯ</v>
          </cell>
          <cell r="C1341" t="str">
            <v>ВОЛКОВСКАЯ   (ОКТ)</v>
          </cell>
          <cell r="D1341">
            <v>31413</v>
          </cell>
          <cell r="E1341">
            <v>36340</v>
          </cell>
          <cell r="F1341">
            <v>897</v>
          </cell>
          <cell r="G1341">
            <v>37656</v>
          </cell>
          <cell r="H1341">
            <v>897</v>
          </cell>
          <cell r="I1341" t="str">
            <v>деп</v>
          </cell>
          <cell r="J1341">
            <v>38203</v>
          </cell>
        </row>
        <row r="1342">
          <cell r="A1342">
            <v>58733361</v>
          </cell>
          <cell r="B1342" t="str">
            <v>РЕФРИЖЕРАТОРНАЯ КОМПАНИЯ</v>
          </cell>
          <cell r="C1342" t="str">
            <v>ВОЛКОВСКАЯ   (ОКТ)</v>
          </cell>
          <cell r="D1342">
            <v>31413</v>
          </cell>
          <cell r="E1342">
            <v>36340</v>
          </cell>
          <cell r="F1342">
            <v>897</v>
          </cell>
          <cell r="G1342">
            <v>37656</v>
          </cell>
          <cell r="H1342">
            <v>897</v>
          </cell>
          <cell r="I1342" t="str">
            <v>деп</v>
          </cell>
          <cell r="J1342">
            <v>38203</v>
          </cell>
        </row>
        <row r="1343">
          <cell r="A1343">
            <v>58733379</v>
          </cell>
          <cell r="B1343" t="str">
            <v>РЕФРИЖЕРАТОРНАЯ КОМПАНИЯ</v>
          </cell>
          <cell r="C1343" t="str">
            <v>ВОЛКОВСКАЯ   (ОКТ)</v>
          </cell>
          <cell r="D1343">
            <v>31413</v>
          </cell>
          <cell r="E1343">
            <v>36340</v>
          </cell>
          <cell r="F1343">
            <v>897</v>
          </cell>
          <cell r="G1343">
            <v>37656</v>
          </cell>
          <cell r="H1343">
            <v>897</v>
          </cell>
          <cell r="I1343" t="str">
            <v>деп</v>
          </cell>
          <cell r="J1343">
            <v>38203</v>
          </cell>
        </row>
        <row r="1344">
          <cell r="A1344">
            <v>58733387</v>
          </cell>
          <cell r="B1344" t="str">
            <v>РЕФРИЖЕРАТОРНАЯ КОМПАНИЯ</v>
          </cell>
          <cell r="C1344" t="str">
            <v>ВОЛКОВСКАЯ   (ОКТ)</v>
          </cell>
          <cell r="D1344">
            <v>31413</v>
          </cell>
          <cell r="E1344">
            <v>36657</v>
          </cell>
          <cell r="F1344">
            <v>897</v>
          </cell>
          <cell r="G1344">
            <v>37657</v>
          </cell>
          <cell r="H1344">
            <v>897</v>
          </cell>
          <cell r="I1344" t="str">
            <v>деп</v>
          </cell>
          <cell r="J1344">
            <v>38204</v>
          </cell>
        </row>
        <row r="1345">
          <cell r="A1345">
            <v>58733403</v>
          </cell>
          <cell r="B1345" t="str">
            <v>РЕФРИЖЕРАТОРНАЯ КОМПАНИЯ</v>
          </cell>
          <cell r="C1345" t="str">
            <v>ВОЛКОВСКАЯ   (ОКТ)</v>
          </cell>
          <cell r="D1345">
            <v>31413</v>
          </cell>
          <cell r="E1345">
            <v>36657</v>
          </cell>
          <cell r="F1345">
            <v>897</v>
          </cell>
          <cell r="G1345">
            <v>37657</v>
          </cell>
          <cell r="H1345">
            <v>897</v>
          </cell>
          <cell r="I1345" t="str">
            <v>деп</v>
          </cell>
          <cell r="J1345">
            <v>38204</v>
          </cell>
        </row>
        <row r="1346">
          <cell r="A1346">
            <v>58733411</v>
          </cell>
          <cell r="B1346" t="str">
            <v>РЕФРИЖЕРАТОРНАЯ КОМПАНИЯ</v>
          </cell>
          <cell r="C1346" t="str">
            <v>ВОЛКОВСКАЯ   (ОКТ)</v>
          </cell>
          <cell r="D1346">
            <v>31413</v>
          </cell>
          <cell r="E1346">
            <v>36657</v>
          </cell>
          <cell r="F1346">
            <v>897</v>
          </cell>
          <cell r="G1346">
            <v>37657</v>
          </cell>
          <cell r="H1346">
            <v>897</v>
          </cell>
          <cell r="I1346" t="str">
            <v>деп</v>
          </cell>
          <cell r="J1346">
            <v>38204</v>
          </cell>
        </row>
        <row r="1347">
          <cell r="A1347">
            <v>58733429</v>
          </cell>
          <cell r="B1347" t="str">
            <v>РЕФРИЖЕРАТОРНАЯ КОМПАНИЯ</v>
          </cell>
          <cell r="C1347" t="str">
            <v>ВОЛКОВСКАЯ   (ОКТ)</v>
          </cell>
          <cell r="D1347">
            <v>31413</v>
          </cell>
          <cell r="E1347">
            <v>36657</v>
          </cell>
          <cell r="F1347">
            <v>897</v>
          </cell>
          <cell r="G1347">
            <v>37657</v>
          </cell>
          <cell r="H1347">
            <v>897</v>
          </cell>
          <cell r="I1347" t="str">
            <v>деп</v>
          </cell>
          <cell r="J1347">
            <v>38204</v>
          </cell>
        </row>
        <row r="1348">
          <cell r="A1348">
            <v>58733437</v>
          </cell>
          <cell r="B1348" t="str">
            <v>РЕФРИЖЕРАТОРНАЯ КОМПАНИЯ</v>
          </cell>
          <cell r="C1348" t="str">
            <v>ВОЛКОВСКАЯ   (ОКТ)</v>
          </cell>
          <cell r="D1348">
            <v>31413</v>
          </cell>
          <cell r="E1348">
            <v>36504</v>
          </cell>
          <cell r="F1348">
            <v>897</v>
          </cell>
          <cell r="G1348">
            <v>37645</v>
          </cell>
          <cell r="H1348">
            <v>897</v>
          </cell>
          <cell r="I1348" t="str">
            <v>деп</v>
          </cell>
          <cell r="J1348">
            <v>38192</v>
          </cell>
        </row>
        <row r="1349">
          <cell r="A1349">
            <v>58733445</v>
          </cell>
          <cell r="B1349" t="str">
            <v>РЕФРИЖЕРАТОРНАЯ КОМПАНИЯ</v>
          </cell>
          <cell r="C1349" t="str">
            <v>ВОЛКОВСКАЯ   (ОКТ)</v>
          </cell>
          <cell r="D1349">
            <v>31413</v>
          </cell>
          <cell r="E1349">
            <v>36504</v>
          </cell>
          <cell r="F1349">
            <v>897</v>
          </cell>
          <cell r="G1349">
            <v>37645</v>
          </cell>
          <cell r="H1349">
            <v>897</v>
          </cell>
          <cell r="I1349" t="str">
            <v>деп</v>
          </cell>
          <cell r="J1349">
            <v>38192</v>
          </cell>
        </row>
        <row r="1350">
          <cell r="A1350">
            <v>58733452</v>
          </cell>
          <cell r="B1350" t="str">
            <v>РЕФРИЖЕРАТОРНАЯ КОМПАНИЯ</v>
          </cell>
          <cell r="C1350" t="str">
            <v>ВОЛКОВСКАЯ   (ОКТ)</v>
          </cell>
          <cell r="D1350">
            <v>31413</v>
          </cell>
          <cell r="E1350">
            <v>36504</v>
          </cell>
          <cell r="F1350">
            <v>897</v>
          </cell>
          <cell r="G1350">
            <v>37645</v>
          </cell>
          <cell r="H1350">
            <v>897</v>
          </cell>
          <cell r="I1350" t="str">
            <v>деп</v>
          </cell>
          <cell r="J1350">
            <v>38192</v>
          </cell>
        </row>
        <row r="1351">
          <cell r="A1351">
            <v>58733460</v>
          </cell>
          <cell r="B1351" t="str">
            <v>РЕФРИЖЕРАТОРНАЯ КОМПАНИЯ</v>
          </cell>
          <cell r="C1351" t="str">
            <v>ВОЛКОВСКАЯ   (ОКТ)</v>
          </cell>
          <cell r="D1351">
            <v>31413</v>
          </cell>
          <cell r="E1351">
            <v>36504</v>
          </cell>
          <cell r="F1351">
            <v>897</v>
          </cell>
          <cell r="G1351">
            <v>37645</v>
          </cell>
          <cell r="H1351">
            <v>897</v>
          </cell>
          <cell r="I1351" t="str">
            <v>деп</v>
          </cell>
          <cell r="J1351">
            <v>38192</v>
          </cell>
        </row>
        <row r="1352">
          <cell r="A1352">
            <v>58733577</v>
          </cell>
          <cell r="B1352" t="str">
            <v>РЕФРИЖЕРАТОРНАЯ КОМПАНИЯ</v>
          </cell>
          <cell r="C1352" t="str">
            <v>ВОЛКОВСКАЯ   (ОКТ)</v>
          </cell>
          <cell r="D1352">
            <v>31321</v>
          </cell>
          <cell r="E1352">
            <v>36623</v>
          </cell>
          <cell r="F1352">
            <v>897</v>
          </cell>
          <cell r="G1352">
            <v>37691</v>
          </cell>
          <cell r="H1352">
            <v>897</v>
          </cell>
          <cell r="I1352" t="str">
            <v>деп</v>
          </cell>
          <cell r="J1352">
            <v>38241</v>
          </cell>
        </row>
        <row r="1353">
          <cell r="A1353">
            <v>58733585</v>
          </cell>
          <cell r="B1353" t="str">
            <v>РЕФРИЖЕРАТОРНАЯ КОМПАНИЯ</v>
          </cell>
          <cell r="C1353" t="str">
            <v>ВОЛКОВСКАЯ   (ОКТ)</v>
          </cell>
          <cell r="D1353">
            <v>30621</v>
          </cell>
          <cell r="E1353">
            <v>37685</v>
          </cell>
          <cell r="F1353">
            <v>897</v>
          </cell>
          <cell r="G1353">
            <v>36279</v>
          </cell>
          <cell r="H1353">
            <v>897</v>
          </cell>
          <cell r="I1353" t="str">
            <v>деп</v>
          </cell>
          <cell r="J1353">
            <v>38235</v>
          </cell>
        </row>
        <row r="1354">
          <cell r="A1354">
            <v>58733601</v>
          </cell>
          <cell r="B1354" t="str">
            <v>РЕФРИЖЕРАТОРНАЯ КОМПАНИЯ</v>
          </cell>
          <cell r="C1354" t="str">
            <v>ВОЛКОВСКАЯ   (ОКТ)</v>
          </cell>
          <cell r="D1354">
            <v>30621</v>
          </cell>
          <cell r="E1354">
            <v>37685</v>
          </cell>
          <cell r="F1354">
            <v>897</v>
          </cell>
          <cell r="G1354">
            <v>36279</v>
          </cell>
          <cell r="H1354">
            <v>897</v>
          </cell>
          <cell r="I1354" t="str">
            <v>деп</v>
          </cell>
          <cell r="J1354">
            <v>38235</v>
          </cell>
        </row>
        <row r="1355">
          <cell r="A1355">
            <v>58733619</v>
          </cell>
          <cell r="B1355" t="str">
            <v>РЕФРИЖЕРАТОРНАЯ КОМПАНИЯ</v>
          </cell>
          <cell r="C1355" t="str">
            <v>ВОЛКОВСКАЯ   (ОКТ)</v>
          </cell>
          <cell r="D1355">
            <v>30621</v>
          </cell>
          <cell r="E1355">
            <v>37685</v>
          </cell>
          <cell r="F1355">
            <v>897</v>
          </cell>
          <cell r="G1355">
            <v>36279</v>
          </cell>
          <cell r="H1355">
            <v>897</v>
          </cell>
          <cell r="I1355" t="str">
            <v>деп</v>
          </cell>
          <cell r="J1355">
            <v>38235</v>
          </cell>
        </row>
        <row r="1356">
          <cell r="A1356">
            <v>58733627</v>
          </cell>
          <cell r="B1356" t="str">
            <v>РЕФРИЖЕРАТОРНАЯ КОМПАНИЯ</v>
          </cell>
          <cell r="C1356" t="str">
            <v>ВОЛКОВСКАЯ   (ОКТ)</v>
          </cell>
          <cell r="D1356">
            <v>30621</v>
          </cell>
          <cell r="E1356">
            <v>37685</v>
          </cell>
          <cell r="F1356">
            <v>897</v>
          </cell>
          <cell r="G1356">
            <v>36279</v>
          </cell>
          <cell r="H1356">
            <v>897</v>
          </cell>
          <cell r="I1356" t="str">
            <v>деп</v>
          </cell>
          <cell r="J1356">
            <v>38235</v>
          </cell>
        </row>
        <row r="1357">
          <cell r="A1357">
            <v>58733635</v>
          </cell>
          <cell r="B1357" t="str">
            <v>РЕФРИЖЕРАТОРНАЯ КОМПАНИЯ</v>
          </cell>
          <cell r="C1357" t="str">
            <v>ВОЛКОВСКАЯ   (ОКТ)</v>
          </cell>
          <cell r="D1357">
            <v>30651</v>
          </cell>
          <cell r="E1357">
            <v>37679</v>
          </cell>
          <cell r="F1357">
            <v>897</v>
          </cell>
          <cell r="G1357">
            <v>35892</v>
          </cell>
          <cell r="H1357">
            <v>897</v>
          </cell>
          <cell r="I1357" t="str">
            <v>деп</v>
          </cell>
          <cell r="J1357">
            <v>38226</v>
          </cell>
        </row>
        <row r="1358">
          <cell r="A1358">
            <v>58733643</v>
          </cell>
          <cell r="B1358" t="str">
            <v>РЕФРИЖЕРАТОРНАЯ КОМПАНИЯ</v>
          </cell>
          <cell r="C1358" t="str">
            <v>ВОЛКОВСКАЯ   (ОКТ)</v>
          </cell>
          <cell r="D1358">
            <v>30651</v>
          </cell>
          <cell r="E1358">
            <v>36623</v>
          </cell>
          <cell r="F1358">
            <v>897</v>
          </cell>
          <cell r="G1358">
            <v>37691</v>
          </cell>
          <cell r="H1358">
            <v>897</v>
          </cell>
          <cell r="I1358" t="str">
            <v>деп</v>
          </cell>
          <cell r="J1358">
            <v>38241</v>
          </cell>
        </row>
        <row r="1359">
          <cell r="A1359">
            <v>58733650</v>
          </cell>
          <cell r="B1359" t="str">
            <v>РЕФРИЖЕРАТОРНАЯ КОМПАНИЯ</v>
          </cell>
          <cell r="C1359" t="str">
            <v>ВОЛКОВСКАЯ   (ОКТ)</v>
          </cell>
          <cell r="D1359">
            <v>30651</v>
          </cell>
          <cell r="E1359">
            <v>37679</v>
          </cell>
          <cell r="F1359">
            <v>897</v>
          </cell>
          <cell r="G1359">
            <v>35892</v>
          </cell>
          <cell r="H1359">
            <v>897</v>
          </cell>
          <cell r="I1359" t="str">
            <v>деп</v>
          </cell>
          <cell r="J1359">
            <v>38226</v>
          </cell>
        </row>
        <row r="1360">
          <cell r="A1360">
            <v>58733668</v>
          </cell>
          <cell r="B1360" t="str">
            <v>РЕФРИЖЕРАТОРНАЯ КОМПАНИЯ</v>
          </cell>
          <cell r="C1360" t="str">
            <v>ВОЛКОВСКАЯ   (ОКТ)</v>
          </cell>
          <cell r="D1360">
            <v>30651</v>
          </cell>
          <cell r="E1360">
            <v>37679</v>
          </cell>
          <cell r="F1360">
            <v>897</v>
          </cell>
          <cell r="G1360">
            <v>35892</v>
          </cell>
          <cell r="H1360">
            <v>897</v>
          </cell>
          <cell r="I1360" t="str">
            <v>деп</v>
          </cell>
          <cell r="J1360">
            <v>38226</v>
          </cell>
        </row>
        <row r="1361">
          <cell r="A1361">
            <v>58733676</v>
          </cell>
          <cell r="B1361" t="str">
            <v>РЕФРИЖЕРАТОРНАЯ КОМПАНИЯ</v>
          </cell>
          <cell r="C1361" t="str">
            <v>ВОЛКОВСКАЯ   (ОКТ)</v>
          </cell>
          <cell r="D1361">
            <v>30651</v>
          </cell>
          <cell r="E1361">
            <v>37694</v>
          </cell>
          <cell r="F1361">
            <v>897</v>
          </cell>
          <cell r="G1361">
            <v>36333</v>
          </cell>
          <cell r="H1361">
            <v>897</v>
          </cell>
          <cell r="I1361" t="str">
            <v>деп</v>
          </cell>
          <cell r="J1361">
            <v>38244</v>
          </cell>
        </row>
        <row r="1362">
          <cell r="A1362">
            <v>58733684</v>
          </cell>
          <cell r="B1362" t="str">
            <v>РЕФРИЖЕРАТОРНАЯ КОМПАНИЯ</v>
          </cell>
          <cell r="C1362" t="str">
            <v>ВОЛКОВСКАЯ   (ОКТ)</v>
          </cell>
          <cell r="D1362">
            <v>30651</v>
          </cell>
          <cell r="E1362">
            <v>37694</v>
          </cell>
          <cell r="F1362">
            <v>897</v>
          </cell>
          <cell r="G1362">
            <v>36333</v>
          </cell>
          <cell r="H1362">
            <v>897</v>
          </cell>
          <cell r="I1362" t="str">
            <v>деп</v>
          </cell>
          <cell r="J1362">
            <v>38244</v>
          </cell>
        </row>
        <row r="1363">
          <cell r="A1363">
            <v>58733700</v>
          </cell>
          <cell r="B1363" t="str">
            <v>РЕФРИЖЕРАТОРНАЯ КОМПАНИЯ</v>
          </cell>
          <cell r="C1363" t="str">
            <v>ВОЛКОВСКАЯ   (ОКТ)</v>
          </cell>
          <cell r="D1363">
            <v>30651</v>
          </cell>
          <cell r="E1363">
            <v>37694</v>
          </cell>
          <cell r="F1363">
            <v>897</v>
          </cell>
          <cell r="G1363">
            <v>36333</v>
          </cell>
          <cell r="H1363">
            <v>897</v>
          </cell>
          <cell r="I1363" t="str">
            <v>деп</v>
          </cell>
          <cell r="J1363">
            <v>38244</v>
          </cell>
        </row>
        <row r="1364">
          <cell r="A1364">
            <v>58733718</v>
          </cell>
          <cell r="B1364" t="str">
            <v>РЕФРИЖЕРАТОРНАЯ КОМПАНИЯ</v>
          </cell>
          <cell r="C1364" t="str">
            <v>ВОЛКОВСКАЯ   (ОКТ)</v>
          </cell>
          <cell r="D1364">
            <v>30651</v>
          </cell>
          <cell r="E1364">
            <v>37694</v>
          </cell>
          <cell r="F1364">
            <v>897</v>
          </cell>
          <cell r="G1364">
            <v>36333</v>
          </cell>
          <cell r="H1364">
            <v>897</v>
          </cell>
          <cell r="I1364" t="str">
            <v>деп</v>
          </cell>
          <cell r="J1364">
            <v>38244</v>
          </cell>
        </row>
        <row r="1365">
          <cell r="A1365">
            <v>58733726</v>
          </cell>
          <cell r="B1365" t="str">
            <v>РЕФРИЖЕРАТОРНАЯ КОМПАНИЯ</v>
          </cell>
          <cell r="C1365" t="str">
            <v>ВОЛКОВСКАЯ   (ОКТ)</v>
          </cell>
          <cell r="D1365">
            <v>30682</v>
          </cell>
          <cell r="E1365">
            <v>36441</v>
          </cell>
          <cell r="F1365">
            <v>897</v>
          </cell>
          <cell r="G1365">
            <v>37679</v>
          </cell>
          <cell r="H1365">
            <v>897</v>
          </cell>
          <cell r="I1365" t="str">
            <v>деп</v>
          </cell>
          <cell r="J1365">
            <v>38226</v>
          </cell>
        </row>
        <row r="1366">
          <cell r="A1366">
            <v>58733734</v>
          </cell>
          <cell r="B1366" t="str">
            <v>РЕФРИЖЕРАТОРНАЯ КОМПАНИЯ</v>
          </cell>
          <cell r="C1366" t="str">
            <v>ВОЛКОВСКАЯ   (ОКТ)</v>
          </cell>
          <cell r="D1366">
            <v>30682</v>
          </cell>
          <cell r="E1366">
            <v>36441</v>
          </cell>
          <cell r="F1366">
            <v>897</v>
          </cell>
          <cell r="G1366">
            <v>37691</v>
          </cell>
          <cell r="H1366">
            <v>897</v>
          </cell>
          <cell r="I1366" t="str">
            <v>деп</v>
          </cell>
          <cell r="J1366">
            <v>38241</v>
          </cell>
        </row>
        <row r="1367">
          <cell r="A1367">
            <v>58733742</v>
          </cell>
          <cell r="B1367" t="str">
            <v>РЕФРИЖЕРАТОРНАЯ КОМПАНИЯ</v>
          </cell>
          <cell r="C1367" t="str">
            <v>ВОЛКОВСКАЯ   (ОКТ)</v>
          </cell>
          <cell r="D1367">
            <v>30682</v>
          </cell>
          <cell r="E1367">
            <v>36441</v>
          </cell>
          <cell r="F1367">
            <v>897</v>
          </cell>
          <cell r="G1367">
            <v>37685</v>
          </cell>
          <cell r="H1367">
            <v>897</v>
          </cell>
          <cell r="I1367" t="str">
            <v>деп</v>
          </cell>
          <cell r="J1367">
            <v>38235</v>
          </cell>
        </row>
        <row r="1368">
          <cell r="A1368">
            <v>58733759</v>
          </cell>
          <cell r="B1368" t="str">
            <v>РЕФРИЖЕРАТОРНАЯ КОМПАНИЯ</v>
          </cell>
          <cell r="C1368" t="str">
            <v>ВОЛКОВСКАЯ   (ОКТ)</v>
          </cell>
          <cell r="D1368">
            <v>31321</v>
          </cell>
          <cell r="E1368">
            <v>36623</v>
          </cell>
          <cell r="F1368">
            <v>897</v>
          </cell>
          <cell r="G1368">
            <v>37691</v>
          </cell>
          <cell r="H1368">
            <v>897</v>
          </cell>
          <cell r="I1368" t="str">
            <v>деп</v>
          </cell>
          <cell r="J1368">
            <v>38241</v>
          </cell>
        </row>
        <row r="1369">
          <cell r="A1369">
            <v>58733767</v>
          </cell>
          <cell r="B1369" t="str">
            <v>РЕФРИЖЕРАТОРНАЯ КОМПАНИЯ</v>
          </cell>
          <cell r="C1369" t="str">
            <v>ВОЛКОВСКАЯ   (ОКТ)</v>
          </cell>
          <cell r="D1369">
            <v>31321</v>
          </cell>
          <cell r="E1369">
            <v>36623</v>
          </cell>
          <cell r="F1369">
            <v>897</v>
          </cell>
          <cell r="G1369">
            <v>37691</v>
          </cell>
          <cell r="H1369">
            <v>897</v>
          </cell>
          <cell r="I1369" t="str">
            <v>деп</v>
          </cell>
          <cell r="J1369">
            <v>38241</v>
          </cell>
        </row>
        <row r="1370">
          <cell r="A1370">
            <v>58733775</v>
          </cell>
          <cell r="B1370" t="str">
            <v>РЕФРИЖЕРАТОРНАЯ КОМПАНИЯ</v>
          </cell>
          <cell r="C1370" t="str">
            <v>ВОЛКОВСКАЯ   (ОКТ)</v>
          </cell>
          <cell r="D1370">
            <v>31321</v>
          </cell>
          <cell r="E1370">
            <v>36623</v>
          </cell>
          <cell r="F1370">
            <v>897</v>
          </cell>
          <cell r="G1370">
            <v>37691</v>
          </cell>
          <cell r="H1370">
            <v>897</v>
          </cell>
          <cell r="I1370" t="str">
            <v>деп</v>
          </cell>
          <cell r="J1370">
            <v>38241</v>
          </cell>
        </row>
        <row r="1371">
          <cell r="A1371">
            <v>58733973</v>
          </cell>
          <cell r="B1371" t="str">
            <v>РЕФРИЖЕРАТОРНАЯ КОМПАНИЯ</v>
          </cell>
          <cell r="C1371" t="str">
            <v>ВОЛКОВСКАЯ   (ОКТ)</v>
          </cell>
          <cell r="D1371">
            <v>30621</v>
          </cell>
          <cell r="E1371">
            <v>37685</v>
          </cell>
          <cell r="F1371">
            <v>897</v>
          </cell>
          <cell r="G1371">
            <v>36279</v>
          </cell>
          <cell r="H1371">
            <v>897</v>
          </cell>
          <cell r="I1371" t="str">
            <v>деп</v>
          </cell>
          <cell r="J1371">
            <v>38235</v>
          </cell>
        </row>
        <row r="1372">
          <cell r="A1372">
            <v>58733981</v>
          </cell>
          <cell r="B1372" t="str">
            <v>РЕФРИЖЕРАТОРНАЯ КОМПАНИЯ</v>
          </cell>
          <cell r="C1372" t="str">
            <v>ВОЛКОВСКАЯ   (ОКТ)</v>
          </cell>
          <cell r="D1372">
            <v>30621</v>
          </cell>
          <cell r="E1372">
            <v>37685</v>
          </cell>
          <cell r="F1372">
            <v>897</v>
          </cell>
          <cell r="G1372">
            <v>36279</v>
          </cell>
          <cell r="H1372">
            <v>897</v>
          </cell>
          <cell r="I1372" t="str">
            <v>деп</v>
          </cell>
          <cell r="J1372">
            <v>38235</v>
          </cell>
        </row>
        <row r="1373">
          <cell r="A1373">
            <v>58734005</v>
          </cell>
          <cell r="B1373" t="str">
            <v>РЕФРИЖЕРАТОРНАЯ КОМПАНИЯ</v>
          </cell>
          <cell r="C1373" t="str">
            <v>ВОЛКОВСКАЯ   (ОКТ)</v>
          </cell>
          <cell r="D1373">
            <v>30621</v>
          </cell>
          <cell r="E1373">
            <v>37685</v>
          </cell>
          <cell r="F1373">
            <v>897</v>
          </cell>
          <cell r="G1373">
            <v>36279</v>
          </cell>
          <cell r="H1373">
            <v>897</v>
          </cell>
          <cell r="I1373" t="str">
            <v>деп</v>
          </cell>
          <cell r="J1373">
            <v>38235</v>
          </cell>
        </row>
        <row r="1374">
          <cell r="A1374">
            <v>58734013</v>
          </cell>
          <cell r="B1374" t="str">
            <v>РЕФРИЖЕРАТОРНАЯ КОМПАНИЯ</v>
          </cell>
          <cell r="C1374" t="str">
            <v>ВОЛКОВСКАЯ   (ОКТ)</v>
          </cell>
          <cell r="D1374">
            <v>30621</v>
          </cell>
          <cell r="E1374">
            <v>37685</v>
          </cell>
          <cell r="F1374">
            <v>897</v>
          </cell>
          <cell r="G1374">
            <v>36279</v>
          </cell>
          <cell r="H1374">
            <v>897</v>
          </cell>
          <cell r="I1374" t="str">
            <v>деп</v>
          </cell>
          <cell r="J1374">
            <v>38235</v>
          </cell>
        </row>
        <row r="1375">
          <cell r="A1375">
            <v>58734021</v>
          </cell>
          <cell r="B1375" t="str">
            <v>РЕФРИЖЕРАТОРНАЯ КОМПАНИЯ</v>
          </cell>
          <cell r="C1375" t="str">
            <v>ВОЛКОВСКАЯ   (ОКТ)</v>
          </cell>
          <cell r="D1375">
            <v>30621</v>
          </cell>
          <cell r="E1375">
            <v>37679</v>
          </cell>
          <cell r="F1375">
            <v>897</v>
          </cell>
          <cell r="G1375">
            <v>35892</v>
          </cell>
          <cell r="H1375">
            <v>897</v>
          </cell>
          <cell r="I1375" t="str">
            <v>деп</v>
          </cell>
          <cell r="J1375">
            <v>38226</v>
          </cell>
        </row>
        <row r="1376">
          <cell r="A1376">
            <v>58734039</v>
          </cell>
          <cell r="B1376" t="str">
            <v>РЕФРИЖЕРАТОРНАЯ КОМПАНИЯ</v>
          </cell>
          <cell r="C1376" t="str">
            <v>ВОЛКОВСКАЯ   (ОКТ)</v>
          </cell>
          <cell r="D1376">
            <v>30621</v>
          </cell>
          <cell r="E1376">
            <v>37679</v>
          </cell>
          <cell r="F1376">
            <v>897</v>
          </cell>
          <cell r="G1376">
            <v>35892</v>
          </cell>
          <cell r="H1376">
            <v>897</v>
          </cell>
          <cell r="I1376" t="str">
            <v>деп</v>
          </cell>
          <cell r="J1376">
            <v>38226</v>
          </cell>
        </row>
        <row r="1377">
          <cell r="A1377">
            <v>58734047</v>
          </cell>
          <cell r="B1377" t="str">
            <v>РЕФРИЖЕРАТОРНАЯ КОМПАНИЯ</v>
          </cell>
          <cell r="C1377" t="str">
            <v>ВОЛКОВСКАЯ   (ОКТ)</v>
          </cell>
          <cell r="D1377">
            <v>30621</v>
          </cell>
          <cell r="E1377">
            <v>37679</v>
          </cell>
          <cell r="F1377">
            <v>897</v>
          </cell>
          <cell r="G1377">
            <v>35892</v>
          </cell>
          <cell r="H1377">
            <v>897</v>
          </cell>
          <cell r="I1377" t="str">
            <v>деп</v>
          </cell>
          <cell r="J1377">
            <v>38226</v>
          </cell>
        </row>
        <row r="1378">
          <cell r="A1378">
            <v>58734054</v>
          </cell>
          <cell r="B1378" t="str">
            <v>РЕФРИЖЕРАТОРНАЯ КОМПАНИЯ</v>
          </cell>
          <cell r="C1378" t="str">
            <v>ВОЛКОВСКАЯ   (ОКТ)</v>
          </cell>
          <cell r="D1378">
            <v>30621</v>
          </cell>
          <cell r="E1378">
            <v>37679</v>
          </cell>
          <cell r="F1378">
            <v>897</v>
          </cell>
          <cell r="G1378">
            <v>35892</v>
          </cell>
          <cell r="H1378">
            <v>897</v>
          </cell>
          <cell r="I1378" t="str">
            <v>деп</v>
          </cell>
          <cell r="J1378">
            <v>38226</v>
          </cell>
        </row>
        <row r="1379">
          <cell r="A1379">
            <v>58734062</v>
          </cell>
          <cell r="B1379" t="str">
            <v>РЕФРИЖЕРАТОРНАЯ КОМПАНИЯ</v>
          </cell>
          <cell r="C1379" t="str">
            <v>ВОЛКОВСКАЯ   (ОКТ)</v>
          </cell>
          <cell r="D1379">
            <v>30682</v>
          </cell>
          <cell r="E1379">
            <v>37694</v>
          </cell>
          <cell r="F1379">
            <v>897</v>
          </cell>
          <cell r="G1379">
            <v>36333</v>
          </cell>
          <cell r="H1379">
            <v>897</v>
          </cell>
          <cell r="I1379" t="str">
            <v>деп</v>
          </cell>
          <cell r="J1379">
            <v>38244</v>
          </cell>
        </row>
        <row r="1380">
          <cell r="A1380">
            <v>58734070</v>
          </cell>
          <cell r="B1380" t="str">
            <v>РЕФРИЖЕРАТОРНАЯ КОМПАНИЯ</v>
          </cell>
          <cell r="C1380" t="str">
            <v>ВОЛКОВСКАЯ   (ОКТ)</v>
          </cell>
          <cell r="D1380">
            <v>30713</v>
          </cell>
          <cell r="E1380">
            <v>37694</v>
          </cell>
          <cell r="F1380">
            <v>897</v>
          </cell>
          <cell r="G1380">
            <v>36425</v>
          </cell>
          <cell r="H1380">
            <v>897</v>
          </cell>
          <cell r="I1380" t="str">
            <v>кап</v>
          </cell>
          <cell r="J1380">
            <v>38244</v>
          </cell>
        </row>
        <row r="1381">
          <cell r="A1381">
            <v>58734088</v>
          </cell>
          <cell r="B1381" t="str">
            <v>РЕФРИЖЕРАТОРНАЯ КОМПАНИЯ</v>
          </cell>
          <cell r="C1381" t="str">
            <v>ВОЛКОВСКАЯ   (ОКТ)</v>
          </cell>
          <cell r="D1381">
            <v>30713</v>
          </cell>
          <cell r="E1381">
            <v>37687</v>
          </cell>
          <cell r="F1381">
            <v>897</v>
          </cell>
          <cell r="G1381">
            <v>36333</v>
          </cell>
          <cell r="H1381">
            <v>897</v>
          </cell>
          <cell r="I1381" t="str">
            <v>кап</v>
          </cell>
          <cell r="J1381">
            <v>38237</v>
          </cell>
        </row>
        <row r="1382">
          <cell r="A1382">
            <v>58734104</v>
          </cell>
          <cell r="B1382" t="str">
            <v>РЕФРИЖЕРАТОРНАЯ КОМПАНИЯ</v>
          </cell>
          <cell r="C1382" t="str">
            <v>ВОЛКОВСКАЯ   (ОКТ)</v>
          </cell>
          <cell r="D1382">
            <v>30713</v>
          </cell>
          <cell r="E1382">
            <v>37694</v>
          </cell>
          <cell r="F1382">
            <v>897</v>
          </cell>
          <cell r="G1382">
            <v>36333</v>
          </cell>
          <cell r="H1382">
            <v>897</v>
          </cell>
          <cell r="I1382" t="str">
            <v>кап</v>
          </cell>
          <cell r="J1382">
            <v>38244</v>
          </cell>
        </row>
        <row r="1383">
          <cell r="A1383">
            <v>58734112</v>
          </cell>
          <cell r="B1383" t="str">
            <v>РЕФРИЖЕРАТОРНАЯ КОМПАНИЯ</v>
          </cell>
          <cell r="C1383" t="str">
            <v>ВОЛКОВСКАЯ   (ОКТ)</v>
          </cell>
          <cell r="D1383">
            <v>30713</v>
          </cell>
          <cell r="E1383">
            <v>37679</v>
          </cell>
          <cell r="F1383">
            <v>897</v>
          </cell>
          <cell r="G1383">
            <v>36333</v>
          </cell>
          <cell r="H1383">
            <v>897</v>
          </cell>
          <cell r="I1383" t="str">
            <v>кап</v>
          </cell>
          <cell r="J1383">
            <v>38226</v>
          </cell>
        </row>
        <row r="1384">
          <cell r="A1384">
            <v>58742644</v>
          </cell>
          <cell r="B1384" t="str">
            <v>РЕФРИЖЕРАТОРНАЯ КОМПАНИЯ</v>
          </cell>
          <cell r="C1384" t="str">
            <v>ВОЛКОВСКАЯ   (ОКТ)</v>
          </cell>
          <cell r="D1384">
            <v>31444</v>
          </cell>
          <cell r="E1384">
            <v>36396</v>
          </cell>
          <cell r="F1384">
            <v>886</v>
          </cell>
          <cell r="G1384">
            <v>37981</v>
          </cell>
          <cell r="H1384">
            <v>886</v>
          </cell>
          <cell r="I1384" t="str">
            <v>деп</v>
          </cell>
          <cell r="J1384">
            <v>38529</v>
          </cell>
        </row>
        <row r="1385">
          <cell r="A1385">
            <v>58742651</v>
          </cell>
          <cell r="B1385" t="str">
            <v>РЕФРИЖЕРАТОРНАЯ КОМПАНИЯ</v>
          </cell>
          <cell r="C1385" t="str">
            <v>ВОЛКОВСКАЯ   (ОКТ)</v>
          </cell>
          <cell r="D1385">
            <v>31444</v>
          </cell>
          <cell r="E1385">
            <v>36396</v>
          </cell>
          <cell r="F1385">
            <v>886</v>
          </cell>
          <cell r="G1385">
            <v>37981</v>
          </cell>
          <cell r="H1385">
            <v>886</v>
          </cell>
          <cell r="I1385" t="str">
            <v>деп</v>
          </cell>
          <cell r="J1385">
            <v>38529</v>
          </cell>
        </row>
        <row r="1386">
          <cell r="A1386">
            <v>58742669</v>
          </cell>
          <cell r="B1386" t="str">
            <v>РЕФРИЖЕРАТОРНАЯ КОМПАНИЯ</v>
          </cell>
          <cell r="C1386" t="str">
            <v>ВОЛКОВСКАЯ   (ОКТ)</v>
          </cell>
          <cell r="D1386">
            <v>31444</v>
          </cell>
          <cell r="E1386">
            <v>36396</v>
          </cell>
          <cell r="F1386">
            <v>886</v>
          </cell>
          <cell r="G1386">
            <v>37981</v>
          </cell>
          <cell r="H1386">
            <v>886</v>
          </cell>
          <cell r="I1386" t="str">
            <v>деп</v>
          </cell>
          <cell r="J1386">
            <v>38529</v>
          </cell>
        </row>
        <row r="1387">
          <cell r="A1387">
            <v>58742677</v>
          </cell>
          <cell r="B1387" t="str">
            <v>РЕФРИЖЕРАТОРНАЯ КОМПАНИЯ</v>
          </cell>
          <cell r="C1387" t="str">
            <v>ВОЛКОВСКАЯ   (ОКТ)</v>
          </cell>
          <cell r="D1387">
            <v>31444</v>
          </cell>
          <cell r="E1387">
            <v>36396</v>
          </cell>
          <cell r="F1387">
            <v>886</v>
          </cell>
          <cell r="G1387">
            <v>37981</v>
          </cell>
          <cell r="H1387">
            <v>886</v>
          </cell>
          <cell r="I1387" t="str">
            <v>деп</v>
          </cell>
          <cell r="J1387">
            <v>38529</v>
          </cell>
        </row>
        <row r="1388">
          <cell r="A1388">
            <v>58742685</v>
          </cell>
          <cell r="B1388" t="str">
            <v>РЕФРИЖЕРАТОРНАЯ КОМПАНИЯ</v>
          </cell>
          <cell r="C1388" t="str">
            <v>ВОЛКОВСКАЯ   (ОКТ)</v>
          </cell>
          <cell r="D1388">
            <v>31472</v>
          </cell>
          <cell r="E1388">
            <v>36602</v>
          </cell>
          <cell r="F1388">
            <v>886</v>
          </cell>
          <cell r="G1388">
            <v>37981</v>
          </cell>
          <cell r="H1388">
            <v>886</v>
          </cell>
          <cell r="I1388" t="str">
            <v>деп</v>
          </cell>
          <cell r="J1388">
            <v>38529</v>
          </cell>
        </row>
        <row r="1389">
          <cell r="A1389">
            <v>58742701</v>
          </cell>
          <cell r="B1389" t="str">
            <v>РЕФРИЖЕРАТОРНАЯ КОМПАНИЯ</v>
          </cell>
          <cell r="C1389" t="str">
            <v>ВОЛКОВСКАЯ   (ОКТ)</v>
          </cell>
          <cell r="D1389">
            <v>31472</v>
          </cell>
          <cell r="E1389">
            <v>36602</v>
          </cell>
          <cell r="F1389">
            <v>886</v>
          </cell>
          <cell r="G1389">
            <v>37981</v>
          </cell>
          <cell r="H1389">
            <v>886</v>
          </cell>
          <cell r="I1389" t="str">
            <v>деп</v>
          </cell>
          <cell r="J1389">
            <v>38529</v>
          </cell>
        </row>
        <row r="1390">
          <cell r="A1390">
            <v>58742719</v>
          </cell>
          <cell r="B1390" t="str">
            <v>РЕФРИЖЕРАТОРНАЯ КОМПАНИЯ</v>
          </cell>
          <cell r="C1390" t="str">
            <v>ВОЛКОВСКАЯ   (ОКТ)</v>
          </cell>
          <cell r="D1390">
            <v>31472</v>
          </cell>
          <cell r="E1390">
            <v>36602</v>
          </cell>
          <cell r="F1390">
            <v>886</v>
          </cell>
          <cell r="G1390">
            <v>37981</v>
          </cell>
          <cell r="H1390">
            <v>886</v>
          </cell>
          <cell r="I1390" t="str">
            <v>деп</v>
          </cell>
          <cell r="J1390">
            <v>38529</v>
          </cell>
        </row>
        <row r="1391">
          <cell r="A1391">
            <v>58742727</v>
          </cell>
          <cell r="B1391" t="str">
            <v>РЕФРИЖЕРАТОРНАЯ КОМПАНИЯ</v>
          </cell>
          <cell r="C1391" t="str">
            <v>ВОЛКОВСКАЯ   (ОКТ)</v>
          </cell>
          <cell r="D1391">
            <v>31472</v>
          </cell>
          <cell r="E1391">
            <v>36602</v>
          </cell>
          <cell r="F1391">
            <v>886</v>
          </cell>
          <cell r="G1391">
            <v>37981</v>
          </cell>
          <cell r="H1391">
            <v>886</v>
          </cell>
          <cell r="I1391" t="str">
            <v>деп</v>
          </cell>
          <cell r="J1391">
            <v>38529</v>
          </cell>
        </row>
        <row r="1392">
          <cell r="B1392" t="str">
            <v>РЕФРИЖЕРАТОРНАЯ КОМПАНИЯ Количество</v>
          </cell>
          <cell r="D1392">
            <v>148</v>
          </cell>
        </row>
        <row r="1393">
          <cell r="A1393">
            <v>53401113</v>
          </cell>
          <cell r="B1393" t="str">
            <v>РЕФСЕРВИС-М</v>
          </cell>
          <cell r="C1393" t="str">
            <v>ВОЛКОВСКАЯ   (ОКТ)</v>
          </cell>
          <cell r="D1393">
            <v>30713</v>
          </cell>
          <cell r="E1393">
            <v>37621</v>
          </cell>
          <cell r="F1393">
            <v>792</v>
          </cell>
          <cell r="G1393">
            <v>36005</v>
          </cell>
          <cell r="H1393">
            <v>792</v>
          </cell>
          <cell r="I1393" t="str">
            <v>деп</v>
          </cell>
          <cell r="J1393">
            <v>38168</v>
          </cell>
        </row>
        <row r="1394">
          <cell r="A1394">
            <v>53401121</v>
          </cell>
          <cell r="B1394" t="str">
            <v>РЕФСЕРВИС-М</v>
          </cell>
          <cell r="C1394" t="str">
            <v>ВОЛКОВСКАЯ   (ОКТ)</v>
          </cell>
          <cell r="D1394">
            <v>31747</v>
          </cell>
          <cell r="E1394">
            <v>37621</v>
          </cell>
          <cell r="F1394">
            <v>792</v>
          </cell>
          <cell r="G1394">
            <v>36619</v>
          </cell>
          <cell r="H1394">
            <v>792</v>
          </cell>
          <cell r="I1394" t="str">
            <v>деп</v>
          </cell>
          <cell r="J1394">
            <v>38168</v>
          </cell>
        </row>
        <row r="1395">
          <cell r="A1395">
            <v>53401220</v>
          </cell>
          <cell r="B1395" t="str">
            <v>РЕФСЕРВИС-М</v>
          </cell>
          <cell r="C1395" t="str">
            <v>ВОЛКОВСКАЯ   (ОКТ)</v>
          </cell>
          <cell r="D1395">
            <v>30742</v>
          </cell>
          <cell r="E1395">
            <v>37697</v>
          </cell>
          <cell r="F1395">
            <v>792</v>
          </cell>
          <cell r="G1395">
            <v>36584</v>
          </cell>
          <cell r="H1395">
            <v>792</v>
          </cell>
          <cell r="I1395" t="str">
            <v>деп</v>
          </cell>
          <cell r="J1395">
            <v>38247</v>
          </cell>
        </row>
        <row r="1396">
          <cell r="A1396">
            <v>53401352</v>
          </cell>
          <cell r="B1396" t="str">
            <v>РЕФСЕРВИС-М</v>
          </cell>
          <cell r="C1396" t="str">
            <v>ВОЛКОВСКАЯ   (ОКТ)</v>
          </cell>
          <cell r="D1396">
            <v>31868</v>
          </cell>
          <cell r="F1396">
            <v>0</v>
          </cell>
          <cell r="G1396">
            <v>37784</v>
          </cell>
          <cell r="H1396">
            <v>792</v>
          </cell>
          <cell r="I1396" t="str">
            <v>деп</v>
          </cell>
          <cell r="J1396">
            <v>38333</v>
          </cell>
        </row>
        <row r="1397">
          <cell r="A1397">
            <v>53401360</v>
          </cell>
          <cell r="B1397" t="str">
            <v>РЕФСЕРВИС-М</v>
          </cell>
          <cell r="C1397" t="str">
            <v>ВОЛКОВСКАЯ   (ОКТ)</v>
          </cell>
          <cell r="D1397">
            <v>31898</v>
          </cell>
          <cell r="F1397">
            <v>0</v>
          </cell>
          <cell r="G1397">
            <v>37741</v>
          </cell>
          <cell r="H1397">
            <v>897</v>
          </cell>
          <cell r="I1397" t="str">
            <v>деп</v>
          </cell>
          <cell r="J1397">
            <v>38290</v>
          </cell>
        </row>
        <row r="1398">
          <cell r="A1398">
            <v>53401618</v>
          </cell>
          <cell r="B1398" t="str">
            <v>РЕФСЕРВИС-М</v>
          </cell>
          <cell r="C1398" t="str">
            <v>ВОЛКОВСКАЯ   (ОКТ)</v>
          </cell>
          <cell r="D1398">
            <v>31894</v>
          </cell>
          <cell r="E1398">
            <v>36171</v>
          </cell>
          <cell r="F1398">
            <v>792</v>
          </cell>
          <cell r="G1398">
            <v>37833</v>
          </cell>
          <cell r="H1398">
            <v>792</v>
          </cell>
          <cell r="I1398" t="str">
            <v>деп</v>
          </cell>
          <cell r="J1398">
            <v>38383</v>
          </cell>
        </row>
        <row r="1399">
          <cell r="A1399">
            <v>53401626</v>
          </cell>
          <cell r="B1399" t="str">
            <v>РЕФСЕРВИС-М</v>
          </cell>
          <cell r="C1399" t="str">
            <v>ВОЛКОВСКАЯ   (ОКТ)</v>
          </cell>
          <cell r="D1399">
            <v>31741</v>
          </cell>
          <cell r="F1399">
            <v>0</v>
          </cell>
          <cell r="G1399">
            <v>37915</v>
          </cell>
          <cell r="H1399">
            <v>792</v>
          </cell>
          <cell r="I1399" t="str">
            <v>деп</v>
          </cell>
          <cell r="J1399">
            <v>38463</v>
          </cell>
        </row>
        <row r="1400">
          <cell r="A1400">
            <v>58733478</v>
          </cell>
          <cell r="B1400" t="str">
            <v>РЕФСЕРВИС-М</v>
          </cell>
          <cell r="C1400" t="str">
            <v>ВОЛКОВСКАЯ   (ОКТ)</v>
          </cell>
          <cell r="D1400">
            <v>30713</v>
          </cell>
          <cell r="E1400">
            <v>37621</v>
          </cell>
          <cell r="F1400">
            <v>792</v>
          </cell>
          <cell r="G1400">
            <v>36005</v>
          </cell>
          <cell r="H1400">
            <v>792</v>
          </cell>
          <cell r="I1400" t="str">
            <v>деп</v>
          </cell>
          <cell r="J1400">
            <v>38168</v>
          </cell>
        </row>
        <row r="1401">
          <cell r="A1401">
            <v>58733486</v>
          </cell>
          <cell r="B1401" t="str">
            <v>РЕФСЕРВИС-М</v>
          </cell>
          <cell r="C1401" t="str">
            <v>ВОЛКОВСКАЯ   (ОКТ)</v>
          </cell>
          <cell r="D1401">
            <v>30713</v>
          </cell>
          <cell r="E1401">
            <v>37621</v>
          </cell>
          <cell r="F1401">
            <v>792</v>
          </cell>
          <cell r="G1401">
            <v>36005</v>
          </cell>
          <cell r="H1401">
            <v>792</v>
          </cell>
          <cell r="I1401" t="str">
            <v>деп</v>
          </cell>
          <cell r="J1401">
            <v>38168</v>
          </cell>
        </row>
        <row r="1402">
          <cell r="A1402">
            <v>58733502</v>
          </cell>
          <cell r="B1402" t="str">
            <v>РЕФСЕРВИС-М</v>
          </cell>
          <cell r="C1402" t="str">
            <v>ВОЛКОВСКАЯ   (ОКТ)</v>
          </cell>
          <cell r="D1402">
            <v>30713</v>
          </cell>
          <cell r="E1402">
            <v>37621</v>
          </cell>
          <cell r="F1402">
            <v>792</v>
          </cell>
          <cell r="G1402">
            <v>36005</v>
          </cell>
          <cell r="H1402">
            <v>792</v>
          </cell>
          <cell r="I1402" t="str">
            <v>деп</v>
          </cell>
          <cell r="J1402">
            <v>38168</v>
          </cell>
        </row>
        <row r="1403">
          <cell r="A1403">
            <v>58733510</v>
          </cell>
          <cell r="B1403" t="str">
            <v>РЕФСЕРВИС-М</v>
          </cell>
          <cell r="C1403" t="str">
            <v>ВОЛКОВСКАЯ   (ОКТ)</v>
          </cell>
          <cell r="D1403">
            <v>30713</v>
          </cell>
          <cell r="E1403">
            <v>37621</v>
          </cell>
          <cell r="F1403">
            <v>792</v>
          </cell>
          <cell r="G1403">
            <v>36005</v>
          </cell>
          <cell r="H1403">
            <v>792</v>
          </cell>
          <cell r="I1403" t="str">
            <v>деп</v>
          </cell>
          <cell r="J1403">
            <v>38168</v>
          </cell>
        </row>
        <row r="1404">
          <cell r="A1404">
            <v>58733528</v>
          </cell>
          <cell r="B1404" t="str">
            <v>РЕФСЕРВИС-М</v>
          </cell>
          <cell r="C1404" t="str">
            <v>ВОЛКОВСКАЯ   (ОКТ)</v>
          </cell>
          <cell r="D1404">
            <v>30713</v>
          </cell>
          <cell r="E1404">
            <v>37621</v>
          </cell>
          <cell r="F1404">
            <v>792</v>
          </cell>
          <cell r="G1404">
            <v>36038</v>
          </cell>
          <cell r="H1404">
            <v>792</v>
          </cell>
          <cell r="I1404" t="str">
            <v>деп</v>
          </cell>
          <cell r="J1404">
            <v>38168</v>
          </cell>
        </row>
        <row r="1405">
          <cell r="A1405">
            <v>58733536</v>
          </cell>
          <cell r="B1405" t="str">
            <v>РЕФСЕРВИС-М</v>
          </cell>
          <cell r="C1405" t="str">
            <v>ВОЛКОВСКАЯ   (ОКТ)</v>
          </cell>
          <cell r="D1405">
            <v>31747</v>
          </cell>
          <cell r="E1405">
            <v>37621</v>
          </cell>
          <cell r="F1405">
            <v>792</v>
          </cell>
          <cell r="G1405">
            <v>36619</v>
          </cell>
          <cell r="H1405">
            <v>792</v>
          </cell>
          <cell r="I1405" t="str">
            <v>деп</v>
          </cell>
          <cell r="J1405">
            <v>38168</v>
          </cell>
        </row>
        <row r="1406">
          <cell r="A1406">
            <v>58733544</v>
          </cell>
          <cell r="B1406" t="str">
            <v>РЕФСЕРВИС-М</v>
          </cell>
          <cell r="C1406" t="str">
            <v>ВОЛКОВСКАЯ   (ОКТ)</v>
          </cell>
          <cell r="D1406">
            <v>31747</v>
          </cell>
          <cell r="E1406">
            <v>37621</v>
          </cell>
          <cell r="F1406">
            <v>792</v>
          </cell>
          <cell r="G1406">
            <v>36619</v>
          </cell>
          <cell r="H1406">
            <v>792</v>
          </cell>
          <cell r="I1406" t="str">
            <v>деп</v>
          </cell>
          <cell r="J1406">
            <v>38168</v>
          </cell>
        </row>
        <row r="1407">
          <cell r="A1407">
            <v>58733551</v>
          </cell>
          <cell r="B1407" t="str">
            <v>РЕФСЕРВИС-М</v>
          </cell>
          <cell r="C1407" t="str">
            <v>ВОЛКОВСКАЯ   (ОКТ)</v>
          </cell>
          <cell r="D1407">
            <v>31747</v>
          </cell>
          <cell r="E1407">
            <v>37621</v>
          </cell>
          <cell r="F1407">
            <v>792</v>
          </cell>
          <cell r="G1407">
            <v>36619</v>
          </cell>
          <cell r="H1407">
            <v>792</v>
          </cell>
          <cell r="I1407" t="str">
            <v>деп</v>
          </cell>
          <cell r="J1407">
            <v>38168</v>
          </cell>
        </row>
        <row r="1408">
          <cell r="A1408">
            <v>58733569</v>
          </cell>
          <cell r="B1408" t="str">
            <v>РЕФСЕРВИС-М</v>
          </cell>
          <cell r="C1408" t="str">
            <v>ВОЛКОВСКАЯ   (ОКТ)</v>
          </cell>
          <cell r="D1408">
            <v>31747</v>
          </cell>
          <cell r="E1408">
            <v>37621</v>
          </cell>
          <cell r="F1408">
            <v>792</v>
          </cell>
          <cell r="G1408">
            <v>36619</v>
          </cell>
          <cell r="H1408">
            <v>792</v>
          </cell>
          <cell r="I1408" t="str">
            <v>деп</v>
          </cell>
          <cell r="J1408">
            <v>38168</v>
          </cell>
        </row>
        <row r="1409">
          <cell r="A1409">
            <v>58733783</v>
          </cell>
          <cell r="B1409" t="str">
            <v>РЕФСЕРВИС-М</v>
          </cell>
          <cell r="C1409" t="str">
            <v>ВОЛКОВСКАЯ   (ОКТ)</v>
          </cell>
          <cell r="D1409">
            <v>30742</v>
          </cell>
          <cell r="E1409">
            <v>37697</v>
          </cell>
          <cell r="F1409">
            <v>792</v>
          </cell>
          <cell r="G1409">
            <v>36584</v>
          </cell>
          <cell r="H1409">
            <v>792</v>
          </cell>
          <cell r="I1409" t="str">
            <v>деп</v>
          </cell>
          <cell r="J1409">
            <v>38247</v>
          </cell>
        </row>
        <row r="1410">
          <cell r="A1410">
            <v>58733809</v>
          </cell>
          <cell r="B1410" t="str">
            <v>РЕФСЕРВИС-М</v>
          </cell>
          <cell r="C1410" t="str">
            <v>ВОЛКОВСКАЯ   (ОКТ)</v>
          </cell>
          <cell r="D1410">
            <v>30742</v>
          </cell>
          <cell r="E1410">
            <v>37697</v>
          </cell>
          <cell r="F1410">
            <v>792</v>
          </cell>
          <cell r="G1410">
            <v>36584</v>
          </cell>
          <cell r="H1410">
            <v>792</v>
          </cell>
          <cell r="I1410" t="str">
            <v>деп</v>
          </cell>
          <cell r="J1410">
            <v>38247</v>
          </cell>
        </row>
        <row r="1411">
          <cell r="A1411">
            <v>58733817</v>
          </cell>
          <cell r="B1411" t="str">
            <v>РЕФСЕРВИС-М</v>
          </cell>
          <cell r="C1411" t="str">
            <v>ВОЛКОВСКАЯ   (ОКТ)</v>
          </cell>
          <cell r="D1411">
            <v>30742</v>
          </cell>
          <cell r="E1411">
            <v>37697</v>
          </cell>
          <cell r="F1411">
            <v>792</v>
          </cell>
          <cell r="G1411">
            <v>36584</v>
          </cell>
          <cell r="H1411">
            <v>792</v>
          </cell>
          <cell r="I1411" t="str">
            <v>деп</v>
          </cell>
          <cell r="J1411">
            <v>38247</v>
          </cell>
        </row>
        <row r="1412">
          <cell r="A1412">
            <v>58733825</v>
          </cell>
          <cell r="B1412" t="str">
            <v>РЕФСЕРВИС-М</v>
          </cell>
          <cell r="C1412" t="str">
            <v>ВОЛКОВСКАЯ   (ОКТ)</v>
          </cell>
          <cell r="D1412">
            <v>30742</v>
          </cell>
          <cell r="E1412">
            <v>37697</v>
          </cell>
          <cell r="F1412">
            <v>792</v>
          </cell>
          <cell r="G1412">
            <v>36584</v>
          </cell>
          <cell r="H1412">
            <v>792</v>
          </cell>
          <cell r="I1412" t="str">
            <v>деп</v>
          </cell>
          <cell r="J1412">
            <v>38247</v>
          </cell>
        </row>
        <row r="1413">
          <cell r="A1413">
            <v>58734120</v>
          </cell>
          <cell r="B1413" t="str">
            <v>РЕФСЕРВИС-М</v>
          </cell>
          <cell r="C1413" t="str">
            <v>ВОЛКОВСКАЯ   (ОКТ)</v>
          </cell>
          <cell r="D1413">
            <v>30773</v>
          </cell>
          <cell r="F1413">
            <v>0</v>
          </cell>
          <cell r="G1413">
            <v>37741</v>
          </cell>
          <cell r="H1413">
            <v>897</v>
          </cell>
          <cell r="I1413" t="str">
            <v>деп</v>
          </cell>
          <cell r="J1413">
            <v>38290</v>
          </cell>
        </row>
        <row r="1414">
          <cell r="A1414">
            <v>58734138</v>
          </cell>
          <cell r="B1414" t="str">
            <v>РЕФСЕРВИС-М</v>
          </cell>
          <cell r="C1414" t="str">
            <v>ВОЛКОВСКАЯ   (ОКТ)</v>
          </cell>
          <cell r="D1414">
            <v>31868</v>
          </cell>
          <cell r="F1414">
            <v>0</v>
          </cell>
          <cell r="G1414">
            <v>37784</v>
          </cell>
          <cell r="H1414">
            <v>792</v>
          </cell>
          <cell r="I1414" t="str">
            <v>деп</v>
          </cell>
          <cell r="J1414">
            <v>38333</v>
          </cell>
        </row>
        <row r="1415">
          <cell r="A1415">
            <v>58734146</v>
          </cell>
          <cell r="B1415" t="str">
            <v>РЕФСЕРВИС-М</v>
          </cell>
          <cell r="C1415" t="str">
            <v>ВОЛКОВСКАЯ   (ОКТ)</v>
          </cell>
          <cell r="D1415">
            <v>31868</v>
          </cell>
          <cell r="F1415">
            <v>0</v>
          </cell>
          <cell r="G1415">
            <v>37784</v>
          </cell>
          <cell r="H1415">
            <v>792</v>
          </cell>
          <cell r="I1415" t="str">
            <v>деп</v>
          </cell>
          <cell r="J1415">
            <v>38333</v>
          </cell>
        </row>
        <row r="1416">
          <cell r="A1416">
            <v>58734153</v>
          </cell>
          <cell r="B1416" t="str">
            <v>РЕФСЕРВИС-М</v>
          </cell>
          <cell r="C1416" t="str">
            <v>ВОЛКОВСКАЯ   (ОКТ)</v>
          </cell>
          <cell r="D1416">
            <v>31868</v>
          </cell>
          <cell r="F1416">
            <v>0</v>
          </cell>
          <cell r="G1416">
            <v>37784</v>
          </cell>
          <cell r="H1416">
            <v>792</v>
          </cell>
          <cell r="I1416" t="str">
            <v>деп</v>
          </cell>
          <cell r="J1416">
            <v>38333</v>
          </cell>
        </row>
        <row r="1417">
          <cell r="A1417">
            <v>58734161</v>
          </cell>
          <cell r="B1417" t="str">
            <v>РЕФСЕРВИС-М</v>
          </cell>
          <cell r="C1417" t="str">
            <v>ВОЛКОВСКАЯ   (ОКТ)</v>
          </cell>
          <cell r="D1417">
            <v>31868</v>
          </cell>
          <cell r="F1417">
            <v>0</v>
          </cell>
          <cell r="G1417">
            <v>37784</v>
          </cell>
          <cell r="H1417">
            <v>792</v>
          </cell>
          <cell r="I1417" t="str">
            <v>деп</v>
          </cell>
          <cell r="J1417">
            <v>38333</v>
          </cell>
        </row>
        <row r="1418">
          <cell r="A1418">
            <v>58734179</v>
          </cell>
          <cell r="B1418" t="str">
            <v>РЕФСЕРВИС-М</v>
          </cell>
          <cell r="C1418" t="str">
            <v>ВОЛКОВСКАЯ   (ОКТ)</v>
          </cell>
          <cell r="D1418">
            <v>31898</v>
          </cell>
          <cell r="F1418">
            <v>0</v>
          </cell>
          <cell r="G1418">
            <v>37741</v>
          </cell>
          <cell r="H1418">
            <v>897</v>
          </cell>
          <cell r="I1418" t="str">
            <v>деп</v>
          </cell>
          <cell r="J1418">
            <v>38290</v>
          </cell>
        </row>
        <row r="1419">
          <cell r="A1419">
            <v>58734187</v>
          </cell>
          <cell r="B1419" t="str">
            <v>РЕФСЕРВИС-М</v>
          </cell>
          <cell r="C1419" t="str">
            <v>ВОЛКОВСКАЯ   (ОКТ)</v>
          </cell>
          <cell r="D1419">
            <v>31898</v>
          </cell>
          <cell r="F1419">
            <v>0</v>
          </cell>
          <cell r="G1419">
            <v>37741</v>
          </cell>
          <cell r="H1419">
            <v>897</v>
          </cell>
          <cell r="I1419" t="str">
            <v>деп</v>
          </cell>
          <cell r="J1419">
            <v>38290</v>
          </cell>
        </row>
        <row r="1420">
          <cell r="A1420">
            <v>58734203</v>
          </cell>
          <cell r="B1420" t="str">
            <v>РЕФСЕРВИС-М</v>
          </cell>
          <cell r="C1420" t="str">
            <v>ВОЛКОВСКАЯ   (ОКТ)</v>
          </cell>
          <cell r="D1420">
            <v>31898</v>
          </cell>
          <cell r="F1420">
            <v>0</v>
          </cell>
          <cell r="G1420">
            <v>37741</v>
          </cell>
          <cell r="H1420">
            <v>897</v>
          </cell>
          <cell r="I1420" t="str">
            <v>деп</v>
          </cell>
          <cell r="J1420">
            <v>38290</v>
          </cell>
        </row>
        <row r="1421">
          <cell r="A1421">
            <v>58734211</v>
          </cell>
          <cell r="B1421" t="str">
            <v>РЕФСЕРВИС-М</v>
          </cell>
          <cell r="C1421" t="str">
            <v>ВОЛКОВСКАЯ   (ОКТ)</v>
          </cell>
          <cell r="D1421">
            <v>31898</v>
          </cell>
          <cell r="F1421">
            <v>0</v>
          </cell>
          <cell r="G1421">
            <v>37741</v>
          </cell>
          <cell r="H1421">
            <v>897</v>
          </cell>
          <cell r="I1421" t="str">
            <v>деп</v>
          </cell>
          <cell r="J1421">
            <v>38290</v>
          </cell>
        </row>
        <row r="1422">
          <cell r="A1422">
            <v>58734401</v>
          </cell>
          <cell r="B1422" t="str">
            <v>РЕФСЕРВИС-М</v>
          </cell>
          <cell r="C1422" t="str">
            <v>ВОЛКОВСКАЯ   (ОКТ)</v>
          </cell>
          <cell r="D1422">
            <v>31894</v>
          </cell>
          <cell r="E1422">
            <v>36171</v>
          </cell>
          <cell r="F1422">
            <v>792</v>
          </cell>
          <cell r="G1422">
            <v>37833</v>
          </cell>
          <cell r="H1422">
            <v>792</v>
          </cell>
          <cell r="I1422" t="str">
            <v>деп</v>
          </cell>
          <cell r="J1422">
            <v>38383</v>
          </cell>
        </row>
        <row r="1423">
          <cell r="A1423">
            <v>58734419</v>
          </cell>
          <cell r="B1423" t="str">
            <v>РЕФСЕРВИС-М</v>
          </cell>
          <cell r="C1423" t="str">
            <v>ВОЛКОВСКАЯ   (ОКТ)</v>
          </cell>
          <cell r="D1423">
            <v>30667</v>
          </cell>
          <cell r="E1423">
            <v>37833</v>
          </cell>
          <cell r="F1423">
            <v>792</v>
          </cell>
          <cell r="G1423">
            <v>36210</v>
          </cell>
          <cell r="H1423">
            <v>792</v>
          </cell>
          <cell r="I1423" t="str">
            <v>деп</v>
          </cell>
          <cell r="J1423">
            <v>38383</v>
          </cell>
        </row>
        <row r="1424">
          <cell r="A1424">
            <v>58734427</v>
          </cell>
          <cell r="B1424" t="str">
            <v>РЕФСЕРВИС-М</v>
          </cell>
          <cell r="C1424" t="str">
            <v>ВОЛКОВСКАЯ   (ОКТ)</v>
          </cell>
          <cell r="D1424">
            <v>31894</v>
          </cell>
          <cell r="E1424">
            <v>36171</v>
          </cell>
          <cell r="F1424">
            <v>792</v>
          </cell>
          <cell r="G1424">
            <v>37833</v>
          </cell>
          <cell r="H1424">
            <v>792</v>
          </cell>
          <cell r="I1424" t="str">
            <v>деп</v>
          </cell>
          <cell r="J1424">
            <v>38383</v>
          </cell>
        </row>
        <row r="1425">
          <cell r="A1425">
            <v>58734435</v>
          </cell>
          <cell r="B1425" t="str">
            <v>РЕФСЕРВИС-М</v>
          </cell>
          <cell r="C1425" t="str">
            <v>ВОЛКОВСКАЯ   (ОКТ)</v>
          </cell>
          <cell r="D1425">
            <v>31894</v>
          </cell>
          <cell r="E1425">
            <v>36171</v>
          </cell>
          <cell r="F1425">
            <v>792</v>
          </cell>
          <cell r="G1425">
            <v>37833</v>
          </cell>
          <cell r="H1425">
            <v>792</v>
          </cell>
          <cell r="I1425" t="str">
            <v>деп</v>
          </cell>
          <cell r="J1425">
            <v>38383</v>
          </cell>
        </row>
        <row r="1426">
          <cell r="A1426">
            <v>58734443</v>
          </cell>
          <cell r="B1426" t="str">
            <v>РЕФСЕРВИС-М</v>
          </cell>
          <cell r="C1426" t="str">
            <v>ВОЛКОВСКАЯ   (ОКТ)</v>
          </cell>
          <cell r="D1426">
            <v>31894</v>
          </cell>
          <cell r="E1426">
            <v>36171</v>
          </cell>
          <cell r="F1426">
            <v>792</v>
          </cell>
          <cell r="G1426">
            <v>37833</v>
          </cell>
          <cell r="H1426">
            <v>792</v>
          </cell>
          <cell r="I1426" t="str">
            <v>деп</v>
          </cell>
          <cell r="J1426">
            <v>38383</v>
          </cell>
        </row>
        <row r="1427">
          <cell r="A1427">
            <v>58734450</v>
          </cell>
          <cell r="B1427" t="str">
            <v>РЕФСЕРВИС-М</v>
          </cell>
          <cell r="C1427" t="str">
            <v>ВОЛКОВСКАЯ   (ОКТ)</v>
          </cell>
          <cell r="D1427">
            <v>31741</v>
          </cell>
          <cell r="F1427">
            <v>0</v>
          </cell>
          <cell r="G1427">
            <v>37915</v>
          </cell>
          <cell r="H1427">
            <v>792</v>
          </cell>
          <cell r="I1427" t="str">
            <v>деп</v>
          </cell>
          <cell r="J1427">
            <v>38463</v>
          </cell>
        </row>
        <row r="1428">
          <cell r="A1428">
            <v>58734468</v>
          </cell>
          <cell r="B1428" t="str">
            <v>РЕФСЕРВИС-М</v>
          </cell>
          <cell r="C1428" t="str">
            <v>ВОЛКОВСКАЯ   (ОКТ)</v>
          </cell>
          <cell r="D1428">
            <v>31741</v>
          </cell>
          <cell r="F1428">
            <v>0</v>
          </cell>
          <cell r="G1428">
            <v>37915</v>
          </cell>
          <cell r="H1428">
            <v>792</v>
          </cell>
          <cell r="I1428" t="str">
            <v>деп</v>
          </cell>
          <cell r="J1428">
            <v>38463</v>
          </cell>
        </row>
        <row r="1429">
          <cell r="A1429">
            <v>58734476</v>
          </cell>
          <cell r="B1429" t="str">
            <v>РЕФСЕРВИС-М</v>
          </cell>
          <cell r="C1429" t="str">
            <v>ВОЛКОВСКАЯ   (ОКТ)</v>
          </cell>
          <cell r="D1429">
            <v>31741</v>
          </cell>
          <cell r="F1429">
            <v>0</v>
          </cell>
          <cell r="G1429">
            <v>37915</v>
          </cell>
          <cell r="H1429">
            <v>792</v>
          </cell>
          <cell r="I1429" t="str">
            <v>деп</v>
          </cell>
          <cell r="J1429">
            <v>38463</v>
          </cell>
        </row>
        <row r="1430">
          <cell r="A1430">
            <v>58734484</v>
          </cell>
          <cell r="B1430" t="str">
            <v>РЕФСЕРВИС-М</v>
          </cell>
          <cell r="C1430" t="str">
            <v>ВОЛКОВСКАЯ   (ОКТ)</v>
          </cell>
          <cell r="D1430">
            <v>31741</v>
          </cell>
          <cell r="F1430">
            <v>0</v>
          </cell>
          <cell r="G1430">
            <v>37915</v>
          </cell>
          <cell r="H1430">
            <v>792</v>
          </cell>
          <cell r="I1430" t="str">
            <v>деп</v>
          </cell>
          <cell r="J1430">
            <v>38463</v>
          </cell>
        </row>
        <row r="1431">
          <cell r="B1431" t="str">
            <v>РЕФСЕРВИС-М Количество</v>
          </cell>
          <cell r="D1431">
            <v>38</v>
          </cell>
        </row>
        <row r="1432">
          <cell r="A1432">
            <v>53401162</v>
          </cell>
          <cell r="B1432" t="str">
            <v>РОЛЛЕ</v>
          </cell>
          <cell r="C1432" t="str">
            <v>СИБИРСКАЯ    (ЗСБ)</v>
          </cell>
          <cell r="D1432">
            <v>30376</v>
          </cell>
          <cell r="F1432">
            <v>0</v>
          </cell>
          <cell r="G1432">
            <v>37546</v>
          </cell>
          <cell r="H1432">
            <v>840</v>
          </cell>
          <cell r="I1432" t="str">
            <v>деп</v>
          </cell>
          <cell r="J1432">
            <v>38094</v>
          </cell>
        </row>
        <row r="1433">
          <cell r="B1433" t="str">
            <v>РОЛЛЕ Количество</v>
          </cell>
          <cell r="D1433">
            <v>1</v>
          </cell>
        </row>
        <row r="1434">
          <cell r="A1434">
            <v>53704219</v>
          </cell>
          <cell r="B1434" t="str">
            <v>РОССИЙСКИЙ ЦИРК ГК</v>
          </cell>
          <cell r="C1434" t="str">
            <v>ОТРОЖКА      (ЮВС)</v>
          </cell>
          <cell r="D1434">
            <v>24473</v>
          </cell>
          <cell r="E1434">
            <v>36469</v>
          </cell>
          <cell r="G1434">
            <v>37729</v>
          </cell>
          <cell r="H1434">
            <v>76</v>
          </cell>
          <cell r="I1434" t="str">
            <v>деп</v>
          </cell>
          <cell r="J1434">
            <v>38825</v>
          </cell>
        </row>
        <row r="1435">
          <cell r="A1435">
            <v>58700709</v>
          </cell>
          <cell r="B1435" t="str">
            <v>РОССИЙСКИЙ ЦИРК ГК</v>
          </cell>
          <cell r="C1435" t="str">
            <v>ОТРОЖКА      (ЮВС)</v>
          </cell>
          <cell r="D1435">
            <v>24473</v>
          </cell>
          <cell r="F1435">
            <v>0</v>
          </cell>
          <cell r="G1435">
            <v>37729</v>
          </cell>
          <cell r="H1435">
            <v>76</v>
          </cell>
          <cell r="I1435" t="str">
            <v>деп</v>
          </cell>
          <cell r="J1435">
            <v>38460</v>
          </cell>
        </row>
        <row r="1436">
          <cell r="A1436">
            <v>58700717</v>
          </cell>
          <cell r="B1436" t="str">
            <v>РОССИЙСКИЙ ЦИРК ГК</v>
          </cell>
          <cell r="C1436" t="str">
            <v>ОТРОЖКА      (ЮВС)</v>
          </cell>
          <cell r="D1436">
            <v>24473</v>
          </cell>
          <cell r="F1436">
            <v>0</v>
          </cell>
          <cell r="G1436">
            <v>37403</v>
          </cell>
          <cell r="H1436">
            <v>76</v>
          </cell>
          <cell r="I1436" t="str">
            <v>деп</v>
          </cell>
          <cell r="J1436">
            <v>38134</v>
          </cell>
        </row>
        <row r="1437">
          <cell r="A1437">
            <v>58700725</v>
          </cell>
          <cell r="B1437" t="str">
            <v>РОССИЙСКИЙ ЦИРК ГК</v>
          </cell>
          <cell r="C1437" t="str">
            <v>ОТРОЖКА      (ЮВС)</v>
          </cell>
          <cell r="D1437">
            <v>24473</v>
          </cell>
          <cell r="F1437">
            <v>0</v>
          </cell>
          <cell r="G1437">
            <v>37403</v>
          </cell>
          <cell r="H1437">
            <v>76</v>
          </cell>
          <cell r="I1437" t="str">
            <v>деп</v>
          </cell>
          <cell r="J1437">
            <v>38134</v>
          </cell>
        </row>
        <row r="1438">
          <cell r="A1438">
            <v>58700733</v>
          </cell>
          <cell r="B1438" t="str">
            <v>РОССИЙСКИЙ ЦИРК ГК</v>
          </cell>
          <cell r="C1438" t="str">
            <v>ОТРОЖКА      (ЮВС)</v>
          </cell>
          <cell r="D1438">
            <v>24473</v>
          </cell>
          <cell r="E1438">
            <v>36468</v>
          </cell>
          <cell r="G1438">
            <v>37729</v>
          </cell>
          <cell r="H1438">
            <v>76</v>
          </cell>
          <cell r="I1438" t="str">
            <v>деп</v>
          </cell>
          <cell r="J1438">
            <v>38460</v>
          </cell>
        </row>
        <row r="1439">
          <cell r="A1439">
            <v>58700741</v>
          </cell>
          <cell r="B1439" t="str">
            <v>РОССИЙСКИЙ ЦИРК ГК</v>
          </cell>
          <cell r="C1439" t="str">
            <v>ОТРОЖКА      (ЮВС)</v>
          </cell>
          <cell r="D1439">
            <v>24473</v>
          </cell>
          <cell r="E1439">
            <v>36469</v>
          </cell>
          <cell r="G1439">
            <v>37762</v>
          </cell>
          <cell r="H1439">
            <v>76</v>
          </cell>
          <cell r="I1439" t="str">
            <v>деп</v>
          </cell>
          <cell r="J1439">
            <v>38493</v>
          </cell>
        </row>
        <row r="1440">
          <cell r="A1440">
            <v>58710336</v>
          </cell>
          <cell r="B1440" t="str">
            <v>РОССИЙСКИЙ ЦИРК ГК</v>
          </cell>
          <cell r="C1440" t="str">
            <v>ОТРОЖКА      (ЮВС)</v>
          </cell>
          <cell r="D1440">
            <v>24473</v>
          </cell>
          <cell r="E1440">
            <v>36469</v>
          </cell>
          <cell r="G1440">
            <v>37403</v>
          </cell>
          <cell r="H1440">
            <v>76</v>
          </cell>
          <cell r="I1440" t="str">
            <v>деп</v>
          </cell>
          <cell r="J1440">
            <v>38134</v>
          </cell>
        </row>
        <row r="1441">
          <cell r="A1441">
            <v>58710344</v>
          </cell>
          <cell r="B1441" t="str">
            <v>РОССИЙСКИЙ ЦИРК ГК</v>
          </cell>
          <cell r="C1441" t="str">
            <v>ОТРОЖКА      (ЮВС)</v>
          </cell>
          <cell r="D1441">
            <v>24473</v>
          </cell>
          <cell r="F1441">
            <v>0</v>
          </cell>
          <cell r="G1441">
            <v>37403</v>
          </cell>
          <cell r="H1441">
            <v>76</v>
          </cell>
          <cell r="I1441" t="str">
            <v>деп</v>
          </cell>
          <cell r="J1441">
            <v>38134</v>
          </cell>
        </row>
        <row r="1442">
          <cell r="B1442" t="str">
            <v>РОССИЙСКИЙ ЦИРК ГК Количество</v>
          </cell>
          <cell r="D1442">
            <v>8</v>
          </cell>
        </row>
        <row r="1443">
          <cell r="A1443">
            <v>53702981</v>
          </cell>
          <cell r="B1443" t="str">
            <v>РОСШТЕРН</v>
          </cell>
          <cell r="C1443" t="str">
            <v>МОС-ЮЖН.ПОРТ (МСK)</v>
          </cell>
          <cell r="D1443">
            <v>25569</v>
          </cell>
          <cell r="E1443">
            <v>34790</v>
          </cell>
          <cell r="G1443">
            <v>31503</v>
          </cell>
        </row>
        <row r="1444">
          <cell r="A1444">
            <v>53703005</v>
          </cell>
          <cell r="B1444" t="str">
            <v>РОСШТЕРН</v>
          </cell>
          <cell r="C1444" t="str">
            <v>МОС-ЮЖН.ПОРТ (МСK)</v>
          </cell>
          <cell r="D1444">
            <v>24838</v>
          </cell>
          <cell r="E1444">
            <v>34669</v>
          </cell>
          <cell r="G1444">
            <v>32874</v>
          </cell>
        </row>
        <row r="1445">
          <cell r="A1445">
            <v>53703088</v>
          </cell>
          <cell r="B1445" t="str">
            <v>РОСШТЕРН</v>
          </cell>
          <cell r="C1445" t="str">
            <v>МОС-ЮЖН.ПОРТ (МСK)</v>
          </cell>
          <cell r="D1445">
            <v>24473</v>
          </cell>
          <cell r="E1445">
            <v>34731</v>
          </cell>
          <cell r="G1445">
            <v>33239</v>
          </cell>
        </row>
        <row r="1446">
          <cell r="B1446" t="str">
            <v>РОСШТЕРН Количество</v>
          </cell>
          <cell r="D1446">
            <v>3</v>
          </cell>
        </row>
        <row r="1447">
          <cell r="A1447">
            <v>53705547</v>
          </cell>
          <cell r="B1447" t="str">
            <v>РУССКИЙ ЛЕС</v>
          </cell>
          <cell r="C1447" t="str">
            <v>КОСТАРИХА    (ГOР)</v>
          </cell>
          <cell r="D1447">
            <v>33178</v>
          </cell>
          <cell r="E1447">
            <v>38015</v>
          </cell>
          <cell r="F1447">
            <v>424</v>
          </cell>
          <cell r="H1447">
            <v>0</v>
          </cell>
          <cell r="I1447" t="str">
            <v>деп</v>
          </cell>
          <cell r="J1447">
            <v>38562</v>
          </cell>
        </row>
        <row r="1448">
          <cell r="A1448">
            <v>58729351</v>
          </cell>
          <cell r="B1448" t="str">
            <v>РУССКИЙ ЛЕС</v>
          </cell>
          <cell r="C1448" t="str">
            <v>КОСТАРИХА    (ГOР)</v>
          </cell>
          <cell r="D1448">
            <v>33178</v>
          </cell>
          <cell r="E1448">
            <v>38015</v>
          </cell>
          <cell r="F1448">
            <v>424</v>
          </cell>
          <cell r="H1448">
            <v>0</v>
          </cell>
          <cell r="I1448" t="str">
            <v>деп</v>
          </cell>
          <cell r="J1448">
            <v>38562</v>
          </cell>
        </row>
        <row r="1449">
          <cell r="A1449">
            <v>58729369</v>
          </cell>
          <cell r="B1449" t="str">
            <v>РУССКИЙ ЛЕС</v>
          </cell>
          <cell r="C1449" t="str">
            <v>КОСТАРИХА    (ГOР)</v>
          </cell>
          <cell r="D1449">
            <v>33178</v>
          </cell>
          <cell r="E1449">
            <v>38015</v>
          </cell>
          <cell r="F1449">
            <v>424</v>
          </cell>
          <cell r="H1449">
            <v>0</v>
          </cell>
          <cell r="I1449" t="str">
            <v>деп</v>
          </cell>
          <cell r="J1449">
            <v>38562</v>
          </cell>
        </row>
        <row r="1450">
          <cell r="A1450">
            <v>58729377</v>
          </cell>
          <cell r="B1450" t="str">
            <v>РУССКИЙ ЛЕС</v>
          </cell>
          <cell r="C1450" t="str">
            <v>КОСТАРИХА    (ГOР)</v>
          </cell>
          <cell r="D1450">
            <v>33178</v>
          </cell>
          <cell r="E1450">
            <v>38015</v>
          </cell>
          <cell r="F1450">
            <v>424</v>
          </cell>
          <cell r="H1450">
            <v>0</v>
          </cell>
          <cell r="I1450" t="str">
            <v>деп</v>
          </cell>
          <cell r="J1450">
            <v>38562</v>
          </cell>
        </row>
        <row r="1451">
          <cell r="A1451">
            <v>58729385</v>
          </cell>
          <cell r="B1451" t="str">
            <v>РУССКИЙ ЛЕС</v>
          </cell>
          <cell r="C1451" t="str">
            <v>КОСТАРИХА    (ГOР)</v>
          </cell>
          <cell r="D1451">
            <v>33178</v>
          </cell>
          <cell r="E1451">
            <v>38015</v>
          </cell>
          <cell r="F1451">
            <v>424</v>
          </cell>
          <cell r="H1451">
            <v>0</v>
          </cell>
          <cell r="I1451" t="str">
            <v>деп</v>
          </cell>
          <cell r="J1451">
            <v>38562</v>
          </cell>
        </row>
        <row r="1452">
          <cell r="B1452" t="str">
            <v>РУССКИЙ ЛЕС Количество</v>
          </cell>
          <cell r="D1452">
            <v>5</v>
          </cell>
        </row>
        <row r="1453">
          <cell r="A1453">
            <v>53703757</v>
          </cell>
          <cell r="B1453" t="str">
            <v>САМОРИ СК</v>
          </cell>
          <cell r="C1453" t="str">
            <v>ДОМОДЕДОВО   (МСK)</v>
          </cell>
          <cell r="D1453">
            <v>25204</v>
          </cell>
          <cell r="I1453" t="str">
            <v>деп</v>
          </cell>
          <cell r="J1453">
            <v>26299</v>
          </cell>
        </row>
        <row r="1454">
          <cell r="A1454">
            <v>53704565</v>
          </cell>
          <cell r="B1454" t="str">
            <v>САМОРИ СК</v>
          </cell>
          <cell r="C1454" t="str">
            <v>ДОМОДЕДОВО   (МСK)</v>
          </cell>
          <cell r="D1454">
            <v>29606</v>
          </cell>
          <cell r="E1454">
            <v>37345</v>
          </cell>
          <cell r="F1454">
            <v>350</v>
          </cell>
          <cell r="G1454">
            <v>34044</v>
          </cell>
          <cell r="H1454">
            <v>0</v>
          </cell>
          <cell r="I1454" t="str">
            <v>деп</v>
          </cell>
          <cell r="J1454">
            <v>37894</v>
          </cell>
        </row>
        <row r="1455">
          <cell r="B1455" t="str">
            <v>САМОРИ СК Количество</v>
          </cell>
          <cell r="D1455">
            <v>2</v>
          </cell>
        </row>
        <row r="1456">
          <cell r="A1456">
            <v>53704581</v>
          </cell>
          <cell r="B1456" t="str">
            <v>СЕВКАВТРАНССТРОЙ</v>
          </cell>
          <cell r="C1456" t="str">
            <v>ЭНЕМ 2       (СКВ)</v>
          </cell>
          <cell r="D1456">
            <v>31138</v>
          </cell>
          <cell r="E1456">
            <v>37762</v>
          </cell>
          <cell r="F1456">
            <v>557</v>
          </cell>
          <cell r="G1456">
            <v>35247</v>
          </cell>
          <cell r="I1456" t="str">
            <v>деп</v>
          </cell>
          <cell r="J1456">
            <v>38858</v>
          </cell>
        </row>
        <row r="1457">
          <cell r="A1457">
            <v>53704607</v>
          </cell>
          <cell r="B1457" t="str">
            <v>СЕВКАВТРАНССТРОЙ</v>
          </cell>
          <cell r="C1457" t="str">
            <v>ЭНЕМ 2       (СКВ)</v>
          </cell>
          <cell r="D1457">
            <v>31472</v>
          </cell>
          <cell r="E1457">
            <v>37725</v>
          </cell>
          <cell r="F1457">
            <v>557</v>
          </cell>
          <cell r="G1457">
            <v>35125</v>
          </cell>
          <cell r="I1457" t="str">
            <v>деп</v>
          </cell>
          <cell r="J1457">
            <v>38821</v>
          </cell>
        </row>
        <row r="1458">
          <cell r="A1458">
            <v>53704615</v>
          </cell>
          <cell r="B1458" t="str">
            <v>СЕВКАВТРАНССТРОЙ</v>
          </cell>
          <cell r="C1458" t="str">
            <v>ЭНЕМ 2       (СКВ)</v>
          </cell>
          <cell r="D1458">
            <v>31168</v>
          </cell>
          <cell r="E1458">
            <v>37775</v>
          </cell>
          <cell r="F1458">
            <v>557</v>
          </cell>
          <cell r="G1458">
            <v>35490</v>
          </cell>
          <cell r="I1458" t="str">
            <v>деп</v>
          </cell>
          <cell r="J1458">
            <v>38871</v>
          </cell>
        </row>
        <row r="1459">
          <cell r="A1459">
            <v>53704623</v>
          </cell>
          <cell r="B1459" t="str">
            <v>СЕВКАВТРАНССТРОЙ</v>
          </cell>
          <cell r="C1459" t="str">
            <v>ЭНЕМ 2       (СКВ)</v>
          </cell>
          <cell r="D1459">
            <v>29891</v>
          </cell>
          <cell r="E1459">
            <v>37714</v>
          </cell>
          <cell r="F1459">
            <v>557</v>
          </cell>
          <cell r="G1459">
            <v>35490</v>
          </cell>
          <cell r="I1459" t="str">
            <v>деп</v>
          </cell>
          <cell r="J1459">
            <v>38810</v>
          </cell>
        </row>
        <row r="1460">
          <cell r="B1460" t="str">
            <v>СЕВКАВТРАНССТРОЙ Количество</v>
          </cell>
          <cell r="D1460">
            <v>4</v>
          </cell>
        </row>
        <row r="1461">
          <cell r="A1461">
            <v>53706347</v>
          </cell>
          <cell r="B1461" t="str">
            <v>СЕЛЕНА ПКП</v>
          </cell>
          <cell r="C1461" t="str">
            <v>БАЗАИХА      (КРС)</v>
          </cell>
          <cell r="D1461">
            <v>33723</v>
          </cell>
          <cell r="F1461">
            <v>0</v>
          </cell>
          <cell r="G1461">
            <v>37483</v>
          </cell>
          <cell r="H1461">
            <v>633</v>
          </cell>
          <cell r="I1461" t="str">
            <v>деп</v>
          </cell>
          <cell r="J1461">
            <v>38032</v>
          </cell>
        </row>
        <row r="1462">
          <cell r="A1462">
            <v>58740176</v>
          </cell>
          <cell r="B1462" t="str">
            <v>СЕЛЕНА ПКП</v>
          </cell>
          <cell r="C1462" t="str">
            <v>БАЗАИХА      (КРС)</v>
          </cell>
          <cell r="D1462">
            <v>33723</v>
          </cell>
          <cell r="F1462">
            <v>0</v>
          </cell>
          <cell r="G1462">
            <v>37483</v>
          </cell>
          <cell r="H1462">
            <v>633</v>
          </cell>
          <cell r="I1462" t="str">
            <v>деп</v>
          </cell>
          <cell r="J1462">
            <v>38032</v>
          </cell>
        </row>
        <row r="1463">
          <cell r="A1463">
            <v>58740184</v>
          </cell>
          <cell r="B1463" t="str">
            <v>СЕЛЕНА ПКП</v>
          </cell>
          <cell r="C1463" t="str">
            <v>БАЗАИХА      (КРС)</v>
          </cell>
          <cell r="D1463">
            <v>33723</v>
          </cell>
          <cell r="F1463">
            <v>0</v>
          </cell>
          <cell r="G1463">
            <v>37483</v>
          </cell>
          <cell r="H1463">
            <v>633</v>
          </cell>
          <cell r="I1463" t="str">
            <v>деп</v>
          </cell>
          <cell r="J1463">
            <v>38032</v>
          </cell>
        </row>
        <row r="1464">
          <cell r="A1464">
            <v>58740200</v>
          </cell>
          <cell r="B1464" t="str">
            <v>СЕЛЕНА ПКП</v>
          </cell>
          <cell r="C1464" t="str">
            <v>БАЗАИХА      (КРС)</v>
          </cell>
          <cell r="D1464">
            <v>33723</v>
          </cell>
          <cell r="F1464">
            <v>0</v>
          </cell>
          <cell r="G1464">
            <v>37483</v>
          </cell>
          <cell r="H1464">
            <v>633</v>
          </cell>
          <cell r="I1464" t="str">
            <v>деп</v>
          </cell>
          <cell r="J1464">
            <v>38032</v>
          </cell>
        </row>
        <row r="1465">
          <cell r="B1465" t="str">
            <v>СЕЛЕНА ПКП Количество</v>
          </cell>
          <cell r="D1465">
            <v>4</v>
          </cell>
        </row>
        <row r="1466">
          <cell r="A1466">
            <v>53700001</v>
          </cell>
          <cell r="B1466" t="str">
            <v>СЕРВИСБАЗА МУП</v>
          </cell>
          <cell r="C1466" t="str">
            <v>ОРДЖОНИКИДЗЕ (МСK)</v>
          </cell>
          <cell r="D1466">
            <v>32203</v>
          </cell>
          <cell r="E1466">
            <v>37943</v>
          </cell>
          <cell r="F1466">
            <v>886</v>
          </cell>
          <cell r="H1466">
            <v>0</v>
          </cell>
          <cell r="I1466" t="str">
            <v>кап</v>
          </cell>
          <cell r="J1466">
            <v>38490</v>
          </cell>
        </row>
        <row r="1467">
          <cell r="A1467">
            <v>53700019</v>
          </cell>
          <cell r="B1467" t="str">
            <v>СЕРВИСБАЗА МУП</v>
          </cell>
          <cell r="C1467" t="str">
            <v>ОРДЖОНИКИДЗЕ (МСK)</v>
          </cell>
          <cell r="D1467">
            <v>32203</v>
          </cell>
          <cell r="F1467">
            <v>0</v>
          </cell>
          <cell r="H1467">
            <v>0</v>
          </cell>
          <cell r="I1467" t="str">
            <v>деп</v>
          </cell>
          <cell r="J1467">
            <v>36982</v>
          </cell>
        </row>
        <row r="1468">
          <cell r="A1468">
            <v>53700027</v>
          </cell>
          <cell r="B1468" t="str">
            <v>СЕРВИСБАЗА МУП</v>
          </cell>
          <cell r="C1468" t="str">
            <v>ОРДЖОНИКИДЗЕ (МСK)</v>
          </cell>
          <cell r="D1468">
            <v>32203</v>
          </cell>
          <cell r="F1468">
            <v>0</v>
          </cell>
          <cell r="H1468">
            <v>0</v>
          </cell>
          <cell r="I1468" t="str">
            <v>деп</v>
          </cell>
          <cell r="J1468">
            <v>36982</v>
          </cell>
        </row>
        <row r="1469">
          <cell r="A1469">
            <v>53702270</v>
          </cell>
          <cell r="B1469" t="str">
            <v>СЕРВИСБАЗА МУП</v>
          </cell>
          <cell r="C1469" t="str">
            <v>ОРДЖОНИКИДЗЕ (МСK)</v>
          </cell>
          <cell r="D1469">
            <v>34151</v>
          </cell>
          <cell r="E1469">
            <v>37697</v>
          </cell>
          <cell r="F1469">
            <v>886</v>
          </cell>
          <cell r="H1469">
            <v>0</v>
          </cell>
          <cell r="I1469" t="str">
            <v>деп</v>
          </cell>
          <cell r="J1469">
            <v>38247</v>
          </cell>
        </row>
        <row r="1470">
          <cell r="A1470">
            <v>53702288</v>
          </cell>
          <cell r="B1470" t="str">
            <v>СЕРВИСБАЗА МУП</v>
          </cell>
          <cell r="C1470" t="str">
            <v>ОРДЖОНИКИДЗЕ (МСK)</v>
          </cell>
          <cell r="D1470">
            <v>33970</v>
          </cell>
          <cell r="E1470">
            <v>37814</v>
          </cell>
          <cell r="F1470">
            <v>886</v>
          </cell>
          <cell r="H1470">
            <v>0</v>
          </cell>
          <cell r="I1470" t="str">
            <v>деп</v>
          </cell>
          <cell r="J1470">
            <v>38364</v>
          </cell>
        </row>
        <row r="1471">
          <cell r="A1471">
            <v>58720442</v>
          </cell>
          <cell r="B1471" t="str">
            <v>СЕРВИСБАЗА МУП</v>
          </cell>
          <cell r="C1471" t="str">
            <v>ОРДЖОНИКИДЗЕ (МСK)</v>
          </cell>
          <cell r="D1471">
            <v>34151</v>
          </cell>
          <cell r="E1471">
            <v>37697</v>
          </cell>
          <cell r="F1471">
            <v>886</v>
          </cell>
          <cell r="H1471">
            <v>0</v>
          </cell>
          <cell r="I1471" t="str">
            <v>деп</v>
          </cell>
          <cell r="J1471">
            <v>38247</v>
          </cell>
        </row>
        <row r="1472">
          <cell r="A1472">
            <v>58720459</v>
          </cell>
          <cell r="B1472" t="str">
            <v>СЕРВИСБАЗА МУП</v>
          </cell>
          <cell r="C1472" t="str">
            <v>ОРДЖОНИКИДЗЕ (МСK)</v>
          </cell>
          <cell r="D1472">
            <v>33970</v>
          </cell>
          <cell r="E1472">
            <v>37814</v>
          </cell>
          <cell r="F1472">
            <v>886</v>
          </cell>
          <cell r="H1472">
            <v>0</v>
          </cell>
          <cell r="I1472" t="str">
            <v>деп</v>
          </cell>
          <cell r="J1472">
            <v>38364</v>
          </cell>
        </row>
        <row r="1473">
          <cell r="A1473">
            <v>58720467</v>
          </cell>
          <cell r="B1473" t="str">
            <v>СЕРВИСБАЗА МУП</v>
          </cell>
          <cell r="C1473" t="str">
            <v>ОРДЖОНИКИДЗЕ (МСK)</v>
          </cell>
          <cell r="D1473">
            <v>33970</v>
          </cell>
          <cell r="E1473">
            <v>37814</v>
          </cell>
          <cell r="F1473">
            <v>886</v>
          </cell>
          <cell r="H1473">
            <v>0</v>
          </cell>
          <cell r="I1473" t="str">
            <v>деп</v>
          </cell>
          <cell r="J1473">
            <v>38364</v>
          </cell>
        </row>
        <row r="1474">
          <cell r="A1474">
            <v>58720475</v>
          </cell>
          <cell r="B1474" t="str">
            <v>СЕРВИСБАЗА МУП</v>
          </cell>
          <cell r="C1474" t="str">
            <v>ОРДЖОНИКИДЗЕ (МСK)</v>
          </cell>
          <cell r="D1474">
            <v>34151</v>
          </cell>
          <cell r="E1474">
            <v>37697</v>
          </cell>
          <cell r="F1474">
            <v>886</v>
          </cell>
          <cell r="H1474">
            <v>0</v>
          </cell>
          <cell r="I1474" t="str">
            <v>деп</v>
          </cell>
          <cell r="J1474">
            <v>38247</v>
          </cell>
        </row>
        <row r="1475">
          <cell r="A1475">
            <v>58720483</v>
          </cell>
          <cell r="B1475" t="str">
            <v>СЕРВИСБАЗА МУП</v>
          </cell>
          <cell r="C1475" t="str">
            <v>ОРДЖОНИКИДЗЕ (МСK)</v>
          </cell>
          <cell r="D1475">
            <v>34151</v>
          </cell>
          <cell r="E1475">
            <v>37697</v>
          </cell>
          <cell r="F1475">
            <v>886</v>
          </cell>
          <cell r="H1475">
            <v>0</v>
          </cell>
          <cell r="I1475" t="str">
            <v>деп</v>
          </cell>
          <cell r="J1475">
            <v>38247</v>
          </cell>
        </row>
        <row r="1476">
          <cell r="A1476">
            <v>58720509</v>
          </cell>
          <cell r="B1476" t="str">
            <v>СЕРВИСБАЗА МУП</v>
          </cell>
          <cell r="C1476" t="str">
            <v>ОРДЖОНИКИДЗЕ (МСK)</v>
          </cell>
          <cell r="D1476">
            <v>33970</v>
          </cell>
          <cell r="E1476">
            <v>37814</v>
          </cell>
          <cell r="F1476">
            <v>886</v>
          </cell>
          <cell r="H1476">
            <v>0</v>
          </cell>
          <cell r="I1476" t="str">
            <v>деп</v>
          </cell>
          <cell r="J1476">
            <v>38364</v>
          </cell>
        </row>
        <row r="1477">
          <cell r="A1477">
            <v>58720517</v>
          </cell>
          <cell r="B1477" t="str">
            <v>СЕРВИСБАЗА МУП</v>
          </cell>
          <cell r="C1477" t="str">
            <v>ОРДЖОНИКИДЗЕ (МСK)</v>
          </cell>
          <cell r="D1477">
            <v>34151</v>
          </cell>
          <cell r="E1477">
            <v>37697</v>
          </cell>
          <cell r="F1477">
            <v>886</v>
          </cell>
          <cell r="H1477">
            <v>0</v>
          </cell>
          <cell r="I1477" t="str">
            <v>деп</v>
          </cell>
          <cell r="J1477">
            <v>38247</v>
          </cell>
        </row>
        <row r="1478">
          <cell r="A1478">
            <v>58720525</v>
          </cell>
          <cell r="B1478" t="str">
            <v>СЕРВИСБАЗА МУП</v>
          </cell>
          <cell r="C1478" t="str">
            <v>ОРДЖОНИКИДЗЕ (МСK)</v>
          </cell>
          <cell r="D1478">
            <v>33970</v>
          </cell>
          <cell r="E1478">
            <v>37814</v>
          </cell>
          <cell r="F1478">
            <v>886</v>
          </cell>
          <cell r="H1478">
            <v>0</v>
          </cell>
          <cell r="I1478" t="str">
            <v>деп</v>
          </cell>
          <cell r="J1478">
            <v>38364</v>
          </cell>
        </row>
        <row r="1479">
          <cell r="A1479">
            <v>58741877</v>
          </cell>
          <cell r="B1479" t="str">
            <v>СЕРВИСБАЗА МУП</v>
          </cell>
          <cell r="C1479" t="str">
            <v>ОРДЖОНИКИДЗЕ (МСK)</v>
          </cell>
          <cell r="D1479">
            <v>32203</v>
          </cell>
          <cell r="E1479">
            <v>37943</v>
          </cell>
          <cell r="F1479">
            <v>886</v>
          </cell>
          <cell r="H1479">
            <v>0</v>
          </cell>
          <cell r="I1479" t="str">
            <v>кап</v>
          </cell>
          <cell r="J1479">
            <v>38490</v>
          </cell>
        </row>
        <row r="1480">
          <cell r="A1480">
            <v>58741885</v>
          </cell>
          <cell r="B1480" t="str">
            <v>СЕРВИСБАЗА МУП</v>
          </cell>
          <cell r="C1480" t="str">
            <v>ОРДЖОНИКИДЗЕ (МСK)</v>
          </cell>
          <cell r="D1480">
            <v>32203</v>
          </cell>
          <cell r="E1480">
            <v>37943</v>
          </cell>
          <cell r="F1480">
            <v>886</v>
          </cell>
          <cell r="H1480">
            <v>0</v>
          </cell>
          <cell r="I1480" t="str">
            <v>кап</v>
          </cell>
          <cell r="J1480">
            <v>38490</v>
          </cell>
        </row>
        <row r="1481">
          <cell r="A1481">
            <v>58741901</v>
          </cell>
          <cell r="B1481" t="str">
            <v>СЕРВИСБАЗА МУП</v>
          </cell>
          <cell r="C1481" t="str">
            <v>ОРДЖОНИКИДЗЕ (МСK)</v>
          </cell>
          <cell r="D1481">
            <v>32203</v>
          </cell>
          <cell r="E1481">
            <v>37943</v>
          </cell>
          <cell r="F1481">
            <v>886</v>
          </cell>
          <cell r="H1481">
            <v>0</v>
          </cell>
          <cell r="I1481" t="str">
            <v>кап</v>
          </cell>
          <cell r="J1481">
            <v>38490</v>
          </cell>
        </row>
        <row r="1482">
          <cell r="A1482">
            <v>58741919</v>
          </cell>
          <cell r="B1482" t="str">
            <v>СЕРВИСБАЗА МУП</v>
          </cell>
          <cell r="C1482" t="str">
            <v>ОРДЖОНИКИДЗЕ (МСK)</v>
          </cell>
          <cell r="D1482">
            <v>32203</v>
          </cell>
          <cell r="E1482">
            <v>37943</v>
          </cell>
          <cell r="F1482">
            <v>886</v>
          </cell>
          <cell r="H1482">
            <v>0</v>
          </cell>
          <cell r="I1482" t="str">
            <v>кап</v>
          </cell>
          <cell r="J1482">
            <v>38490</v>
          </cell>
        </row>
        <row r="1483">
          <cell r="A1483">
            <v>58741927</v>
          </cell>
          <cell r="B1483" t="str">
            <v>СЕРВИСБАЗА МУП</v>
          </cell>
          <cell r="C1483" t="str">
            <v>ОРДЖОНИКИДЗЕ (МСK)</v>
          </cell>
          <cell r="D1483">
            <v>32203</v>
          </cell>
          <cell r="F1483">
            <v>0</v>
          </cell>
          <cell r="H1483">
            <v>0</v>
          </cell>
          <cell r="I1483" t="str">
            <v>деп</v>
          </cell>
          <cell r="J1483">
            <v>33117</v>
          </cell>
        </row>
        <row r="1484">
          <cell r="A1484">
            <v>58741935</v>
          </cell>
          <cell r="B1484" t="str">
            <v>СЕРВИСБАЗА МУП</v>
          </cell>
          <cell r="C1484" t="str">
            <v>ОРДЖОНИКИДЗЕ (МСK)</v>
          </cell>
          <cell r="D1484">
            <v>32203</v>
          </cell>
          <cell r="F1484">
            <v>0</v>
          </cell>
          <cell r="H1484">
            <v>0</v>
          </cell>
          <cell r="I1484" t="str">
            <v>деп</v>
          </cell>
          <cell r="J1484">
            <v>33117</v>
          </cell>
        </row>
        <row r="1485">
          <cell r="A1485">
            <v>58741943</v>
          </cell>
          <cell r="B1485" t="str">
            <v>СЕРВИСБАЗА МУП</v>
          </cell>
          <cell r="C1485" t="str">
            <v>ОРДЖОНИКИДЗЕ (МСK)</v>
          </cell>
          <cell r="D1485">
            <v>32203</v>
          </cell>
          <cell r="F1485">
            <v>0</v>
          </cell>
          <cell r="H1485">
            <v>0</v>
          </cell>
          <cell r="I1485" t="str">
            <v>деп</v>
          </cell>
          <cell r="J1485">
            <v>33117</v>
          </cell>
        </row>
        <row r="1486">
          <cell r="A1486">
            <v>58741950</v>
          </cell>
          <cell r="B1486" t="str">
            <v>СЕРВИСБАЗА МУП</v>
          </cell>
          <cell r="C1486" t="str">
            <v>ОРДЖОНИКИДЗЕ (МСK)</v>
          </cell>
          <cell r="D1486">
            <v>32203</v>
          </cell>
          <cell r="F1486">
            <v>0</v>
          </cell>
          <cell r="H1486">
            <v>0</v>
          </cell>
          <cell r="I1486" t="str">
            <v>деп</v>
          </cell>
          <cell r="J1486">
            <v>33117</v>
          </cell>
        </row>
        <row r="1487">
          <cell r="A1487">
            <v>58741968</v>
          </cell>
          <cell r="B1487" t="str">
            <v>СЕРВИСБАЗА МУП</v>
          </cell>
          <cell r="C1487" t="str">
            <v>ОРДЖОНИКИДЗЕ (МСK)</v>
          </cell>
          <cell r="D1487">
            <v>32203</v>
          </cell>
          <cell r="F1487">
            <v>0</v>
          </cell>
          <cell r="H1487">
            <v>0</v>
          </cell>
          <cell r="I1487" t="str">
            <v>деп</v>
          </cell>
          <cell r="J1487">
            <v>33117</v>
          </cell>
        </row>
        <row r="1488">
          <cell r="A1488">
            <v>58741976</v>
          </cell>
          <cell r="B1488" t="str">
            <v>СЕРВИСБАЗА МУП</v>
          </cell>
          <cell r="C1488" t="str">
            <v>ОРДЖОНИКИДЗЕ (МСK)</v>
          </cell>
          <cell r="D1488">
            <v>32203</v>
          </cell>
          <cell r="F1488">
            <v>0</v>
          </cell>
          <cell r="H1488">
            <v>0</v>
          </cell>
          <cell r="I1488" t="str">
            <v>деп</v>
          </cell>
          <cell r="J1488">
            <v>33117</v>
          </cell>
        </row>
        <row r="1489">
          <cell r="A1489">
            <v>58741984</v>
          </cell>
          <cell r="B1489" t="str">
            <v>СЕРВИСБАЗА МУП</v>
          </cell>
          <cell r="C1489" t="str">
            <v>ОРДЖОНИКИДЗЕ (МСK)</v>
          </cell>
          <cell r="D1489">
            <v>32203</v>
          </cell>
          <cell r="F1489">
            <v>0</v>
          </cell>
          <cell r="H1489">
            <v>0</v>
          </cell>
          <cell r="I1489" t="str">
            <v>деп</v>
          </cell>
          <cell r="J1489">
            <v>33117</v>
          </cell>
        </row>
        <row r="1490">
          <cell r="A1490">
            <v>58742008</v>
          </cell>
          <cell r="B1490" t="str">
            <v>СЕРВИСБАЗА МУП</v>
          </cell>
          <cell r="C1490" t="str">
            <v>ОРДЖОНИКИДЗЕ (МСK)</v>
          </cell>
          <cell r="D1490">
            <v>32203</v>
          </cell>
          <cell r="F1490">
            <v>0</v>
          </cell>
          <cell r="H1490">
            <v>0</v>
          </cell>
          <cell r="I1490" t="str">
            <v>деп</v>
          </cell>
          <cell r="J1490">
            <v>33117</v>
          </cell>
        </row>
        <row r="1491">
          <cell r="B1491" t="str">
            <v>СЕРВИСБАЗА МУП Количество</v>
          </cell>
          <cell r="D1491">
            <v>25</v>
          </cell>
        </row>
        <row r="1492">
          <cell r="A1492">
            <v>58342403</v>
          </cell>
          <cell r="B1492" t="str">
            <v>СЕРОВЛЕСТОРГ</v>
          </cell>
          <cell r="C1492" t="str">
            <v>СЕРОВ        (СВР)</v>
          </cell>
          <cell r="D1492">
            <v>28615</v>
          </cell>
          <cell r="E1492">
            <v>37616</v>
          </cell>
          <cell r="F1492">
            <v>819</v>
          </cell>
          <cell r="G1492">
            <v>32143</v>
          </cell>
          <cell r="H1492">
            <v>557</v>
          </cell>
          <cell r="I1492" t="str">
            <v>деп</v>
          </cell>
          <cell r="J1492">
            <v>38164</v>
          </cell>
        </row>
        <row r="1493">
          <cell r="B1493" t="str">
            <v>СЕРОВЛЕСТОРГ Количество</v>
          </cell>
          <cell r="D1493">
            <v>1</v>
          </cell>
        </row>
        <row r="1494">
          <cell r="A1494">
            <v>53400636</v>
          </cell>
          <cell r="B1494" t="str">
            <v>СИБВНЕШТРАНС ТК</v>
          </cell>
          <cell r="C1494" t="str">
            <v>НОВОСИБ-ЗАП  (ЗСБ)</v>
          </cell>
          <cell r="D1494">
            <v>28839</v>
          </cell>
          <cell r="E1494">
            <v>37934</v>
          </cell>
          <cell r="F1494">
            <v>557</v>
          </cell>
          <cell r="G1494">
            <v>37363</v>
          </cell>
          <cell r="H1494">
            <v>840</v>
          </cell>
          <cell r="I1494" t="str">
            <v>деп</v>
          </cell>
          <cell r="J1494">
            <v>38481</v>
          </cell>
        </row>
        <row r="1495">
          <cell r="A1495">
            <v>53400768</v>
          </cell>
          <cell r="B1495" t="str">
            <v>СИБВНЕШТРАНС ТК</v>
          </cell>
          <cell r="C1495" t="str">
            <v>НОВОСИБ-ЗАП  (ЗСБ)</v>
          </cell>
          <cell r="D1495">
            <v>28839</v>
          </cell>
          <cell r="E1495">
            <v>37978</v>
          </cell>
          <cell r="F1495">
            <v>557</v>
          </cell>
          <cell r="G1495">
            <v>37399</v>
          </cell>
          <cell r="H1495">
            <v>840</v>
          </cell>
          <cell r="I1495" t="str">
            <v>деп</v>
          </cell>
          <cell r="J1495">
            <v>38526</v>
          </cell>
        </row>
        <row r="1496">
          <cell r="A1496">
            <v>58731969</v>
          </cell>
          <cell r="B1496" t="str">
            <v>СИБВНЕШТРАНС ТК</v>
          </cell>
          <cell r="C1496" t="str">
            <v>НОВОСИБ-ЗАП  (ЗСБ)</v>
          </cell>
          <cell r="D1496">
            <v>28839</v>
          </cell>
          <cell r="E1496">
            <v>37930</v>
          </cell>
          <cell r="F1496">
            <v>557</v>
          </cell>
          <cell r="G1496">
            <v>37363</v>
          </cell>
          <cell r="H1496">
            <v>840</v>
          </cell>
          <cell r="I1496" t="str">
            <v>деп</v>
          </cell>
          <cell r="J1496">
            <v>38477</v>
          </cell>
        </row>
        <row r="1497">
          <cell r="A1497">
            <v>58731977</v>
          </cell>
          <cell r="B1497" t="str">
            <v>СИБВНЕШТРАНС ТК</v>
          </cell>
          <cell r="C1497" t="str">
            <v>НОВОСИБ-ЗАП  (ЗСБ)</v>
          </cell>
          <cell r="D1497">
            <v>28839</v>
          </cell>
          <cell r="E1497">
            <v>37930</v>
          </cell>
          <cell r="F1497">
            <v>557</v>
          </cell>
          <cell r="G1497">
            <v>37363</v>
          </cell>
          <cell r="H1497">
            <v>840</v>
          </cell>
          <cell r="I1497" t="str">
            <v>деп</v>
          </cell>
          <cell r="J1497">
            <v>38477</v>
          </cell>
        </row>
        <row r="1498">
          <cell r="A1498">
            <v>58731985</v>
          </cell>
          <cell r="B1498" t="str">
            <v>СИБВНЕШТРАНС ТК</v>
          </cell>
          <cell r="C1498" t="str">
            <v>НОВОСИБ-ЗАП  (ЗСБ)</v>
          </cell>
          <cell r="D1498">
            <v>28839</v>
          </cell>
          <cell r="E1498">
            <v>37933</v>
          </cell>
          <cell r="F1498">
            <v>557</v>
          </cell>
          <cell r="G1498">
            <v>37363</v>
          </cell>
          <cell r="H1498">
            <v>840</v>
          </cell>
          <cell r="I1498" t="str">
            <v>деп</v>
          </cell>
          <cell r="J1498">
            <v>38480</v>
          </cell>
        </row>
        <row r="1499">
          <cell r="A1499">
            <v>58731993</v>
          </cell>
          <cell r="B1499" t="str">
            <v>СИБВНЕШТРАНС ТК</v>
          </cell>
          <cell r="C1499" t="str">
            <v>НОВОСИБ-ЗАП  (ЗСБ)</v>
          </cell>
          <cell r="D1499">
            <v>28839</v>
          </cell>
          <cell r="E1499">
            <v>37929</v>
          </cell>
          <cell r="F1499">
            <v>557</v>
          </cell>
          <cell r="G1499">
            <v>37363</v>
          </cell>
          <cell r="H1499">
            <v>840</v>
          </cell>
          <cell r="I1499" t="str">
            <v>деп</v>
          </cell>
          <cell r="J1499">
            <v>38476</v>
          </cell>
        </row>
        <row r="1500">
          <cell r="A1500">
            <v>58732405</v>
          </cell>
          <cell r="B1500" t="str">
            <v>СИБВНЕШТРАНС ТК</v>
          </cell>
          <cell r="C1500" t="str">
            <v>НОВОСИБ-ЗАП  (ЗСБ)</v>
          </cell>
          <cell r="D1500">
            <v>28839</v>
          </cell>
          <cell r="E1500">
            <v>37978</v>
          </cell>
          <cell r="F1500">
            <v>557</v>
          </cell>
          <cell r="G1500">
            <v>37399</v>
          </cell>
          <cell r="H1500">
            <v>840</v>
          </cell>
          <cell r="I1500" t="str">
            <v>деп</v>
          </cell>
          <cell r="J1500">
            <v>38526</v>
          </cell>
        </row>
        <row r="1501">
          <cell r="A1501">
            <v>58732413</v>
          </cell>
          <cell r="B1501" t="str">
            <v>СИБВНЕШТРАНС ТК</v>
          </cell>
          <cell r="C1501" t="str">
            <v>НОВОСИБ-ЗАП  (ЗСБ)</v>
          </cell>
          <cell r="D1501">
            <v>28839</v>
          </cell>
          <cell r="E1501">
            <v>37978</v>
          </cell>
          <cell r="F1501">
            <v>557</v>
          </cell>
          <cell r="G1501">
            <v>37399</v>
          </cell>
          <cell r="H1501">
            <v>840</v>
          </cell>
          <cell r="I1501" t="str">
            <v>деп</v>
          </cell>
          <cell r="J1501">
            <v>38526</v>
          </cell>
        </row>
        <row r="1502">
          <cell r="A1502">
            <v>58732421</v>
          </cell>
          <cell r="B1502" t="str">
            <v>СИБВНЕШТРАНС ТК</v>
          </cell>
          <cell r="C1502" t="str">
            <v>НОВОСИБ-ЗАП  (ЗСБ)</v>
          </cell>
          <cell r="D1502">
            <v>28839</v>
          </cell>
          <cell r="E1502">
            <v>37978</v>
          </cell>
          <cell r="F1502">
            <v>557</v>
          </cell>
          <cell r="G1502">
            <v>37399</v>
          </cell>
          <cell r="H1502">
            <v>840</v>
          </cell>
          <cell r="I1502" t="str">
            <v>деп</v>
          </cell>
          <cell r="J1502">
            <v>38526</v>
          </cell>
        </row>
        <row r="1503">
          <cell r="A1503">
            <v>58732439</v>
          </cell>
          <cell r="B1503" t="str">
            <v>СИБВНЕШТРАНС ТК</v>
          </cell>
          <cell r="C1503" t="str">
            <v>НОВОСИБ-ЗАП  (ЗСБ)</v>
          </cell>
          <cell r="D1503">
            <v>28839</v>
          </cell>
          <cell r="E1503">
            <v>37978</v>
          </cell>
          <cell r="F1503">
            <v>557</v>
          </cell>
          <cell r="G1503">
            <v>37399</v>
          </cell>
          <cell r="H1503">
            <v>840</v>
          </cell>
          <cell r="I1503" t="str">
            <v>деп</v>
          </cell>
          <cell r="J1503">
            <v>38526</v>
          </cell>
        </row>
        <row r="1504">
          <cell r="B1504" t="str">
            <v>СИБВНЕШТРАНС ТК Количество</v>
          </cell>
          <cell r="D1504">
            <v>10</v>
          </cell>
        </row>
        <row r="1505">
          <cell r="A1505">
            <v>53702064</v>
          </cell>
          <cell r="B1505" t="str">
            <v>СИБНЕФТЕПРОВОД</v>
          </cell>
          <cell r="C1505" t="str">
            <v>УСТЬЕ-АХА    (СВР)</v>
          </cell>
          <cell r="D1505">
            <v>33312</v>
          </cell>
          <cell r="F1505">
            <v>0</v>
          </cell>
          <cell r="H1505">
            <v>0</v>
          </cell>
        </row>
        <row r="1506">
          <cell r="A1506">
            <v>58339649</v>
          </cell>
          <cell r="B1506" t="str">
            <v>СИБНЕФТЕПРОВОД</v>
          </cell>
          <cell r="C1506" t="str">
            <v>УСТЬЕ-АХА    (СВР)</v>
          </cell>
          <cell r="D1506">
            <v>33739</v>
          </cell>
          <cell r="F1506">
            <v>0</v>
          </cell>
          <cell r="H1506">
            <v>0</v>
          </cell>
        </row>
        <row r="1507">
          <cell r="A1507">
            <v>58339656</v>
          </cell>
          <cell r="B1507" t="str">
            <v>СИБНЕФТЕПРОВОД</v>
          </cell>
          <cell r="C1507" t="str">
            <v>УСТЬЕ-АХА    (СВР)</v>
          </cell>
          <cell r="D1507">
            <v>33739</v>
          </cell>
          <cell r="F1507">
            <v>0</v>
          </cell>
          <cell r="H1507">
            <v>0</v>
          </cell>
        </row>
        <row r="1508">
          <cell r="A1508">
            <v>58339664</v>
          </cell>
          <cell r="B1508" t="str">
            <v>СИБНЕФТЕПРОВОД</v>
          </cell>
          <cell r="C1508" t="str">
            <v>УСТЬЕ-АХА    (СВР)</v>
          </cell>
          <cell r="D1508">
            <v>33739</v>
          </cell>
          <cell r="F1508">
            <v>0</v>
          </cell>
          <cell r="H1508">
            <v>0</v>
          </cell>
        </row>
        <row r="1509">
          <cell r="A1509">
            <v>58339672</v>
          </cell>
          <cell r="B1509" t="str">
            <v>СИБНЕФТЕПРОВОД</v>
          </cell>
          <cell r="C1509" t="str">
            <v>УСТЬЕ-АХА    (СВР)</v>
          </cell>
          <cell r="D1509">
            <v>33739</v>
          </cell>
          <cell r="F1509">
            <v>0</v>
          </cell>
          <cell r="H1509">
            <v>0</v>
          </cell>
        </row>
        <row r="1510">
          <cell r="B1510" t="str">
            <v>СИБНЕФТЕПРОВОД Количество</v>
          </cell>
          <cell r="D1510">
            <v>5</v>
          </cell>
        </row>
        <row r="1511">
          <cell r="A1511">
            <v>53702528</v>
          </cell>
          <cell r="B1511" t="str">
            <v>СИКОНКО</v>
          </cell>
          <cell r="C1511" t="str">
            <v>ЧЕРНЫЙ МЫС   (СВР)</v>
          </cell>
          <cell r="D1511">
            <v>34148</v>
          </cell>
          <cell r="E1511">
            <v>36505</v>
          </cell>
          <cell r="F1511">
            <v>579</v>
          </cell>
          <cell r="I1511" t="str">
            <v>деп</v>
          </cell>
          <cell r="J1511">
            <v>37601</v>
          </cell>
        </row>
        <row r="1512">
          <cell r="A1512">
            <v>53702817</v>
          </cell>
          <cell r="B1512" t="str">
            <v>СИКОНКО</v>
          </cell>
          <cell r="C1512" t="str">
            <v>СУРГУТ       (СВР)</v>
          </cell>
          <cell r="D1512">
            <v>34300</v>
          </cell>
          <cell r="E1512">
            <v>37485</v>
          </cell>
          <cell r="F1512">
            <v>616</v>
          </cell>
          <cell r="I1512" t="str">
            <v>деп</v>
          </cell>
          <cell r="J1512">
            <v>38581</v>
          </cell>
        </row>
        <row r="1513">
          <cell r="A1513">
            <v>58721150</v>
          </cell>
          <cell r="B1513" t="str">
            <v>СИКОНКО</v>
          </cell>
          <cell r="C1513" t="str">
            <v>СУРГУТ       (СВР)</v>
          </cell>
          <cell r="D1513">
            <v>34148</v>
          </cell>
          <cell r="E1513">
            <v>36505</v>
          </cell>
          <cell r="F1513">
            <v>579</v>
          </cell>
          <cell r="I1513" t="str">
            <v>деп</v>
          </cell>
          <cell r="J1513">
            <v>37236</v>
          </cell>
        </row>
        <row r="1514">
          <cell r="A1514">
            <v>58721168</v>
          </cell>
          <cell r="B1514" t="str">
            <v>СИКОНКО</v>
          </cell>
          <cell r="C1514" t="str">
            <v>СУРГУТ       (СВР)</v>
          </cell>
          <cell r="D1514">
            <v>34148</v>
          </cell>
          <cell r="E1514">
            <v>36505</v>
          </cell>
          <cell r="F1514">
            <v>579</v>
          </cell>
          <cell r="I1514" t="str">
            <v>деп</v>
          </cell>
          <cell r="J1514">
            <v>37236</v>
          </cell>
        </row>
        <row r="1515">
          <cell r="A1515">
            <v>58721176</v>
          </cell>
          <cell r="B1515" t="str">
            <v>СИКОНКО</v>
          </cell>
          <cell r="C1515" t="str">
            <v>СУРГУТ       (СВР)</v>
          </cell>
          <cell r="D1515">
            <v>34148</v>
          </cell>
          <cell r="E1515">
            <v>36503</v>
          </cell>
          <cell r="F1515">
            <v>579</v>
          </cell>
          <cell r="I1515" t="str">
            <v>деп</v>
          </cell>
          <cell r="J1515">
            <v>37234</v>
          </cell>
        </row>
        <row r="1516">
          <cell r="A1516">
            <v>58721184</v>
          </cell>
          <cell r="B1516" t="str">
            <v>СИКОНКО</v>
          </cell>
          <cell r="C1516" t="str">
            <v>СУРГУТ       (СВР)</v>
          </cell>
          <cell r="D1516">
            <v>34148</v>
          </cell>
          <cell r="E1516">
            <v>36505</v>
          </cell>
          <cell r="F1516">
            <v>579</v>
          </cell>
          <cell r="I1516" t="str">
            <v>деп</v>
          </cell>
          <cell r="J1516">
            <v>37236</v>
          </cell>
        </row>
        <row r="1517">
          <cell r="A1517">
            <v>58721838</v>
          </cell>
          <cell r="B1517" t="str">
            <v>СИКОНКО</v>
          </cell>
          <cell r="C1517" t="str">
            <v>СУРГУТ       (СВР)</v>
          </cell>
          <cell r="D1517">
            <v>34300</v>
          </cell>
          <cell r="E1517">
            <v>37481</v>
          </cell>
          <cell r="F1517">
            <v>616</v>
          </cell>
          <cell r="I1517" t="str">
            <v>деп</v>
          </cell>
          <cell r="J1517">
            <v>38212</v>
          </cell>
        </row>
        <row r="1518">
          <cell r="A1518">
            <v>58721846</v>
          </cell>
          <cell r="B1518" t="str">
            <v>СИКОНКО</v>
          </cell>
          <cell r="C1518" t="str">
            <v>СУРГУТ       (СВР)</v>
          </cell>
          <cell r="D1518">
            <v>34300</v>
          </cell>
          <cell r="E1518">
            <v>37482</v>
          </cell>
          <cell r="F1518">
            <v>616</v>
          </cell>
          <cell r="I1518" t="str">
            <v>деп</v>
          </cell>
          <cell r="J1518">
            <v>38213</v>
          </cell>
        </row>
        <row r="1519">
          <cell r="A1519">
            <v>58721853</v>
          </cell>
          <cell r="B1519" t="str">
            <v>СИКОНКО</v>
          </cell>
          <cell r="C1519" t="str">
            <v>СУРГУТ       (СВР)</v>
          </cell>
          <cell r="D1519">
            <v>34300</v>
          </cell>
          <cell r="E1519">
            <v>37481</v>
          </cell>
          <cell r="F1519">
            <v>616</v>
          </cell>
          <cell r="I1519" t="str">
            <v>деп</v>
          </cell>
          <cell r="J1519">
            <v>38212</v>
          </cell>
        </row>
        <row r="1520">
          <cell r="A1520">
            <v>58721861</v>
          </cell>
          <cell r="B1520" t="str">
            <v>СИКОНКО</v>
          </cell>
          <cell r="C1520" t="str">
            <v>СУРГУТ       (СВР)</v>
          </cell>
          <cell r="D1520">
            <v>34148</v>
          </cell>
          <cell r="E1520">
            <v>37481</v>
          </cell>
          <cell r="F1520">
            <v>616</v>
          </cell>
          <cell r="I1520" t="str">
            <v>деп</v>
          </cell>
          <cell r="J1520">
            <v>38212</v>
          </cell>
        </row>
        <row r="1521">
          <cell r="B1521" t="str">
            <v>СИКОНКО Количество</v>
          </cell>
          <cell r="D1521">
            <v>10</v>
          </cell>
        </row>
        <row r="1522">
          <cell r="A1522">
            <v>53702247</v>
          </cell>
          <cell r="B1522" t="str">
            <v>СЛАВТЭК СПМ</v>
          </cell>
          <cell r="C1522" t="str">
            <v>НИЖНЕВАРТ. 1 (СВР)</v>
          </cell>
          <cell r="D1522">
            <v>33817</v>
          </cell>
          <cell r="E1522">
            <v>37741</v>
          </cell>
          <cell r="F1522">
            <v>819</v>
          </cell>
          <cell r="H1522">
            <v>0</v>
          </cell>
          <cell r="I1522" t="str">
            <v>кап</v>
          </cell>
          <cell r="J1522">
            <v>38837</v>
          </cell>
        </row>
        <row r="1523">
          <cell r="A1523">
            <v>58720335</v>
          </cell>
          <cell r="B1523" t="str">
            <v>СЛАВТЭК СПМ</v>
          </cell>
          <cell r="C1523" t="str">
            <v>НИЖНЕВАРТ. 1 (СВР)</v>
          </cell>
          <cell r="D1523">
            <v>33451</v>
          </cell>
          <cell r="E1523">
            <v>37741</v>
          </cell>
          <cell r="F1523">
            <v>819</v>
          </cell>
          <cell r="H1523">
            <v>0</v>
          </cell>
          <cell r="I1523" t="str">
            <v>деп</v>
          </cell>
          <cell r="J1523">
            <v>38472</v>
          </cell>
        </row>
        <row r="1524">
          <cell r="A1524">
            <v>58720343</v>
          </cell>
          <cell r="B1524" t="str">
            <v>СЛАВТЭК СПМ</v>
          </cell>
          <cell r="C1524" t="str">
            <v>НИЖНЕВАРТ. 1 (СВР)</v>
          </cell>
          <cell r="D1524">
            <v>33451</v>
          </cell>
          <cell r="E1524">
            <v>37741</v>
          </cell>
          <cell r="F1524">
            <v>819</v>
          </cell>
          <cell r="H1524">
            <v>0</v>
          </cell>
          <cell r="I1524" t="str">
            <v>деп</v>
          </cell>
          <cell r="J1524">
            <v>38472</v>
          </cell>
        </row>
        <row r="1525">
          <cell r="A1525">
            <v>58720350</v>
          </cell>
          <cell r="B1525" t="str">
            <v>СЛАВТЭК СПМ</v>
          </cell>
          <cell r="C1525" t="str">
            <v>НИЖНЕВАРТ. 1 (СВР)</v>
          </cell>
          <cell r="D1525">
            <v>33451</v>
          </cell>
          <cell r="E1525">
            <v>37741</v>
          </cell>
          <cell r="F1525">
            <v>819</v>
          </cell>
          <cell r="H1525">
            <v>0</v>
          </cell>
          <cell r="I1525" t="str">
            <v>деп</v>
          </cell>
          <cell r="J1525">
            <v>38472</v>
          </cell>
        </row>
        <row r="1526">
          <cell r="A1526">
            <v>58720368</v>
          </cell>
          <cell r="B1526" t="str">
            <v>СЛАВТЭК СПМ</v>
          </cell>
          <cell r="C1526" t="str">
            <v>НИЖНЕВАРТ. 1 (СВР)</v>
          </cell>
          <cell r="D1526">
            <v>33451</v>
          </cell>
          <cell r="E1526">
            <v>37741</v>
          </cell>
          <cell r="F1526">
            <v>819</v>
          </cell>
          <cell r="H1526">
            <v>0</v>
          </cell>
          <cell r="I1526" t="str">
            <v>деп</v>
          </cell>
          <cell r="J1526">
            <v>38472</v>
          </cell>
        </row>
        <row r="1527">
          <cell r="B1527" t="str">
            <v>СЛАВТЭК СПМ Количество</v>
          </cell>
          <cell r="D1527">
            <v>5</v>
          </cell>
        </row>
        <row r="1528">
          <cell r="A1528">
            <v>58342452</v>
          </cell>
          <cell r="B1528" t="str">
            <v>СОЛЬВЫЧЕГОД.ТПП ГУДП ДЦРС</v>
          </cell>
          <cell r="C1528" t="str">
            <v>КОТЛАС-ЮЖНЫЙ (СЕВ)</v>
          </cell>
          <cell r="D1528">
            <v>31017</v>
          </cell>
          <cell r="E1528">
            <v>36055</v>
          </cell>
          <cell r="F1528">
            <v>727</v>
          </cell>
          <cell r="H1528">
            <v>0</v>
          </cell>
          <cell r="I1528" t="str">
            <v>кап</v>
          </cell>
          <cell r="J1528">
            <v>36602</v>
          </cell>
        </row>
        <row r="1529">
          <cell r="B1529" t="str">
            <v>СОЛЬВЫЧЕГОД.ТПП ГУДП ДЦРС Количество</v>
          </cell>
          <cell r="D1529">
            <v>1</v>
          </cell>
        </row>
        <row r="1530">
          <cell r="A1530">
            <v>53402103</v>
          </cell>
          <cell r="B1530" t="str">
            <v>СОЮЗ-ГРАНИТ</v>
          </cell>
          <cell r="C1530" t="str">
            <v>ТОРБИНО      (ОКТ)</v>
          </cell>
          <cell r="D1530">
            <v>30012</v>
          </cell>
          <cell r="F1530">
            <v>0</v>
          </cell>
          <cell r="G1530">
            <v>37922</v>
          </cell>
          <cell r="H1530">
            <v>321</v>
          </cell>
          <cell r="I1530" t="str">
            <v>деп</v>
          </cell>
          <cell r="J1530">
            <v>38653</v>
          </cell>
        </row>
        <row r="1531">
          <cell r="B1531" t="str">
            <v>СОЮЗ-ГРАНИТ Количество</v>
          </cell>
          <cell r="D1531">
            <v>1</v>
          </cell>
        </row>
        <row r="1532">
          <cell r="A1532">
            <v>58741109</v>
          </cell>
          <cell r="B1532" t="str">
            <v>СОЮЗТРАНСГРУПП ТРАНСП.КОМП</v>
          </cell>
          <cell r="C1532" t="str">
            <v>УССУРИЙСК    (ДВС)</v>
          </cell>
          <cell r="D1532">
            <v>33390</v>
          </cell>
          <cell r="E1532">
            <v>37793</v>
          </cell>
          <cell r="F1532">
            <v>163</v>
          </cell>
          <cell r="H1532">
            <v>0</v>
          </cell>
          <cell r="I1532" t="str">
            <v>деп</v>
          </cell>
          <cell r="J1532">
            <v>38342</v>
          </cell>
        </row>
        <row r="1533">
          <cell r="B1533" t="str">
            <v>СОЮЗТРАНСГРУПП ТРАНСП.КОМП Количество</v>
          </cell>
          <cell r="D1533">
            <v>1</v>
          </cell>
        </row>
        <row r="1534">
          <cell r="A1534">
            <v>53701884</v>
          </cell>
          <cell r="B1534" t="str">
            <v>С-ПЕТЕРБУРГСК.ТРАНСП.КОМП.</v>
          </cell>
          <cell r="C1534" t="str">
            <v>ЗЕЛЕНОГОРСК  (ОКТ)</v>
          </cell>
          <cell r="D1534">
            <v>33887</v>
          </cell>
          <cell r="E1534">
            <v>35154</v>
          </cell>
          <cell r="F1534">
            <v>0</v>
          </cell>
          <cell r="G1534">
            <v>37680</v>
          </cell>
          <cell r="H1534">
            <v>461</v>
          </cell>
          <cell r="I1534" t="str">
            <v>деп</v>
          </cell>
          <cell r="J1534">
            <v>38776</v>
          </cell>
        </row>
        <row r="1535">
          <cell r="A1535">
            <v>53706875</v>
          </cell>
          <cell r="B1535" t="str">
            <v>С-ПЕТЕРБУРГСК.ТРАНСП.КОМП.</v>
          </cell>
          <cell r="C1535" t="str">
            <v>ЗЕЛЕНОГОРСК  (ОКТ)</v>
          </cell>
          <cell r="D1535">
            <v>32509</v>
          </cell>
          <cell r="E1535">
            <v>37574</v>
          </cell>
          <cell r="F1535">
            <v>609</v>
          </cell>
          <cell r="H1535">
            <v>0</v>
          </cell>
          <cell r="I1535" t="str">
            <v>деп</v>
          </cell>
          <cell r="J1535">
            <v>38305</v>
          </cell>
        </row>
        <row r="1536">
          <cell r="B1536" t="str">
            <v>С-ПЕТЕРБУРГСК.ТРАНСП.КОМП. Количество</v>
          </cell>
          <cell r="D1536">
            <v>2</v>
          </cell>
        </row>
        <row r="1537">
          <cell r="A1537">
            <v>53701264</v>
          </cell>
          <cell r="B1537" t="str">
            <v>СРЕДУРАЛМЕДЬЗАВОД</v>
          </cell>
          <cell r="C1537" t="str">
            <v>РЕВДА        (СВР)</v>
          </cell>
          <cell r="D1537">
            <v>33409</v>
          </cell>
          <cell r="E1537">
            <v>37577</v>
          </cell>
          <cell r="F1537">
            <v>579</v>
          </cell>
          <cell r="I1537" t="str">
            <v>кап</v>
          </cell>
          <cell r="J1537">
            <v>38673</v>
          </cell>
        </row>
        <row r="1538">
          <cell r="A1538">
            <v>58337908</v>
          </cell>
          <cell r="B1538" t="str">
            <v>СРЕДУРАЛМЕДЬЗАВОД</v>
          </cell>
          <cell r="C1538" t="str">
            <v>РЕВДА        (СВР)</v>
          </cell>
          <cell r="D1538">
            <v>33509</v>
          </cell>
          <cell r="E1538">
            <v>37577</v>
          </cell>
          <cell r="F1538">
            <v>579</v>
          </cell>
          <cell r="I1538" t="str">
            <v>деп</v>
          </cell>
          <cell r="J1538">
            <v>38308</v>
          </cell>
        </row>
        <row r="1539">
          <cell r="A1539">
            <v>58337916</v>
          </cell>
          <cell r="B1539" t="str">
            <v>СРЕДУРАЛМЕДЬЗАВОД</v>
          </cell>
          <cell r="C1539" t="str">
            <v>РЕВДА        (СВР)</v>
          </cell>
          <cell r="D1539">
            <v>33509</v>
          </cell>
          <cell r="E1539">
            <v>37577</v>
          </cell>
          <cell r="F1539">
            <v>579</v>
          </cell>
          <cell r="I1539" t="str">
            <v>деп</v>
          </cell>
          <cell r="J1539">
            <v>38308</v>
          </cell>
        </row>
        <row r="1540">
          <cell r="A1540">
            <v>58337924</v>
          </cell>
          <cell r="B1540" t="str">
            <v>СРЕДУРАЛМЕДЬЗАВОД</v>
          </cell>
          <cell r="C1540" t="str">
            <v>РЕВДА        (СВР)</v>
          </cell>
          <cell r="D1540">
            <v>33509</v>
          </cell>
          <cell r="E1540">
            <v>37577</v>
          </cell>
          <cell r="F1540">
            <v>579</v>
          </cell>
          <cell r="I1540" t="str">
            <v>деп</v>
          </cell>
          <cell r="J1540">
            <v>38308</v>
          </cell>
        </row>
        <row r="1541">
          <cell r="A1541">
            <v>58337932</v>
          </cell>
          <cell r="B1541" t="str">
            <v>СРЕДУРАЛМЕДЬЗАВОД</v>
          </cell>
          <cell r="C1541" t="str">
            <v>РЕВДА        (СВР)</v>
          </cell>
          <cell r="D1541">
            <v>33509</v>
          </cell>
          <cell r="E1541">
            <v>37577</v>
          </cell>
          <cell r="F1541">
            <v>579</v>
          </cell>
          <cell r="I1541" t="str">
            <v>деп</v>
          </cell>
          <cell r="J1541">
            <v>38308</v>
          </cell>
        </row>
        <row r="1542">
          <cell r="B1542" t="str">
            <v>СРЕДУРАЛМЕДЬЗАВОД Количество</v>
          </cell>
          <cell r="D1542">
            <v>5</v>
          </cell>
        </row>
        <row r="1543">
          <cell r="A1543">
            <v>53702346</v>
          </cell>
          <cell r="B1543" t="str">
            <v>СУРГУТГАЗПРОМ ЦБПТОИК</v>
          </cell>
          <cell r="C1543" t="str">
            <v>ЧЕРНЫЙ МЫС   (СВР)</v>
          </cell>
          <cell r="D1543">
            <v>34029</v>
          </cell>
          <cell r="E1543">
            <v>37831</v>
          </cell>
          <cell r="F1543">
            <v>819</v>
          </cell>
          <cell r="H1543">
            <v>0</v>
          </cell>
          <cell r="I1543" t="str">
            <v>деп</v>
          </cell>
          <cell r="J1543">
            <v>38381</v>
          </cell>
        </row>
        <row r="1544">
          <cell r="A1544">
            <v>58720624</v>
          </cell>
          <cell r="B1544" t="str">
            <v>СУРГУТГАЗПРОМ ЦБПТОИК</v>
          </cell>
          <cell r="C1544" t="str">
            <v>ЧЕРНЫЙ МЫС   (СВР)</v>
          </cell>
          <cell r="D1544">
            <v>33970</v>
          </cell>
          <cell r="E1544">
            <v>37831</v>
          </cell>
          <cell r="F1544">
            <v>819</v>
          </cell>
          <cell r="H1544">
            <v>0</v>
          </cell>
          <cell r="I1544" t="str">
            <v>деп</v>
          </cell>
          <cell r="J1544">
            <v>38381</v>
          </cell>
        </row>
        <row r="1545">
          <cell r="A1545">
            <v>58720632</v>
          </cell>
          <cell r="B1545" t="str">
            <v>СУРГУТГАЗПРОМ ЦБПТОИК</v>
          </cell>
          <cell r="C1545" t="str">
            <v>ЧЕРНЫЙ МЫС   (СВР)</v>
          </cell>
          <cell r="D1545">
            <v>33970</v>
          </cell>
          <cell r="E1545">
            <v>37831</v>
          </cell>
          <cell r="F1545">
            <v>819</v>
          </cell>
          <cell r="H1545">
            <v>0</v>
          </cell>
          <cell r="I1545" t="str">
            <v>деп</v>
          </cell>
          <cell r="J1545">
            <v>38381</v>
          </cell>
        </row>
        <row r="1546">
          <cell r="A1546">
            <v>58720640</v>
          </cell>
          <cell r="B1546" t="str">
            <v>СУРГУТГАЗПРОМ ЦБПТОИК</v>
          </cell>
          <cell r="C1546" t="str">
            <v>ЧЕРНЫЙ МЫС   (СВР)</v>
          </cell>
          <cell r="D1546">
            <v>33970</v>
          </cell>
          <cell r="E1546">
            <v>37831</v>
          </cell>
          <cell r="F1546">
            <v>819</v>
          </cell>
          <cell r="H1546">
            <v>0</v>
          </cell>
          <cell r="I1546" t="str">
            <v>деп</v>
          </cell>
          <cell r="J1546">
            <v>38381</v>
          </cell>
        </row>
        <row r="1547">
          <cell r="A1547">
            <v>58720657</v>
          </cell>
          <cell r="B1547" t="str">
            <v>СУРГУТГАЗПРОМ ЦБПТОИК</v>
          </cell>
          <cell r="C1547" t="str">
            <v>ЧЕРНЫЙ МЫС   (СВР)</v>
          </cell>
          <cell r="D1547">
            <v>33970</v>
          </cell>
          <cell r="E1547">
            <v>37831</v>
          </cell>
          <cell r="F1547">
            <v>819</v>
          </cell>
          <cell r="H1547">
            <v>0</v>
          </cell>
          <cell r="I1547" t="str">
            <v>деп</v>
          </cell>
          <cell r="J1547">
            <v>38381</v>
          </cell>
        </row>
        <row r="1548">
          <cell r="B1548" t="str">
            <v>СУРГУТГАЗПРОМ ЦБПТОИК Количество</v>
          </cell>
          <cell r="D1548">
            <v>5</v>
          </cell>
        </row>
        <row r="1549">
          <cell r="A1549">
            <v>53702452</v>
          </cell>
          <cell r="B1549" t="str">
            <v>СУРКУЛ</v>
          </cell>
          <cell r="C1549" t="str">
            <v>СУРГУТ       (СВР)</v>
          </cell>
          <cell r="D1549">
            <v>34099</v>
          </cell>
          <cell r="E1549">
            <v>37860</v>
          </cell>
          <cell r="F1549">
            <v>616</v>
          </cell>
          <cell r="H1549">
            <v>0</v>
          </cell>
          <cell r="I1549" t="str">
            <v>кап</v>
          </cell>
          <cell r="J1549">
            <v>38956</v>
          </cell>
        </row>
        <row r="1550">
          <cell r="A1550">
            <v>58720889</v>
          </cell>
          <cell r="B1550" t="str">
            <v>СУРКУЛ</v>
          </cell>
          <cell r="C1550" t="str">
            <v>СУРГУТ       (СВР)</v>
          </cell>
          <cell r="D1550">
            <v>33970</v>
          </cell>
          <cell r="E1550">
            <v>37860</v>
          </cell>
          <cell r="F1550">
            <v>616</v>
          </cell>
          <cell r="H1550">
            <v>0</v>
          </cell>
          <cell r="I1550" t="str">
            <v>деп</v>
          </cell>
          <cell r="J1550">
            <v>38287</v>
          </cell>
        </row>
        <row r="1551">
          <cell r="A1551">
            <v>58720905</v>
          </cell>
          <cell r="B1551" t="str">
            <v>СУРКУЛ</v>
          </cell>
          <cell r="C1551" t="str">
            <v>СУРГУТ       (СВР)</v>
          </cell>
          <cell r="D1551">
            <v>34099</v>
          </cell>
          <cell r="E1551">
            <v>37860</v>
          </cell>
          <cell r="F1551">
            <v>616</v>
          </cell>
          <cell r="H1551">
            <v>0</v>
          </cell>
          <cell r="I1551" t="str">
            <v>деп</v>
          </cell>
          <cell r="J1551">
            <v>38287</v>
          </cell>
        </row>
        <row r="1552">
          <cell r="A1552">
            <v>58720913</v>
          </cell>
          <cell r="B1552" t="str">
            <v>СУРКУЛ</v>
          </cell>
          <cell r="C1552" t="str">
            <v>СУРГУТ       (СВР)</v>
          </cell>
          <cell r="D1552">
            <v>34099</v>
          </cell>
          <cell r="E1552">
            <v>37860</v>
          </cell>
          <cell r="F1552">
            <v>616</v>
          </cell>
          <cell r="H1552">
            <v>0</v>
          </cell>
          <cell r="I1552" t="str">
            <v>деп</v>
          </cell>
          <cell r="J1552">
            <v>38287</v>
          </cell>
        </row>
        <row r="1553">
          <cell r="A1553">
            <v>58720921</v>
          </cell>
          <cell r="B1553" t="str">
            <v>СУРКУЛ</v>
          </cell>
          <cell r="C1553" t="str">
            <v>СУРГУТ       (СВР)</v>
          </cell>
          <cell r="D1553">
            <v>34099</v>
          </cell>
          <cell r="E1553">
            <v>37860</v>
          </cell>
          <cell r="F1553">
            <v>616</v>
          </cell>
          <cell r="H1553">
            <v>0</v>
          </cell>
          <cell r="I1553" t="str">
            <v>деп</v>
          </cell>
          <cell r="J1553">
            <v>38287</v>
          </cell>
        </row>
        <row r="1554">
          <cell r="B1554" t="str">
            <v>СУРКУЛ Количество</v>
          </cell>
          <cell r="D1554">
            <v>5</v>
          </cell>
        </row>
        <row r="1555">
          <cell r="A1555">
            <v>58340431</v>
          </cell>
          <cell r="B1555" t="str">
            <v>СЫКТЫВКАРСК.ЛИКЕРОВОД.З-Д</v>
          </cell>
          <cell r="C1555" t="str">
            <v>СЫКТЫВКАР    (СЕВ)</v>
          </cell>
          <cell r="D1555">
            <v>32958</v>
          </cell>
          <cell r="E1555">
            <v>37222</v>
          </cell>
          <cell r="F1555">
            <v>819</v>
          </cell>
          <cell r="H1555">
            <v>0</v>
          </cell>
          <cell r="I1555" t="str">
            <v>деп</v>
          </cell>
          <cell r="J1555">
            <v>37952</v>
          </cell>
        </row>
        <row r="1556">
          <cell r="B1556" t="str">
            <v>СЫКТЫВКАРСК.ЛИКЕРОВОД.З-Д Количество</v>
          </cell>
          <cell r="D1556">
            <v>1</v>
          </cell>
        </row>
        <row r="1557">
          <cell r="A1557">
            <v>53700985</v>
          </cell>
          <cell r="B1557" t="str">
            <v>ТАГМЕТ</v>
          </cell>
          <cell r="C1557" t="str">
            <v>ТАГАНРОГ     (СКВ)</v>
          </cell>
          <cell r="D1557">
            <v>33359</v>
          </cell>
          <cell r="E1557">
            <v>37881</v>
          </cell>
          <cell r="F1557">
            <v>557</v>
          </cell>
          <cell r="H1557">
            <v>0</v>
          </cell>
          <cell r="I1557" t="str">
            <v>деп</v>
          </cell>
          <cell r="J1557">
            <v>38428</v>
          </cell>
        </row>
        <row r="1558">
          <cell r="B1558" t="str">
            <v>ТАГМЕТ Количество</v>
          </cell>
          <cell r="D1558">
            <v>1</v>
          </cell>
        </row>
        <row r="1559">
          <cell r="A1559">
            <v>58726373</v>
          </cell>
          <cell r="B1559" t="str">
            <v>ТАКСИМОВСКИЙ ТОРГОВЫЙ ДВОР</v>
          </cell>
          <cell r="C1559" t="str">
            <v>КРЕЙДА       (ЮВС)</v>
          </cell>
          <cell r="D1559">
            <v>33420</v>
          </cell>
          <cell r="F1559">
            <v>0</v>
          </cell>
          <cell r="H1559">
            <v>0</v>
          </cell>
          <cell r="I1559" t="str">
            <v>деп</v>
          </cell>
          <cell r="J1559">
            <v>34516</v>
          </cell>
        </row>
        <row r="1560">
          <cell r="A1560">
            <v>58726381</v>
          </cell>
          <cell r="B1560" t="str">
            <v>ТАКСИМОВСКИЙ ТОРГОВЫЙ ДВОР</v>
          </cell>
          <cell r="C1560" t="str">
            <v>КРЕЙДА       (ЮВС)</v>
          </cell>
          <cell r="D1560">
            <v>33420</v>
          </cell>
          <cell r="F1560">
            <v>0</v>
          </cell>
          <cell r="H1560">
            <v>0</v>
          </cell>
          <cell r="I1560" t="str">
            <v>деп</v>
          </cell>
          <cell r="J1560">
            <v>34516</v>
          </cell>
        </row>
        <row r="1561">
          <cell r="A1561">
            <v>58726407</v>
          </cell>
          <cell r="B1561" t="str">
            <v>ТАКСИМОВСКИЙ ТОРГОВЫЙ ДВОР</v>
          </cell>
          <cell r="C1561" t="str">
            <v>КРЕЙДА       (ЮВС)</v>
          </cell>
          <cell r="D1561">
            <v>33420</v>
          </cell>
          <cell r="F1561">
            <v>0</v>
          </cell>
          <cell r="H1561">
            <v>0</v>
          </cell>
          <cell r="I1561" t="str">
            <v>деп</v>
          </cell>
          <cell r="J1561">
            <v>34516</v>
          </cell>
        </row>
        <row r="1562">
          <cell r="A1562">
            <v>58726415</v>
          </cell>
          <cell r="B1562" t="str">
            <v>ТАКСИМОВСКИЙ ТОРГОВЫЙ ДВОР</v>
          </cell>
          <cell r="C1562" t="str">
            <v>КРЕЙДА       (ЮВС)</v>
          </cell>
          <cell r="D1562">
            <v>33420</v>
          </cell>
          <cell r="F1562">
            <v>0</v>
          </cell>
          <cell r="H1562">
            <v>0</v>
          </cell>
          <cell r="I1562" t="str">
            <v>деп</v>
          </cell>
          <cell r="J1562">
            <v>34516</v>
          </cell>
        </row>
        <row r="1563">
          <cell r="B1563" t="str">
            <v>ТАКСИМОВСКИЙ ТОРГОВЫЙ ДВОР Количество</v>
          </cell>
          <cell r="D1563">
            <v>4</v>
          </cell>
        </row>
        <row r="1564">
          <cell r="A1564">
            <v>53400479</v>
          </cell>
          <cell r="B1564" t="str">
            <v>ТЕХНОКОМПЛЕКТЛИЗИНГ</v>
          </cell>
          <cell r="C1564" t="str">
            <v>ХОВРИНО      (ОКТ)</v>
          </cell>
          <cell r="D1564">
            <v>32660</v>
          </cell>
          <cell r="E1564">
            <v>37826</v>
          </cell>
          <cell r="F1564">
            <v>163</v>
          </cell>
          <cell r="H1564">
            <v>0</v>
          </cell>
          <cell r="I1564" t="str">
            <v>деп</v>
          </cell>
          <cell r="J1564">
            <v>38376</v>
          </cell>
        </row>
        <row r="1565">
          <cell r="A1565">
            <v>53400503</v>
          </cell>
          <cell r="B1565" t="str">
            <v>ТЕХНОКОМПЛЕКТЛИЗИНГ</v>
          </cell>
          <cell r="C1565" t="str">
            <v>ХОВРИНО      (ОКТ)</v>
          </cell>
          <cell r="D1565">
            <v>32660</v>
          </cell>
          <cell r="E1565">
            <v>37793</v>
          </cell>
          <cell r="F1565">
            <v>492</v>
          </cell>
          <cell r="H1565">
            <v>0</v>
          </cell>
          <cell r="I1565" t="str">
            <v>деп</v>
          </cell>
          <cell r="J1565">
            <v>38342</v>
          </cell>
        </row>
        <row r="1566">
          <cell r="A1566">
            <v>53400511</v>
          </cell>
          <cell r="B1566" t="str">
            <v>ТЕХНОКОМПЛЕКТЛИЗИНГ</v>
          </cell>
          <cell r="C1566" t="str">
            <v>ХОВРИНО      (ОКТ)</v>
          </cell>
          <cell r="D1566">
            <v>32660</v>
          </cell>
          <cell r="E1566">
            <v>37816</v>
          </cell>
          <cell r="F1566">
            <v>163</v>
          </cell>
          <cell r="H1566">
            <v>0</v>
          </cell>
          <cell r="I1566" t="str">
            <v>деп</v>
          </cell>
          <cell r="J1566">
            <v>38366</v>
          </cell>
        </row>
        <row r="1567">
          <cell r="A1567">
            <v>53400529</v>
          </cell>
          <cell r="B1567" t="str">
            <v>ТЕХНОКОМПЛЕКТЛИЗИНГ</v>
          </cell>
          <cell r="C1567" t="str">
            <v>ХОВРИНО      (ОКТ)</v>
          </cell>
          <cell r="D1567">
            <v>32660</v>
          </cell>
          <cell r="E1567">
            <v>37825</v>
          </cell>
          <cell r="F1567">
            <v>492</v>
          </cell>
          <cell r="H1567">
            <v>0</v>
          </cell>
          <cell r="I1567" t="str">
            <v>деп</v>
          </cell>
          <cell r="J1567">
            <v>38375</v>
          </cell>
        </row>
        <row r="1568">
          <cell r="A1568">
            <v>53400537</v>
          </cell>
          <cell r="B1568" t="str">
            <v>ТЕХНОКОМПЛЕКТЛИЗИНГ</v>
          </cell>
          <cell r="C1568" t="str">
            <v>ХОВРИНО      (ОКТ)</v>
          </cell>
          <cell r="D1568">
            <v>32660</v>
          </cell>
          <cell r="E1568">
            <v>37768</v>
          </cell>
          <cell r="F1568">
            <v>492</v>
          </cell>
          <cell r="H1568">
            <v>0</v>
          </cell>
          <cell r="I1568" t="str">
            <v>деп</v>
          </cell>
          <cell r="J1568">
            <v>38318</v>
          </cell>
        </row>
        <row r="1569">
          <cell r="A1569">
            <v>53400586</v>
          </cell>
          <cell r="B1569" t="str">
            <v>ТЕХНОКОМПЛЕКТЛИЗИНГ</v>
          </cell>
          <cell r="C1569" t="str">
            <v>ХОВРИНО      (ОКТ)</v>
          </cell>
          <cell r="D1569">
            <v>32660</v>
          </cell>
          <cell r="E1569">
            <v>37979</v>
          </cell>
          <cell r="F1569">
            <v>557</v>
          </cell>
          <cell r="H1569">
            <v>0</v>
          </cell>
          <cell r="I1569" t="str">
            <v>кап</v>
          </cell>
          <cell r="J1569">
            <v>38527</v>
          </cell>
        </row>
        <row r="1570">
          <cell r="A1570">
            <v>53400651</v>
          </cell>
          <cell r="B1570" t="str">
            <v>ТЕХНОКОМПЛЕКТЛИЗИНГ</v>
          </cell>
          <cell r="C1570" t="str">
            <v>ХОВРИНО      (ОКТ)</v>
          </cell>
          <cell r="D1570">
            <v>32660</v>
          </cell>
          <cell r="E1570">
            <v>37958</v>
          </cell>
          <cell r="F1570">
            <v>557</v>
          </cell>
          <cell r="H1570">
            <v>0</v>
          </cell>
          <cell r="I1570" t="str">
            <v>кап</v>
          </cell>
          <cell r="J1570">
            <v>38506</v>
          </cell>
        </row>
        <row r="1571">
          <cell r="A1571">
            <v>53400701</v>
          </cell>
          <cell r="B1571" t="str">
            <v>ТЕХНОКОМПЛЕКТЛИЗИНГ</v>
          </cell>
          <cell r="C1571" t="str">
            <v>ХОВРИНО      (ОКТ)</v>
          </cell>
          <cell r="D1571">
            <v>32660</v>
          </cell>
          <cell r="E1571">
            <v>37916</v>
          </cell>
          <cell r="F1571">
            <v>492</v>
          </cell>
          <cell r="H1571">
            <v>0</v>
          </cell>
          <cell r="I1571" t="str">
            <v>деп</v>
          </cell>
          <cell r="J1571">
            <v>38464</v>
          </cell>
        </row>
        <row r="1572">
          <cell r="A1572">
            <v>53705810</v>
          </cell>
          <cell r="B1572" t="str">
            <v>ТЕХНОКОМПЛЕКТЛИЗИНГ</v>
          </cell>
          <cell r="C1572" t="str">
            <v>ХОВРИНО      (ОКТ)</v>
          </cell>
          <cell r="D1572">
            <v>32752</v>
          </cell>
          <cell r="E1572">
            <v>37805</v>
          </cell>
          <cell r="F1572">
            <v>886</v>
          </cell>
          <cell r="H1572">
            <v>0</v>
          </cell>
          <cell r="I1572" t="str">
            <v>деп</v>
          </cell>
          <cell r="J1572">
            <v>38355</v>
          </cell>
        </row>
        <row r="1573">
          <cell r="A1573">
            <v>53705828</v>
          </cell>
          <cell r="B1573" t="str">
            <v>ТЕХНОКОМПЛЕКТЛИЗИНГ</v>
          </cell>
          <cell r="C1573" t="str">
            <v>ХОВРИНО      (ОКТ)</v>
          </cell>
          <cell r="D1573">
            <v>32813</v>
          </cell>
          <cell r="E1573">
            <v>37825</v>
          </cell>
          <cell r="F1573">
            <v>886</v>
          </cell>
          <cell r="H1573">
            <v>0</v>
          </cell>
          <cell r="I1573" t="str">
            <v>деп</v>
          </cell>
          <cell r="J1573">
            <v>38375</v>
          </cell>
        </row>
        <row r="1574">
          <cell r="A1574">
            <v>53705836</v>
          </cell>
          <cell r="B1574" t="str">
            <v>ТЕХНОКОМПЛЕКТЛИЗИНГ</v>
          </cell>
          <cell r="C1574" t="str">
            <v>ХОВРИНО      (ОКТ)</v>
          </cell>
          <cell r="D1574">
            <v>32843</v>
          </cell>
          <cell r="E1574">
            <v>37819</v>
          </cell>
          <cell r="F1574">
            <v>163</v>
          </cell>
          <cell r="H1574">
            <v>0</v>
          </cell>
          <cell r="I1574" t="str">
            <v>деп</v>
          </cell>
          <cell r="J1574">
            <v>38369</v>
          </cell>
        </row>
        <row r="1575">
          <cell r="A1575">
            <v>53705844</v>
          </cell>
          <cell r="B1575" t="str">
            <v>ТЕХНОКОМПЛЕКТЛИЗИНГ</v>
          </cell>
          <cell r="C1575" t="str">
            <v>ХОВРИНО      (ОКТ)</v>
          </cell>
          <cell r="D1575">
            <v>32843</v>
          </cell>
          <cell r="E1575">
            <v>37790</v>
          </cell>
          <cell r="F1575">
            <v>163</v>
          </cell>
          <cell r="H1575">
            <v>0</v>
          </cell>
          <cell r="I1575" t="str">
            <v>деп</v>
          </cell>
          <cell r="J1575">
            <v>38339</v>
          </cell>
        </row>
        <row r="1576">
          <cell r="A1576">
            <v>53705851</v>
          </cell>
          <cell r="B1576" t="str">
            <v>ТЕХНОКОМПЛЕКТЛИЗИНГ</v>
          </cell>
          <cell r="C1576" t="str">
            <v>ХОВРИНО      (ОКТ)</v>
          </cell>
          <cell r="D1576">
            <v>32721</v>
          </cell>
          <cell r="E1576">
            <v>37829</v>
          </cell>
          <cell r="F1576">
            <v>557</v>
          </cell>
          <cell r="H1576">
            <v>0</v>
          </cell>
          <cell r="I1576" t="str">
            <v>деп</v>
          </cell>
          <cell r="J1576">
            <v>38379</v>
          </cell>
        </row>
        <row r="1577">
          <cell r="A1577">
            <v>53705869</v>
          </cell>
          <cell r="B1577" t="str">
            <v>ТЕХНОКОМПЛЕКТЛИЗИНГ</v>
          </cell>
          <cell r="C1577" t="str">
            <v>ХОВРИНО      (ОКТ)</v>
          </cell>
          <cell r="D1577">
            <v>32721</v>
          </cell>
          <cell r="E1577">
            <v>37816</v>
          </cell>
          <cell r="F1577">
            <v>163</v>
          </cell>
          <cell r="H1577">
            <v>0</v>
          </cell>
          <cell r="I1577" t="str">
            <v>деп</v>
          </cell>
          <cell r="J1577">
            <v>38366</v>
          </cell>
        </row>
        <row r="1578">
          <cell r="A1578">
            <v>53705877</v>
          </cell>
          <cell r="B1578" t="str">
            <v>ТЕХНОКОМПЛЕКТЛИЗИНГ</v>
          </cell>
          <cell r="C1578" t="str">
            <v>ХОВРИНО      (ОКТ)</v>
          </cell>
          <cell r="D1578">
            <v>32721</v>
          </cell>
          <cell r="E1578">
            <v>37802</v>
          </cell>
          <cell r="F1578">
            <v>163</v>
          </cell>
          <cell r="H1578">
            <v>0</v>
          </cell>
          <cell r="I1578" t="str">
            <v>деп</v>
          </cell>
          <cell r="J1578">
            <v>38351</v>
          </cell>
        </row>
        <row r="1579">
          <cell r="A1579">
            <v>53705885</v>
          </cell>
          <cell r="B1579" t="str">
            <v>ТЕХНОКОМПЛЕКТЛИЗИНГ</v>
          </cell>
          <cell r="C1579" t="str">
            <v>ХОВРИНО      (ОКТ)</v>
          </cell>
          <cell r="D1579">
            <v>32752</v>
          </cell>
          <cell r="E1579">
            <v>37805</v>
          </cell>
          <cell r="F1579">
            <v>163</v>
          </cell>
          <cell r="H1579">
            <v>0</v>
          </cell>
          <cell r="I1579" t="str">
            <v>деп</v>
          </cell>
          <cell r="J1579">
            <v>38355</v>
          </cell>
        </row>
        <row r="1580">
          <cell r="A1580">
            <v>53705901</v>
          </cell>
          <cell r="B1580" t="str">
            <v>ТЕХНОКОМПЛЕКТЛИЗИНГ</v>
          </cell>
          <cell r="C1580" t="str">
            <v>ХОВРИНО      (ОКТ)</v>
          </cell>
          <cell r="D1580">
            <v>32752</v>
          </cell>
          <cell r="E1580">
            <v>37793</v>
          </cell>
          <cell r="F1580">
            <v>557</v>
          </cell>
          <cell r="H1580">
            <v>0</v>
          </cell>
          <cell r="I1580" t="str">
            <v>деп</v>
          </cell>
          <cell r="J1580">
            <v>38342</v>
          </cell>
        </row>
        <row r="1581">
          <cell r="A1581">
            <v>53705919</v>
          </cell>
          <cell r="B1581" t="str">
            <v>ТЕХНОКОМПЛЕКТЛИЗИНГ</v>
          </cell>
          <cell r="C1581" t="str">
            <v>ХОВРИНО      (ОКТ)</v>
          </cell>
          <cell r="D1581">
            <v>32752</v>
          </cell>
          <cell r="E1581">
            <v>37817</v>
          </cell>
          <cell r="F1581">
            <v>557</v>
          </cell>
          <cell r="H1581">
            <v>0</v>
          </cell>
          <cell r="I1581" t="str">
            <v>деп</v>
          </cell>
          <cell r="J1581">
            <v>38367</v>
          </cell>
        </row>
        <row r="1582">
          <cell r="A1582">
            <v>53705927</v>
          </cell>
          <cell r="B1582" t="str">
            <v>ТЕХНОКОМПЛЕКТЛИЗИНГ</v>
          </cell>
          <cell r="C1582" t="str">
            <v>ХОВРИНО      (ОКТ)</v>
          </cell>
          <cell r="D1582">
            <v>32540</v>
          </cell>
          <cell r="E1582">
            <v>37832</v>
          </cell>
          <cell r="F1582">
            <v>163</v>
          </cell>
          <cell r="H1582">
            <v>0</v>
          </cell>
          <cell r="I1582" t="str">
            <v>деп</v>
          </cell>
          <cell r="J1582">
            <v>38382</v>
          </cell>
        </row>
        <row r="1583">
          <cell r="A1583">
            <v>53705935</v>
          </cell>
          <cell r="B1583" t="str">
            <v>ТЕХНОКОМПЛЕКТЛИЗИНГ</v>
          </cell>
          <cell r="C1583" t="str">
            <v>ХОВРИНО      (ОКТ)</v>
          </cell>
          <cell r="D1583">
            <v>32540</v>
          </cell>
          <cell r="E1583">
            <v>37833</v>
          </cell>
          <cell r="F1583">
            <v>557</v>
          </cell>
          <cell r="H1583">
            <v>0</v>
          </cell>
          <cell r="I1583" t="str">
            <v>деп</v>
          </cell>
          <cell r="J1583">
            <v>38383</v>
          </cell>
        </row>
        <row r="1584">
          <cell r="A1584">
            <v>53705968</v>
          </cell>
          <cell r="B1584" t="str">
            <v>ТЕХНОКОМПЛЕКТЛИЗИНГ</v>
          </cell>
          <cell r="C1584" t="str">
            <v>ХОВРИНО      (ОКТ)</v>
          </cell>
          <cell r="D1584">
            <v>32782</v>
          </cell>
          <cell r="E1584">
            <v>37830</v>
          </cell>
          <cell r="F1584">
            <v>557</v>
          </cell>
          <cell r="H1584">
            <v>0</v>
          </cell>
          <cell r="I1584" t="str">
            <v>деп</v>
          </cell>
          <cell r="J1584">
            <v>38380</v>
          </cell>
        </row>
        <row r="1585">
          <cell r="A1585">
            <v>53705976</v>
          </cell>
          <cell r="B1585" t="str">
            <v>ТЕХНОКОМПЛЕКТЛИЗИНГ</v>
          </cell>
          <cell r="C1585" t="str">
            <v>ХОВРИНО      (ОКТ)</v>
          </cell>
          <cell r="D1585">
            <v>32782</v>
          </cell>
          <cell r="E1585">
            <v>37833</v>
          </cell>
          <cell r="F1585">
            <v>163</v>
          </cell>
          <cell r="H1585">
            <v>0</v>
          </cell>
          <cell r="I1585" t="str">
            <v>деп</v>
          </cell>
          <cell r="J1585">
            <v>38383</v>
          </cell>
        </row>
        <row r="1586">
          <cell r="A1586">
            <v>53706016</v>
          </cell>
          <cell r="B1586" t="str">
            <v>ТЕХНОКОМПЛЕКТЛИЗИНГ</v>
          </cell>
          <cell r="C1586" t="str">
            <v>ХОВРИНО      (ОКТ)</v>
          </cell>
          <cell r="D1586">
            <v>32509</v>
          </cell>
          <cell r="E1586">
            <v>37828</v>
          </cell>
          <cell r="F1586">
            <v>163</v>
          </cell>
          <cell r="H1586">
            <v>0</v>
          </cell>
          <cell r="I1586" t="str">
            <v>кап</v>
          </cell>
          <cell r="J1586">
            <v>38378</v>
          </cell>
        </row>
        <row r="1587">
          <cell r="A1587">
            <v>53706024</v>
          </cell>
          <cell r="B1587" t="str">
            <v>ТЕХНОКОМПЛЕКТЛИЗИНГ</v>
          </cell>
          <cell r="C1587" t="str">
            <v>ХОВРИНО      (ОКТ)</v>
          </cell>
          <cell r="D1587">
            <v>32509</v>
          </cell>
          <cell r="E1587">
            <v>37833</v>
          </cell>
          <cell r="F1587">
            <v>163</v>
          </cell>
          <cell r="H1587">
            <v>0</v>
          </cell>
          <cell r="I1587" t="str">
            <v>кап</v>
          </cell>
          <cell r="J1587">
            <v>38383</v>
          </cell>
        </row>
        <row r="1588">
          <cell r="A1588">
            <v>53706032</v>
          </cell>
          <cell r="B1588" t="str">
            <v>ТЕХНОКОМПЛЕКТЛИЗИНГ</v>
          </cell>
          <cell r="C1588" t="str">
            <v>ХОВРИНО      (ОКТ)</v>
          </cell>
          <cell r="D1588">
            <v>32509</v>
          </cell>
          <cell r="E1588">
            <v>37841</v>
          </cell>
          <cell r="F1588">
            <v>557</v>
          </cell>
          <cell r="H1588">
            <v>0</v>
          </cell>
          <cell r="I1588" t="str">
            <v>кап</v>
          </cell>
          <cell r="J1588">
            <v>38391</v>
          </cell>
        </row>
        <row r="1589">
          <cell r="A1589">
            <v>53706131</v>
          </cell>
          <cell r="B1589" t="str">
            <v>ТЕХНОКОМПЛЕКТЛИЗИНГ</v>
          </cell>
          <cell r="C1589" t="str">
            <v>ХОВРИНО      (ОКТ)</v>
          </cell>
          <cell r="D1589">
            <v>32721</v>
          </cell>
          <cell r="E1589">
            <v>37886</v>
          </cell>
          <cell r="F1589">
            <v>557</v>
          </cell>
          <cell r="H1589">
            <v>0</v>
          </cell>
          <cell r="I1589" t="str">
            <v>деп</v>
          </cell>
          <cell r="J1589">
            <v>38433</v>
          </cell>
        </row>
        <row r="1590">
          <cell r="A1590">
            <v>53706156</v>
          </cell>
          <cell r="B1590" t="str">
            <v>ТЕХНОКОМПЛЕКТЛИЗИНГ</v>
          </cell>
          <cell r="C1590" t="str">
            <v>ХОВРИНО      (ОКТ)</v>
          </cell>
          <cell r="D1590">
            <v>32721</v>
          </cell>
          <cell r="E1590">
            <v>37862</v>
          </cell>
          <cell r="F1590">
            <v>557</v>
          </cell>
          <cell r="H1590">
            <v>0</v>
          </cell>
          <cell r="I1590" t="str">
            <v>деп</v>
          </cell>
          <cell r="J1590">
            <v>38411</v>
          </cell>
        </row>
        <row r="1591">
          <cell r="A1591">
            <v>53706164</v>
          </cell>
          <cell r="B1591" t="str">
            <v>ТЕХНОКОМПЛЕКТЛИЗИНГ</v>
          </cell>
          <cell r="C1591" t="str">
            <v>ХОВРИНО      (ОКТ)</v>
          </cell>
          <cell r="D1591">
            <v>32721</v>
          </cell>
          <cell r="E1591">
            <v>37905</v>
          </cell>
          <cell r="F1591">
            <v>557</v>
          </cell>
          <cell r="H1591">
            <v>0</v>
          </cell>
          <cell r="I1591" t="str">
            <v>деп</v>
          </cell>
          <cell r="J1591">
            <v>38453</v>
          </cell>
        </row>
        <row r="1592">
          <cell r="A1592">
            <v>53706172</v>
          </cell>
          <cell r="B1592" t="str">
            <v>ТЕХНОКОМПЛЕКТЛИЗИНГ</v>
          </cell>
          <cell r="C1592" t="str">
            <v>ХОВРИНО      (ОКТ)</v>
          </cell>
          <cell r="D1592">
            <v>32721</v>
          </cell>
          <cell r="E1592">
            <v>37884</v>
          </cell>
          <cell r="F1592">
            <v>557</v>
          </cell>
          <cell r="H1592">
            <v>0</v>
          </cell>
          <cell r="I1592" t="str">
            <v>деп</v>
          </cell>
          <cell r="J1592">
            <v>38431</v>
          </cell>
        </row>
        <row r="1593">
          <cell r="A1593">
            <v>58720095</v>
          </cell>
          <cell r="B1593" t="str">
            <v>ТЕХНОКОМПЛЕКТЛИЗИНГ</v>
          </cell>
          <cell r="C1593" t="str">
            <v>ХОВРИНО      (ОКТ)</v>
          </cell>
          <cell r="D1593">
            <v>32509</v>
          </cell>
          <cell r="E1593">
            <v>37847</v>
          </cell>
          <cell r="F1593">
            <v>557</v>
          </cell>
          <cell r="H1593">
            <v>0</v>
          </cell>
          <cell r="I1593" t="str">
            <v>кап</v>
          </cell>
          <cell r="J1593">
            <v>38397</v>
          </cell>
        </row>
        <row r="1594">
          <cell r="A1594">
            <v>58720194</v>
          </cell>
          <cell r="B1594" t="str">
            <v>ТЕХНОКОМПЛЕКТЛИЗИНГ</v>
          </cell>
          <cell r="C1594" t="str">
            <v>ХОВРИНО      (ОКТ)</v>
          </cell>
          <cell r="D1594">
            <v>32509</v>
          </cell>
          <cell r="E1594">
            <v>37833</v>
          </cell>
          <cell r="F1594">
            <v>163</v>
          </cell>
          <cell r="H1594">
            <v>0</v>
          </cell>
          <cell r="I1594" t="str">
            <v>кап</v>
          </cell>
          <cell r="J1594">
            <v>38383</v>
          </cell>
        </row>
        <row r="1595">
          <cell r="A1595">
            <v>58720699</v>
          </cell>
          <cell r="B1595" t="str">
            <v>ТЕХНОКОМПЛЕКТЛИЗИНГ</v>
          </cell>
          <cell r="C1595" t="str">
            <v>ХОВРИНО      (ОКТ)</v>
          </cell>
          <cell r="D1595">
            <v>32509</v>
          </cell>
          <cell r="E1595">
            <v>37841</v>
          </cell>
          <cell r="F1595">
            <v>557</v>
          </cell>
          <cell r="H1595">
            <v>0</v>
          </cell>
          <cell r="I1595" t="str">
            <v>кап</v>
          </cell>
          <cell r="J1595">
            <v>38391</v>
          </cell>
        </row>
        <row r="1596">
          <cell r="A1596">
            <v>58720798</v>
          </cell>
          <cell r="B1596" t="str">
            <v>ТЕХНОКОМПЛЕКТЛИЗИНГ</v>
          </cell>
          <cell r="C1596" t="str">
            <v>ХОВРИНО      (ОКТ)</v>
          </cell>
          <cell r="D1596">
            <v>32509</v>
          </cell>
          <cell r="E1596">
            <v>37841</v>
          </cell>
          <cell r="F1596">
            <v>557</v>
          </cell>
          <cell r="H1596">
            <v>0</v>
          </cell>
          <cell r="I1596" t="str">
            <v>кап</v>
          </cell>
          <cell r="J1596">
            <v>38391</v>
          </cell>
        </row>
        <row r="1597">
          <cell r="A1597">
            <v>58720897</v>
          </cell>
          <cell r="B1597" t="str">
            <v>ТЕХНОКОМПЛЕКТЛИЗИНГ</v>
          </cell>
          <cell r="C1597" t="str">
            <v>ХОВРИНО      (ОКТ)</v>
          </cell>
          <cell r="D1597">
            <v>32509</v>
          </cell>
          <cell r="E1597">
            <v>37840</v>
          </cell>
          <cell r="F1597">
            <v>557</v>
          </cell>
          <cell r="H1597">
            <v>0</v>
          </cell>
          <cell r="I1597" t="str">
            <v>деп</v>
          </cell>
          <cell r="J1597">
            <v>37817</v>
          </cell>
        </row>
        <row r="1598">
          <cell r="A1598">
            <v>58720996</v>
          </cell>
          <cell r="B1598" t="str">
            <v>ТЕХНОКОМПЛЕКТЛИЗИНГ</v>
          </cell>
          <cell r="C1598" t="str">
            <v>ХОВРИНО      (ОКТ)</v>
          </cell>
          <cell r="D1598">
            <v>32509</v>
          </cell>
          <cell r="E1598">
            <v>37840</v>
          </cell>
          <cell r="F1598">
            <v>557</v>
          </cell>
          <cell r="H1598">
            <v>0</v>
          </cell>
          <cell r="I1598" t="str">
            <v>деп</v>
          </cell>
          <cell r="J1598">
            <v>37817</v>
          </cell>
        </row>
        <row r="1599">
          <cell r="A1599">
            <v>58722695</v>
          </cell>
          <cell r="B1599" t="str">
            <v>ТЕХНОКОМПЛЕКТЛИЗИНГ</v>
          </cell>
          <cell r="C1599" t="str">
            <v>ХОВРИНО      (ОКТ)</v>
          </cell>
          <cell r="D1599">
            <v>32721</v>
          </cell>
          <cell r="E1599">
            <v>37882</v>
          </cell>
          <cell r="F1599">
            <v>557</v>
          </cell>
          <cell r="H1599">
            <v>0</v>
          </cell>
          <cell r="I1599" t="str">
            <v>деп</v>
          </cell>
          <cell r="J1599">
            <v>38429</v>
          </cell>
        </row>
        <row r="1600">
          <cell r="A1600">
            <v>58722794</v>
          </cell>
          <cell r="B1600" t="str">
            <v>ТЕХНОКОМПЛЕКТЛИЗИНГ</v>
          </cell>
          <cell r="C1600" t="str">
            <v>ХОВРИНО      (ОКТ)</v>
          </cell>
          <cell r="D1600">
            <v>32721</v>
          </cell>
          <cell r="E1600">
            <v>37882</v>
          </cell>
          <cell r="F1600">
            <v>557</v>
          </cell>
          <cell r="H1600">
            <v>0</v>
          </cell>
          <cell r="I1600" t="str">
            <v>деп</v>
          </cell>
          <cell r="J1600">
            <v>38429</v>
          </cell>
        </row>
        <row r="1601">
          <cell r="A1601">
            <v>58722893</v>
          </cell>
          <cell r="B1601" t="str">
            <v>ТЕХНОКОМПЛЕКТЛИЗИНГ</v>
          </cell>
          <cell r="C1601" t="str">
            <v>ХОВРИНО      (ОКТ)</v>
          </cell>
          <cell r="D1601">
            <v>32721</v>
          </cell>
          <cell r="E1601">
            <v>37886</v>
          </cell>
          <cell r="F1601">
            <v>557</v>
          </cell>
          <cell r="H1601">
            <v>0</v>
          </cell>
          <cell r="I1601" t="str">
            <v>деп</v>
          </cell>
          <cell r="J1601">
            <v>38433</v>
          </cell>
        </row>
        <row r="1602">
          <cell r="A1602">
            <v>58722992</v>
          </cell>
          <cell r="B1602" t="str">
            <v>ТЕХНОКОМПЛЕКТЛИЗИНГ</v>
          </cell>
          <cell r="C1602" t="str">
            <v>ХОВРИНО      (ОКТ)</v>
          </cell>
          <cell r="D1602">
            <v>32721</v>
          </cell>
          <cell r="E1602">
            <v>37887</v>
          </cell>
          <cell r="F1602">
            <v>557</v>
          </cell>
          <cell r="H1602">
            <v>0</v>
          </cell>
          <cell r="I1602" t="str">
            <v>деп</v>
          </cell>
          <cell r="J1602">
            <v>38434</v>
          </cell>
        </row>
        <row r="1603">
          <cell r="A1603">
            <v>58723495</v>
          </cell>
          <cell r="B1603" t="str">
            <v>ТЕХНОКОМПЛЕКТЛИЗИНГ</v>
          </cell>
          <cell r="C1603" t="str">
            <v>ХОВРИНО      (ОКТ)</v>
          </cell>
          <cell r="D1603">
            <v>32721</v>
          </cell>
          <cell r="E1603">
            <v>37906</v>
          </cell>
          <cell r="F1603">
            <v>557</v>
          </cell>
          <cell r="H1603">
            <v>0</v>
          </cell>
          <cell r="I1603" t="str">
            <v>деп</v>
          </cell>
          <cell r="J1603">
            <v>38454</v>
          </cell>
        </row>
        <row r="1604">
          <cell r="A1604">
            <v>58723594</v>
          </cell>
          <cell r="B1604" t="str">
            <v>ТЕХНОКОМПЛЕКТЛИЗИНГ</v>
          </cell>
          <cell r="C1604" t="str">
            <v>ХОВРИНО      (ОКТ)</v>
          </cell>
          <cell r="D1604">
            <v>32721</v>
          </cell>
          <cell r="E1604">
            <v>37907</v>
          </cell>
          <cell r="F1604">
            <v>557</v>
          </cell>
          <cell r="H1604">
            <v>0</v>
          </cell>
          <cell r="I1604" t="str">
            <v>деп</v>
          </cell>
          <cell r="J1604">
            <v>38455</v>
          </cell>
        </row>
        <row r="1605">
          <cell r="A1605">
            <v>58723693</v>
          </cell>
          <cell r="B1605" t="str">
            <v>ТЕХНОКОМПЛЕКТЛИЗИНГ</v>
          </cell>
          <cell r="C1605" t="str">
            <v>ХОВРИНО      (ОКТ)</v>
          </cell>
          <cell r="D1605">
            <v>32721</v>
          </cell>
          <cell r="E1605">
            <v>37862</v>
          </cell>
          <cell r="F1605">
            <v>557</v>
          </cell>
          <cell r="H1605">
            <v>0</v>
          </cell>
          <cell r="I1605" t="str">
            <v>деп</v>
          </cell>
          <cell r="J1605">
            <v>38411</v>
          </cell>
        </row>
        <row r="1606">
          <cell r="A1606">
            <v>58723792</v>
          </cell>
          <cell r="B1606" t="str">
            <v>ТЕХНОКОМПЛЕКТЛИЗИНГ</v>
          </cell>
          <cell r="C1606" t="str">
            <v>ХОВРИНО      (ОКТ)</v>
          </cell>
          <cell r="D1606">
            <v>32721</v>
          </cell>
          <cell r="E1606">
            <v>37862</v>
          </cell>
          <cell r="F1606">
            <v>557</v>
          </cell>
          <cell r="H1606">
            <v>0</v>
          </cell>
          <cell r="I1606" t="str">
            <v>деп</v>
          </cell>
          <cell r="J1606">
            <v>38411</v>
          </cell>
        </row>
        <row r="1607">
          <cell r="A1607">
            <v>58723891</v>
          </cell>
          <cell r="B1607" t="str">
            <v>ТЕХНОКОМПЛЕКТЛИЗИНГ</v>
          </cell>
          <cell r="C1607" t="str">
            <v>ХОВРИНО      (ОКТ)</v>
          </cell>
          <cell r="D1607">
            <v>32721</v>
          </cell>
          <cell r="E1607">
            <v>37910</v>
          </cell>
          <cell r="F1607">
            <v>557</v>
          </cell>
          <cell r="H1607">
            <v>0</v>
          </cell>
          <cell r="I1607" t="str">
            <v>деп</v>
          </cell>
          <cell r="J1607">
            <v>38458</v>
          </cell>
        </row>
        <row r="1608">
          <cell r="A1608">
            <v>58723990</v>
          </cell>
          <cell r="B1608" t="str">
            <v>ТЕХНОКОМПЛЕКТЛИЗИНГ</v>
          </cell>
          <cell r="C1608" t="str">
            <v>ХОВРИНО      (ОКТ)</v>
          </cell>
          <cell r="D1608">
            <v>32721</v>
          </cell>
          <cell r="E1608">
            <v>37910</v>
          </cell>
          <cell r="F1608">
            <v>557</v>
          </cell>
          <cell r="H1608">
            <v>0</v>
          </cell>
          <cell r="I1608" t="str">
            <v>деп</v>
          </cell>
          <cell r="J1608">
            <v>38458</v>
          </cell>
        </row>
        <row r="1609">
          <cell r="A1609">
            <v>58724097</v>
          </cell>
          <cell r="B1609" t="str">
            <v>ТЕХНОКОМПЛЕКТЛИЗИНГ</v>
          </cell>
          <cell r="C1609" t="str">
            <v>ХОВРИНО      (ОКТ)</v>
          </cell>
          <cell r="D1609">
            <v>32721</v>
          </cell>
          <cell r="E1609">
            <v>37862</v>
          </cell>
          <cell r="F1609">
            <v>557</v>
          </cell>
          <cell r="H1609">
            <v>0</v>
          </cell>
          <cell r="I1609" t="str">
            <v>деп</v>
          </cell>
          <cell r="J1609">
            <v>38411</v>
          </cell>
        </row>
        <row r="1610">
          <cell r="A1610">
            <v>58724196</v>
          </cell>
          <cell r="B1610" t="str">
            <v>ТЕХНОКОМПЛЕКТЛИЗИНГ</v>
          </cell>
          <cell r="C1610" t="str">
            <v>ХОВРИНО      (ОКТ)</v>
          </cell>
          <cell r="D1610">
            <v>32721</v>
          </cell>
          <cell r="E1610">
            <v>37910</v>
          </cell>
          <cell r="F1610">
            <v>557</v>
          </cell>
          <cell r="H1610">
            <v>0</v>
          </cell>
          <cell r="I1610" t="str">
            <v>деп</v>
          </cell>
          <cell r="J1610">
            <v>38458</v>
          </cell>
        </row>
        <row r="1611">
          <cell r="A1611">
            <v>58724295</v>
          </cell>
          <cell r="B1611" t="str">
            <v>ТЕХНОКОМПЛЕКТЛИЗИНГ</v>
          </cell>
          <cell r="C1611" t="str">
            <v>ХОВРИНО      (ОКТ)</v>
          </cell>
          <cell r="D1611">
            <v>32721</v>
          </cell>
          <cell r="E1611">
            <v>37883</v>
          </cell>
          <cell r="F1611">
            <v>557</v>
          </cell>
          <cell r="H1611">
            <v>0</v>
          </cell>
          <cell r="I1611" t="str">
            <v>деп</v>
          </cell>
          <cell r="J1611">
            <v>38430</v>
          </cell>
        </row>
        <row r="1612">
          <cell r="A1612">
            <v>58724394</v>
          </cell>
          <cell r="B1612" t="str">
            <v>ТЕХНОКОМПЛЕКТЛИЗИНГ</v>
          </cell>
          <cell r="C1612" t="str">
            <v>ХОВРИНО      (ОКТ)</v>
          </cell>
          <cell r="D1612">
            <v>32721</v>
          </cell>
          <cell r="E1612">
            <v>37883</v>
          </cell>
          <cell r="F1612">
            <v>557</v>
          </cell>
          <cell r="H1612">
            <v>0</v>
          </cell>
          <cell r="I1612" t="str">
            <v>деп</v>
          </cell>
          <cell r="J1612">
            <v>38430</v>
          </cell>
        </row>
        <row r="1613">
          <cell r="A1613">
            <v>58724493</v>
          </cell>
          <cell r="B1613" t="str">
            <v>ТЕХНОКОМПЛЕКТЛИЗИНГ</v>
          </cell>
          <cell r="C1613" t="str">
            <v>ХОВРИНО      (ОКТ)</v>
          </cell>
          <cell r="D1613">
            <v>32721</v>
          </cell>
          <cell r="E1613">
            <v>37884</v>
          </cell>
          <cell r="F1613">
            <v>557</v>
          </cell>
          <cell r="H1613">
            <v>0</v>
          </cell>
          <cell r="I1613" t="str">
            <v>деп</v>
          </cell>
          <cell r="J1613">
            <v>38431</v>
          </cell>
        </row>
        <row r="1614">
          <cell r="A1614">
            <v>58724592</v>
          </cell>
          <cell r="B1614" t="str">
            <v>ТЕХНОКОМПЛЕКТЛИЗИНГ</v>
          </cell>
          <cell r="C1614" t="str">
            <v>ХОВРИНО      (ОКТ)</v>
          </cell>
          <cell r="D1614">
            <v>32721</v>
          </cell>
          <cell r="E1614">
            <v>37885</v>
          </cell>
          <cell r="F1614">
            <v>557</v>
          </cell>
          <cell r="H1614">
            <v>0</v>
          </cell>
          <cell r="I1614" t="str">
            <v>деп</v>
          </cell>
          <cell r="J1614">
            <v>38432</v>
          </cell>
        </row>
        <row r="1615">
          <cell r="A1615">
            <v>58725128</v>
          </cell>
          <cell r="B1615" t="str">
            <v>ТЕХНОКОМПЛЕКТЛИЗИНГ</v>
          </cell>
          <cell r="C1615" t="str">
            <v>ХОВРИНО      (ОКТ)</v>
          </cell>
          <cell r="D1615">
            <v>32752</v>
          </cell>
          <cell r="E1615">
            <v>37805</v>
          </cell>
          <cell r="F1615">
            <v>886</v>
          </cell>
          <cell r="H1615">
            <v>0</v>
          </cell>
          <cell r="I1615" t="str">
            <v>деп</v>
          </cell>
          <cell r="J1615">
            <v>38355</v>
          </cell>
        </row>
        <row r="1616">
          <cell r="A1616">
            <v>58725136</v>
          </cell>
          <cell r="B1616" t="str">
            <v>ТЕХНОКОМПЛЕКТЛИЗИНГ</v>
          </cell>
          <cell r="C1616" t="str">
            <v>ХОВРИНО      (ОКТ)</v>
          </cell>
          <cell r="D1616">
            <v>32752</v>
          </cell>
          <cell r="E1616">
            <v>37805</v>
          </cell>
          <cell r="F1616">
            <v>886</v>
          </cell>
          <cell r="H1616">
            <v>0</v>
          </cell>
          <cell r="I1616" t="str">
            <v>деп</v>
          </cell>
          <cell r="J1616">
            <v>38355</v>
          </cell>
        </row>
        <row r="1617">
          <cell r="A1617">
            <v>58725144</v>
          </cell>
          <cell r="B1617" t="str">
            <v>ТЕХНОКОМПЛЕКТЛИЗИНГ</v>
          </cell>
          <cell r="C1617" t="str">
            <v>ХОВРИНО      (ОКТ)</v>
          </cell>
          <cell r="D1617">
            <v>32752</v>
          </cell>
          <cell r="E1617">
            <v>37805</v>
          </cell>
          <cell r="F1617">
            <v>886</v>
          </cell>
          <cell r="H1617">
            <v>0</v>
          </cell>
          <cell r="I1617" t="str">
            <v>деп</v>
          </cell>
          <cell r="J1617">
            <v>38355</v>
          </cell>
        </row>
        <row r="1618">
          <cell r="A1618">
            <v>58725151</v>
          </cell>
          <cell r="B1618" t="str">
            <v>ТЕХНОКОМПЛЕКТЛИЗИНГ</v>
          </cell>
          <cell r="C1618" t="str">
            <v>ХОВРИНО      (ОКТ)</v>
          </cell>
          <cell r="D1618">
            <v>32752</v>
          </cell>
          <cell r="E1618">
            <v>37805</v>
          </cell>
          <cell r="F1618">
            <v>886</v>
          </cell>
          <cell r="H1618">
            <v>0</v>
          </cell>
          <cell r="I1618" t="str">
            <v>деп</v>
          </cell>
          <cell r="J1618">
            <v>38355</v>
          </cell>
        </row>
        <row r="1619">
          <cell r="A1619">
            <v>58725169</v>
          </cell>
          <cell r="B1619" t="str">
            <v>ТЕХНОКОМПЛЕКТЛИЗИНГ</v>
          </cell>
          <cell r="C1619" t="str">
            <v>ХОВРИНО      (ОКТ)</v>
          </cell>
          <cell r="D1619">
            <v>32840</v>
          </cell>
          <cell r="E1619">
            <v>37825</v>
          </cell>
          <cell r="F1619">
            <v>886</v>
          </cell>
          <cell r="H1619">
            <v>0</v>
          </cell>
          <cell r="I1619" t="str">
            <v>деп</v>
          </cell>
          <cell r="J1619">
            <v>38375</v>
          </cell>
        </row>
        <row r="1620">
          <cell r="A1620">
            <v>58725177</v>
          </cell>
          <cell r="B1620" t="str">
            <v>ТЕХНОКОМПЛЕКТЛИЗИНГ</v>
          </cell>
          <cell r="C1620" t="str">
            <v>ХОВРИНО      (ОКТ)</v>
          </cell>
          <cell r="D1620">
            <v>32840</v>
          </cell>
          <cell r="E1620">
            <v>37825</v>
          </cell>
          <cell r="F1620">
            <v>886</v>
          </cell>
          <cell r="H1620">
            <v>0</v>
          </cell>
          <cell r="I1620" t="str">
            <v>деп</v>
          </cell>
          <cell r="J1620">
            <v>38375</v>
          </cell>
        </row>
        <row r="1621">
          <cell r="A1621">
            <v>58725185</v>
          </cell>
          <cell r="B1621" t="str">
            <v>ТЕХНОКОМПЛЕКТЛИЗИНГ</v>
          </cell>
          <cell r="C1621" t="str">
            <v>ХОВРИНО      (ОКТ)</v>
          </cell>
          <cell r="D1621">
            <v>32840</v>
          </cell>
          <cell r="E1621">
            <v>37825</v>
          </cell>
          <cell r="F1621">
            <v>886</v>
          </cell>
          <cell r="H1621">
            <v>0</v>
          </cell>
          <cell r="I1621" t="str">
            <v>деп</v>
          </cell>
          <cell r="J1621">
            <v>38375</v>
          </cell>
        </row>
        <row r="1622">
          <cell r="A1622">
            <v>58725201</v>
          </cell>
          <cell r="B1622" t="str">
            <v>ТЕХНОКОМПЛЕКТЛИЗИНГ</v>
          </cell>
          <cell r="C1622" t="str">
            <v>ХОВРИНО      (ОКТ)</v>
          </cell>
          <cell r="D1622">
            <v>32840</v>
          </cell>
          <cell r="E1622">
            <v>37825</v>
          </cell>
          <cell r="F1622">
            <v>886</v>
          </cell>
          <cell r="H1622">
            <v>0</v>
          </cell>
          <cell r="I1622" t="str">
            <v>деп</v>
          </cell>
          <cell r="J1622">
            <v>38375</v>
          </cell>
        </row>
        <row r="1623">
          <cell r="A1623">
            <v>58725219</v>
          </cell>
          <cell r="B1623" t="str">
            <v>ТЕХНОКОМПЛЕКТЛИЗИНГ</v>
          </cell>
          <cell r="C1623" t="str">
            <v>ХОВРИНО      (ОКТ)</v>
          </cell>
          <cell r="D1623">
            <v>32843</v>
          </cell>
          <cell r="E1623">
            <v>37819</v>
          </cell>
          <cell r="F1623">
            <v>163</v>
          </cell>
          <cell r="H1623">
            <v>0</v>
          </cell>
          <cell r="I1623" t="str">
            <v>деп</v>
          </cell>
          <cell r="J1623">
            <v>38369</v>
          </cell>
        </row>
        <row r="1624">
          <cell r="A1624">
            <v>58725227</v>
          </cell>
          <cell r="B1624" t="str">
            <v>ТЕХНОКОМПЛЕКТЛИЗИНГ</v>
          </cell>
          <cell r="C1624" t="str">
            <v>ХОВРИНО      (ОКТ)</v>
          </cell>
          <cell r="D1624">
            <v>32843</v>
          </cell>
          <cell r="E1624">
            <v>37819</v>
          </cell>
          <cell r="F1624">
            <v>163</v>
          </cell>
          <cell r="H1624">
            <v>0</v>
          </cell>
          <cell r="I1624" t="str">
            <v>деп</v>
          </cell>
          <cell r="J1624">
            <v>38369</v>
          </cell>
        </row>
        <row r="1625">
          <cell r="A1625">
            <v>58725235</v>
          </cell>
          <cell r="B1625" t="str">
            <v>ТЕХНОКОМПЛЕКТЛИЗИНГ</v>
          </cell>
          <cell r="C1625" t="str">
            <v>ХОВРИНО      (ОКТ)</v>
          </cell>
          <cell r="D1625">
            <v>32843</v>
          </cell>
          <cell r="E1625">
            <v>37819</v>
          </cell>
          <cell r="F1625">
            <v>163</v>
          </cell>
          <cell r="H1625">
            <v>0</v>
          </cell>
          <cell r="I1625" t="str">
            <v>деп</v>
          </cell>
          <cell r="J1625">
            <v>38369</v>
          </cell>
        </row>
        <row r="1626">
          <cell r="A1626">
            <v>58725243</v>
          </cell>
          <cell r="B1626" t="str">
            <v>ТЕХНОКОМПЛЕКТЛИЗИНГ</v>
          </cell>
          <cell r="C1626" t="str">
            <v>ХОВРИНО      (ОКТ)</v>
          </cell>
          <cell r="D1626">
            <v>32843</v>
          </cell>
          <cell r="E1626">
            <v>37819</v>
          </cell>
          <cell r="F1626">
            <v>163</v>
          </cell>
          <cell r="H1626">
            <v>0</v>
          </cell>
          <cell r="I1626" t="str">
            <v>деп</v>
          </cell>
          <cell r="J1626">
            <v>38369</v>
          </cell>
        </row>
        <row r="1627">
          <cell r="A1627">
            <v>58725250</v>
          </cell>
          <cell r="B1627" t="str">
            <v>ТЕХНОКОМПЛЕКТЛИЗИНГ</v>
          </cell>
          <cell r="C1627" t="str">
            <v>ХОВРИНО      (ОКТ)</v>
          </cell>
          <cell r="D1627">
            <v>32843</v>
          </cell>
          <cell r="E1627">
            <v>37790</v>
          </cell>
          <cell r="F1627">
            <v>163</v>
          </cell>
          <cell r="H1627">
            <v>0</v>
          </cell>
          <cell r="I1627" t="str">
            <v>деп</v>
          </cell>
          <cell r="J1627">
            <v>38339</v>
          </cell>
        </row>
        <row r="1628">
          <cell r="A1628">
            <v>58725268</v>
          </cell>
          <cell r="B1628" t="str">
            <v>ТЕХНОКОМПЛЕКТЛИЗИНГ</v>
          </cell>
          <cell r="C1628" t="str">
            <v>ХОВРИНО      (ОКТ)</v>
          </cell>
          <cell r="D1628">
            <v>32843</v>
          </cell>
          <cell r="E1628">
            <v>37790</v>
          </cell>
          <cell r="F1628">
            <v>163</v>
          </cell>
          <cell r="H1628">
            <v>0</v>
          </cell>
          <cell r="I1628" t="str">
            <v>деп</v>
          </cell>
          <cell r="J1628">
            <v>38339</v>
          </cell>
        </row>
        <row r="1629">
          <cell r="A1629">
            <v>58725276</v>
          </cell>
          <cell r="B1629" t="str">
            <v>ТЕХНОКОМПЛЕКТЛИЗИНГ</v>
          </cell>
          <cell r="C1629" t="str">
            <v>ХОВРИНО      (ОКТ)</v>
          </cell>
          <cell r="D1629">
            <v>32843</v>
          </cell>
          <cell r="E1629">
            <v>37790</v>
          </cell>
          <cell r="F1629">
            <v>163</v>
          </cell>
          <cell r="H1629">
            <v>0</v>
          </cell>
          <cell r="I1629" t="str">
            <v>деп</v>
          </cell>
          <cell r="J1629">
            <v>38339</v>
          </cell>
        </row>
        <row r="1630">
          <cell r="A1630">
            <v>58725284</v>
          </cell>
          <cell r="B1630" t="str">
            <v>ТЕХНОКОМПЛЕКТЛИЗИНГ</v>
          </cell>
          <cell r="C1630" t="str">
            <v>ХОВРИНО      (ОКТ)</v>
          </cell>
          <cell r="D1630">
            <v>32843</v>
          </cell>
          <cell r="E1630">
            <v>37790</v>
          </cell>
          <cell r="F1630">
            <v>163</v>
          </cell>
          <cell r="H1630">
            <v>0</v>
          </cell>
          <cell r="I1630" t="str">
            <v>деп</v>
          </cell>
          <cell r="J1630">
            <v>38339</v>
          </cell>
        </row>
        <row r="1631">
          <cell r="A1631">
            <v>58725342</v>
          </cell>
          <cell r="B1631" t="str">
            <v>ТЕХНОКОМПЛЕКТЛИЗИНГ</v>
          </cell>
          <cell r="C1631" t="str">
            <v>ХОВРИНО      (ОКТ)</v>
          </cell>
          <cell r="D1631">
            <v>32752</v>
          </cell>
          <cell r="E1631">
            <v>37817</v>
          </cell>
          <cell r="F1631">
            <v>557</v>
          </cell>
          <cell r="H1631">
            <v>0</v>
          </cell>
          <cell r="I1631" t="str">
            <v>деп</v>
          </cell>
          <cell r="J1631">
            <v>38367</v>
          </cell>
        </row>
        <row r="1632">
          <cell r="A1632">
            <v>58725359</v>
          </cell>
          <cell r="B1632" t="str">
            <v>ТЕХНОКОМПЛЕКТЛИЗИНГ</v>
          </cell>
          <cell r="C1632" t="str">
            <v>ХОВРИНО      (ОКТ)</v>
          </cell>
          <cell r="D1632">
            <v>32721</v>
          </cell>
          <cell r="E1632">
            <v>37829</v>
          </cell>
          <cell r="F1632">
            <v>557</v>
          </cell>
          <cell r="H1632">
            <v>0</v>
          </cell>
          <cell r="I1632" t="str">
            <v>деп</v>
          </cell>
          <cell r="J1632">
            <v>38379</v>
          </cell>
        </row>
        <row r="1633">
          <cell r="A1633">
            <v>58725367</v>
          </cell>
          <cell r="B1633" t="str">
            <v>ТЕХНОКОМПЛЕКТЛИЗИНГ</v>
          </cell>
          <cell r="C1633" t="str">
            <v>ХОВРИНО      (ОКТ)</v>
          </cell>
          <cell r="D1633">
            <v>32721</v>
          </cell>
          <cell r="E1633">
            <v>37829</v>
          </cell>
          <cell r="F1633">
            <v>557</v>
          </cell>
          <cell r="H1633">
            <v>0</v>
          </cell>
          <cell r="I1633" t="str">
            <v>деп</v>
          </cell>
          <cell r="J1633">
            <v>38379</v>
          </cell>
        </row>
        <row r="1634">
          <cell r="A1634">
            <v>58725375</v>
          </cell>
          <cell r="B1634" t="str">
            <v>ТЕХНОКОМПЛЕКТЛИЗИНГ</v>
          </cell>
          <cell r="C1634" t="str">
            <v>ХОВРИНО      (ОКТ)</v>
          </cell>
          <cell r="D1634">
            <v>32721</v>
          </cell>
          <cell r="E1634">
            <v>37829</v>
          </cell>
          <cell r="F1634">
            <v>557</v>
          </cell>
          <cell r="H1634">
            <v>0</v>
          </cell>
          <cell r="I1634" t="str">
            <v>деп</v>
          </cell>
          <cell r="J1634">
            <v>38379</v>
          </cell>
        </row>
        <row r="1635">
          <cell r="A1635">
            <v>58725383</v>
          </cell>
          <cell r="B1635" t="str">
            <v>ТЕХНОКОМПЛЕКТЛИЗИНГ</v>
          </cell>
          <cell r="C1635" t="str">
            <v>ХОВРИНО      (ОКТ)</v>
          </cell>
          <cell r="D1635">
            <v>32721</v>
          </cell>
          <cell r="E1635">
            <v>37829</v>
          </cell>
          <cell r="F1635">
            <v>557</v>
          </cell>
          <cell r="H1635">
            <v>0</v>
          </cell>
          <cell r="I1635" t="str">
            <v>деп</v>
          </cell>
          <cell r="J1635">
            <v>38379</v>
          </cell>
        </row>
        <row r="1636">
          <cell r="A1636">
            <v>58725409</v>
          </cell>
          <cell r="B1636" t="str">
            <v>ТЕХНОКОМПЛЕКТЛИЗИНГ</v>
          </cell>
          <cell r="C1636" t="str">
            <v>ХОВРИНО      (ОКТ)</v>
          </cell>
          <cell r="D1636">
            <v>32721</v>
          </cell>
          <cell r="E1636">
            <v>37816</v>
          </cell>
          <cell r="F1636">
            <v>163</v>
          </cell>
          <cell r="H1636">
            <v>0</v>
          </cell>
          <cell r="I1636" t="str">
            <v>деп</v>
          </cell>
          <cell r="J1636">
            <v>38366</v>
          </cell>
        </row>
        <row r="1637">
          <cell r="A1637">
            <v>58725417</v>
          </cell>
          <cell r="B1637" t="str">
            <v>ТЕХНОКОМПЛЕКТЛИЗИНГ</v>
          </cell>
          <cell r="C1637" t="str">
            <v>ХОВРИНО      (ОКТ)</v>
          </cell>
          <cell r="D1637">
            <v>32721</v>
          </cell>
          <cell r="E1637">
            <v>37816</v>
          </cell>
          <cell r="F1637">
            <v>163</v>
          </cell>
          <cell r="H1637">
            <v>0</v>
          </cell>
          <cell r="I1637" t="str">
            <v>деп</v>
          </cell>
          <cell r="J1637">
            <v>38366</v>
          </cell>
        </row>
        <row r="1638">
          <cell r="A1638">
            <v>58725425</v>
          </cell>
          <cell r="B1638" t="str">
            <v>ТЕХНОКОМПЛЕКТЛИЗИНГ</v>
          </cell>
          <cell r="C1638" t="str">
            <v>ХОВРИНО      (ОКТ)</v>
          </cell>
          <cell r="D1638">
            <v>32721</v>
          </cell>
          <cell r="E1638">
            <v>37816</v>
          </cell>
          <cell r="F1638">
            <v>163</v>
          </cell>
          <cell r="H1638">
            <v>0</v>
          </cell>
          <cell r="I1638" t="str">
            <v>деп</v>
          </cell>
          <cell r="J1638">
            <v>38366</v>
          </cell>
        </row>
        <row r="1639">
          <cell r="A1639">
            <v>58725433</v>
          </cell>
          <cell r="B1639" t="str">
            <v>ТЕХНОКОМПЛЕКТЛИЗИНГ</v>
          </cell>
          <cell r="C1639" t="str">
            <v>ХОВРИНО      (ОКТ)</v>
          </cell>
          <cell r="D1639">
            <v>32721</v>
          </cell>
          <cell r="E1639">
            <v>37816</v>
          </cell>
          <cell r="F1639">
            <v>163</v>
          </cell>
          <cell r="H1639">
            <v>0</v>
          </cell>
          <cell r="I1639" t="str">
            <v>деп</v>
          </cell>
          <cell r="J1639">
            <v>38366</v>
          </cell>
        </row>
        <row r="1640">
          <cell r="A1640">
            <v>58725441</v>
          </cell>
          <cell r="B1640" t="str">
            <v>ТЕХНОКОМПЛЕКТЛИЗИНГ</v>
          </cell>
          <cell r="C1640" t="str">
            <v>ХОВРИНО      (ОКТ)</v>
          </cell>
          <cell r="D1640">
            <v>32721</v>
          </cell>
          <cell r="E1640">
            <v>37802</v>
          </cell>
          <cell r="F1640">
            <v>163</v>
          </cell>
          <cell r="H1640">
            <v>0</v>
          </cell>
          <cell r="I1640" t="str">
            <v>деп</v>
          </cell>
          <cell r="J1640">
            <v>38351</v>
          </cell>
        </row>
        <row r="1641">
          <cell r="A1641">
            <v>58725458</v>
          </cell>
          <cell r="B1641" t="str">
            <v>ТЕХНОКОМПЛЕКТЛИЗИНГ</v>
          </cell>
          <cell r="C1641" t="str">
            <v>ХОВРИНО      (ОКТ)</v>
          </cell>
          <cell r="D1641">
            <v>32721</v>
          </cell>
          <cell r="E1641">
            <v>37802</v>
          </cell>
          <cell r="F1641">
            <v>163</v>
          </cell>
          <cell r="H1641">
            <v>0</v>
          </cell>
          <cell r="I1641" t="str">
            <v>деп</v>
          </cell>
          <cell r="J1641">
            <v>38351</v>
          </cell>
        </row>
        <row r="1642">
          <cell r="A1642">
            <v>58725466</v>
          </cell>
          <cell r="B1642" t="str">
            <v>ТЕХНОКОМПЛЕКТЛИЗИНГ</v>
          </cell>
          <cell r="C1642" t="str">
            <v>ХОВРИНО      (ОКТ)</v>
          </cell>
          <cell r="D1642">
            <v>32721</v>
          </cell>
          <cell r="E1642">
            <v>37802</v>
          </cell>
          <cell r="F1642">
            <v>163</v>
          </cell>
          <cell r="H1642">
            <v>0</v>
          </cell>
          <cell r="I1642" t="str">
            <v>деп</v>
          </cell>
          <cell r="J1642">
            <v>38351</v>
          </cell>
        </row>
        <row r="1643">
          <cell r="A1643">
            <v>58725474</v>
          </cell>
          <cell r="B1643" t="str">
            <v>ТЕХНОКОМПЛЕКТЛИЗИНГ</v>
          </cell>
          <cell r="C1643" t="str">
            <v>ХОВРИНО      (ОКТ)</v>
          </cell>
          <cell r="D1643">
            <v>32721</v>
          </cell>
          <cell r="E1643">
            <v>37802</v>
          </cell>
          <cell r="F1643">
            <v>163</v>
          </cell>
          <cell r="H1643">
            <v>0</v>
          </cell>
          <cell r="I1643" t="str">
            <v>деп</v>
          </cell>
          <cell r="J1643">
            <v>38351</v>
          </cell>
        </row>
        <row r="1644">
          <cell r="A1644">
            <v>58725482</v>
          </cell>
          <cell r="B1644" t="str">
            <v>ТЕХНОКОМПЛЕКТЛИЗИНГ</v>
          </cell>
          <cell r="C1644" t="str">
            <v>ХОВРИНО      (ОКТ)</v>
          </cell>
          <cell r="D1644">
            <v>32752</v>
          </cell>
          <cell r="E1644">
            <v>37805</v>
          </cell>
          <cell r="F1644">
            <v>163</v>
          </cell>
          <cell r="H1644">
            <v>0</v>
          </cell>
          <cell r="I1644" t="str">
            <v>деп</v>
          </cell>
          <cell r="J1644">
            <v>38355</v>
          </cell>
        </row>
        <row r="1645">
          <cell r="A1645">
            <v>58725508</v>
          </cell>
          <cell r="B1645" t="str">
            <v>ТЕХНОКОМПЛЕКТЛИЗИНГ</v>
          </cell>
          <cell r="C1645" t="str">
            <v>ХОВРИНО      (ОКТ)</v>
          </cell>
          <cell r="D1645">
            <v>32752</v>
          </cell>
          <cell r="E1645">
            <v>37805</v>
          </cell>
          <cell r="F1645">
            <v>163</v>
          </cell>
          <cell r="H1645">
            <v>0</v>
          </cell>
          <cell r="I1645" t="str">
            <v>деп</v>
          </cell>
          <cell r="J1645">
            <v>38355</v>
          </cell>
        </row>
        <row r="1646">
          <cell r="A1646">
            <v>58725516</v>
          </cell>
          <cell r="B1646" t="str">
            <v>ТЕХНОКОМПЛЕКТЛИЗИНГ</v>
          </cell>
          <cell r="C1646" t="str">
            <v>ХОВРИНО      (ОКТ)</v>
          </cell>
          <cell r="D1646">
            <v>32752</v>
          </cell>
          <cell r="E1646">
            <v>37805</v>
          </cell>
          <cell r="F1646">
            <v>163</v>
          </cell>
          <cell r="H1646">
            <v>0</v>
          </cell>
          <cell r="I1646" t="str">
            <v>деп</v>
          </cell>
          <cell r="J1646">
            <v>38355</v>
          </cell>
        </row>
        <row r="1647">
          <cell r="A1647">
            <v>58725524</v>
          </cell>
          <cell r="B1647" t="str">
            <v>ТЕХНОКОМПЛЕКТЛИЗИНГ</v>
          </cell>
          <cell r="C1647" t="str">
            <v>ХОВРИНО      (ОКТ)</v>
          </cell>
          <cell r="D1647">
            <v>32752</v>
          </cell>
          <cell r="E1647">
            <v>37805</v>
          </cell>
          <cell r="F1647">
            <v>163</v>
          </cell>
          <cell r="H1647">
            <v>0</v>
          </cell>
          <cell r="I1647" t="str">
            <v>деп</v>
          </cell>
          <cell r="J1647">
            <v>38355</v>
          </cell>
        </row>
        <row r="1648">
          <cell r="A1648">
            <v>58725532</v>
          </cell>
          <cell r="B1648" t="str">
            <v>ТЕХНОКОМПЛЕКТЛИЗИНГ</v>
          </cell>
          <cell r="C1648" t="str">
            <v>ХОВРИНО      (ОКТ)</v>
          </cell>
          <cell r="D1648">
            <v>32752</v>
          </cell>
          <cell r="E1648">
            <v>37793</v>
          </cell>
          <cell r="F1648">
            <v>557</v>
          </cell>
          <cell r="H1648">
            <v>0</v>
          </cell>
          <cell r="I1648" t="str">
            <v>деп</v>
          </cell>
          <cell r="J1648">
            <v>38342</v>
          </cell>
        </row>
        <row r="1649">
          <cell r="A1649">
            <v>58725540</v>
          </cell>
          <cell r="B1649" t="str">
            <v>ТЕХНОКОМПЛЕКТЛИЗИНГ</v>
          </cell>
          <cell r="C1649" t="str">
            <v>ХОВРИНО      (ОКТ)</v>
          </cell>
          <cell r="D1649">
            <v>32752</v>
          </cell>
          <cell r="E1649">
            <v>37793</v>
          </cell>
          <cell r="F1649">
            <v>557</v>
          </cell>
          <cell r="H1649">
            <v>0</v>
          </cell>
          <cell r="I1649" t="str">
            <v>деп</v>
          </cell>
          <cell r="J1649">
            <v>38342</v>
          </cell>
        </row>
        <row r="1650">
          <cell r="A1650">
            <v>58729401</v>
          </cell>
          <cell r="B1650" t="str">
            <v>ТЕХНОКОМПЛЕКТЛИЗИНГ</v>
          </cell>
          <cell r="C1650" t="str">
            <v>ХОВРИНО      (ОКТ)</v>
          </cell>
          <cell r="D1650">
            <v>32752</v>
          </cell>
          <cell r="E1650">
            <v>37793</v>
          </cell>
          <cell r="F1650">
            <v>557</v>
          </cell>
          <cell r="H1650">
            <v>0</v>
          </cell>
          <cell r="I1650" t="str">
            <v>деп</v>
          </cell>
          <cell r="J1650">
            <v>38342</v>
          </cell>
        </row>
        <row r="1651">
          <cell r="A1651">
            <v>58729419</v>
          </cell>
          <cell r="B1651" t="str">
            <v>ТЕХНОКОМПЛЕКТЛИЗИНГ</v>
          </cell>
          <cell r="C1651" t="str">
            <v>ХОВРИНО      (ОКТ)</v>
          </cell>
          <cell r="D1651">
            <v>32752</v>
          </cell>
          <cell r="E1651">
            <v>37793</v>
          </cell>
          <cell r="F1651">
            <v>557</v>
          </cell>
          <cell r="H1651">
            <v>0</v>
          </cell>
          <cell r="I1651" t="str">
            <v>деп</v>
          </cell>
          <cell r="J1651">
            <v>38342</v>
          </cell>
        </row>
        <row r="1652">
          <cell r="A1652">
            <v>58729427</v>
          </cell>
          <cell r="B1652" t="str">
            <v>ТЕХНОКОМПЛЕКТЛИЗИНГ</v>
          </cell>
          <cell r="C1652" t="str">
            <v>ХОВРИНО      (ОКТ)</v>
          </cell>
          <cell r="D1652">
            <v>32752</v>
          </cell>
          <cell r="E1652">
            <v>37816</v>
          </cell>
          <cell r="F1652">
            <v>557</v>
          </cell>
          <cell r="H1652">
            <v>0</v>
          </cell>
          <cell r="I1652" t="str">
            <v>деп</v>
          </cell>
          <cell r="J1652">
            <v>38366</v>
          </cell>
        </row>
        <row r="1653">
          <cell r="A1653">
            <v>58729435</v>
          </cell>
          <cell r="B1653" t="str">
            <v>ТЕХНОКОМПЛЕКТЛИЗИНГ</v>
          </cell>
          <cell r="C1653" t="str">
            <v>ХОВРИНО      (ОКТ)</v>
          </cell>
          <cell r="D1653">
            <v>32752</v>
          </cell>
          <cell r="E1653">
            <v>37816</v>
          </cell>
          <cell r="F1653">
            <v>557</v>
          </cell>
          <cell r="H1653">
            <v>0</v>
          </cell>
          <cell r="I1653" t="str">
            <v>деп</v>
          </cell>
          <cell r="J1653">
            <v>38366</v>
          </cell>
        </row>
        <row r="1654">
          <cell r="A1654">
            <v>58729443</v>
          </cell>
          <cell r="B1654" t="str">
            <v>ТЕХНОКОМПЛЕКТЛИЗИНГ</v>
          </cell>
          <cell r="C1654" t="str">
            <v>ХОВРИНО      (ОКТ)</v>
          </cell>
          <cell r="D1654">
            <v>32752</v>
          </cell>
          <cell r="E1654">
            <v>37817</v>
          </cell>
          <cell r="F1654">
            <v>557</v>
          </cell>
          <cell r="H1654">
            <v>0</v>
          </cell>
          <cell r="I1654" t="str">
            <v>деп</v>
          </cell>
          <cell r="J1654">
            <v>38367</v>
          </cell>
        </row>
        <row r="1655">
          <cell r="A1655">
            <v>58729500</v>
          </cell>
          <cell r="B1655" t="str">
            <v>ТЕХНОКОМПЛЕКТЛИЗИНГ</v>
          </cell>
          <cell r="C1655" t="str">
            <v>ХОВРИНО      (ОКТ)</v>
          </cell>
          <cell r="D1655">
            <v>32540</v>
          </cell>
          <cell r="E1655">
            <v>37832</v>
          </cell>
          <cell r="F1655">
            <v>163</v>
          </cell>
          <cell r="H1655">
            <v>0</v>
          </cell>
          <cell r="I1655" t="str">
            <v>деп</v>
          </cell>
          <cell r="J1655">
            <v>38382</v>
          </cell>
        </row>
        <row r="1656">
          <cell r="A1656">
            <v>58729518</v>
          </cell>
          <cell r="B1656" t="str">
            <v>ТЕХНОКОМПЛЕКТЛИЗИНГ</v>
          </cell>
          <cell r="C1656" t="str">
            <v>ХОВРИНО      (ОКТ)</v>
          </cell>
          <cell r="D1656">
            <v>32540</v>
          </cell>
          <cell r="E1656">
            <v>37832</v>
          </cell>
          <cell r="F1656">
            <v>163</v>
          </cell>
          <cell r="H1656">
            <v>0</v>
          </cell>
          <cell r="I1656" t="str">
            <v>деп</v>
          </cell>
          <cell r="J1656">
            <v>38382</v>
          </cell>
        </row>
        <row r="1657">
          <cell r="A1657">
            <v>58729526</v>
          </cell>
          <cell r="B1657" t="str">
            <v>ТЕХНОКОМПЛЕКТЛИЗИНГ</v>
          </cell>
          <cell r="C1657" t="str">
            <v>ХОВРИНО      (ОКТ)</v>
          </cell>
          <cell r="D1657">
            <v>32540</v>
          </cell>
          <cell r="E1657">
            <v>37832</v>
          </cell>
          <cell r="F1657">
            <v>163</v>
          </cell>
          <cell r="H1657">
            <v>0</v>
          </cell>
          <cell r="I1657" t="str">
            <v>деп</v>
          </cell>
          <cell r="J1657">
            <v>38382</v>
          </cell>
        </row>
        <row r="1658">
          <cell r="A1658">
            <v>58729534</v>
          </cell>
          <cell r="B1658" t="str">
            <v>ТЕХНОКОМПЛЕКТЛИЗИНГ</v>
          </cell>
          <cell r="C1658" t="str">
            <v>ХОВРИНО      (ОКТ)</v>
          </cell>
          <cell r="D1658">
            <v>32540</v>
          </cell>
          <cell r="E1658">
            <v>37832</v>
          </cell>
          <cell r="F1658">
            <v>163</v>
          </cell>
          <cell r="H1658">
            <v>0</v>
          </cell>
          <cell r="I1658" t="str">
            <v>деп</v>
          </cell>
          <cell r="J1658">
            <v>38382</v>
          </cell>
        </row>
        <row r="1659">
          <cell r="A1659">
            <v>58729542</v>
          </cell>
          <cell r="B1659" t="str">
            <v>ТЕХНОКОМПЛЕКТЛИЗИНГ</v>
          </cell>
          <cell r="C1659" t="str">
            <v>ХОВРИНО      (ОКТ)</v>
          </cell>
          <cell r="D1659">
            <v>32540</v>
          </cell>
          <cell r="E1659">
            <v>37832</v>
          </cell>
          <cell r="F1659">
            <v>557</v>
          </cell>
          <cell r="H1659">
            <v>0</v>
          </cell>
          <cell r="I1659" t="str">
            <v>деп</v>
          </cell>
          <cell r="J1659">
            <v>38382</v>
          </cell>
        </row>
        <row r="1660">
          <cell r="A1660">
            <v>58729559</v>
          </cell>
          <cell r="B1660" t="str">
            <v>ТЕХНОКОМПЛЕКТЛИЗИНГ</v>
          </cell>
          <cell r="C1660" t="str">
            <v>ХОВРИНО      (ОКТ)</v>
          </cell>
          <cell r="D1660">
            <v>32540</v>
          </cell>
          <cell r="E1660">
            <v>37832</v>
          </cell>
          <cell r="F1660">
            <v>557</v>
          </cell>
          <cell r="H1660">
            <v>0</v>
          </cell>
          <cell r="I1660" t="str">
            <v>деп</v>
          </cell>
          <cell r="J1660">
            <v>38382</v>
          </cell>
        </row>
        <row r="1661">
          <cell r="A1661">
            <v>58729567</v>
          </cell>
          <cell r="B1661" t="str">
            <v>ТЕХНОКОМПЛЕКТЛИЗИНГ</v>
          </cell>
          <cell r="C1661" t="str">
            <v>ХОВРИНО      (ОКТ)</v>
          </cell>
          <cell r="D1661">
            <v>32540</v>
          </cell>
          <cell r="E1661">
            <v>37833</v>
          </cell>
          <cell r="F1661">
            <v>557</v>
          </cell>
          <cell r="H1661">
            <v>0</v>
          </cell>
          <cell r="I1661" t="str">
            <v>деп</v>
          </cell>
          <cell r="J1661">
            <v>38383</v>
          </cell>
        </row>
        <row r="1662">
          <cell r="A1662">
            <v>58729575</v>
          </cell>
          <cell r="B1662" t="str">
            <v>ТЕХНОКОМПЛЕКТЛИЗИНГ</v>
          </cell>
          <cell r="C1662" t="str">
            <v>ХОВРИНО      (ОКТ)</v>
          </cell>
          <cell r="D1662">
            <v>32540</v>
          </cell>
          <cell r="E1662">
            <v>37833</v>
          </cell>
          <cell r="F1662">
            <v>557</v>
          </cell>
          <cell r="H1662">
            <v>0</v>
          </cell>
          <cell r="I1662" t="str">
            <v>деп</v>
          </cell>
          <cell r="J1662">
            <v>38383</v>
          </cell>
        </row>
        <row r="1663">
          <cell r="A1663">
            <v>58729674</v>
          </cell>
          <cell r="B1663" t="str">
            <v>ТЕХНОКОМПЛЕКТЛИЗИНГ</v>
          </cell>
          <cell r="C1663" t="str">
            <v>ХОВРИНО      (ОКТ)</v>
          </cell>
          <cell r="D1663">
            <v>32782</v>
          </cell>
          <cell r="E1663">
            <v>37830</v>
          </cell>
          <cell r="F1663">
            <v>557</v>
          </cell>
          <cell r="H1663">
            <v>0</v>
          </cell>
          <cell r="I1663" t="str">
            <v>деп</v>
          </cell>
          <cell r="J1663">
            <v>38380</v>
          </cell>
        </row>
        <row r="1664">
          <cell r="A1664">
            <v>58729682</v>
          </cell>
          <cell r="B1664" t="str">
            <v>ТЕХНОКОМПЛЕКТЛИЗИНГ</v>
          </cell>
          <cell r="C1664" t="str">
            <v>ХОВРИНО      (ОКТ)</v>
          </cell>
          <cell r="D1664">
            <v>32782</v>
          </cell>
          <cell r="E1664">
            <v>37832</v>
          </cell>
          <cell r="F1664">
            <v>557</v>
          </cell>
          <cell r="H1664">
            <v>0</v>
          </cell>
          <cell r="I1664" t="str">
            <v>деп</v>
          </cell>
          <cell r="J1664">
            <v>38382</v>
          </cell>
        </row>
        <row r="1665">
          <cell r="A1665">
            <v>58729708</v>
          </cell>
          <cell r="B1665" t="str">
            <v>ТЕХНОКОМПЛЕКТЛИЗИНГ</v>
          </cell>
          <cell r="C1665" t="str">
            <v>ХОВРИНО      (ОКТ)</v>
          </cell>
          <cell r="D1665">
            <v>32782</v>
          </cell>
          <cell r="E1665">
            <v>37830</v>
          </cell>
          <cell r="F1665">
            <v>557</v>
          </cell>
          <cell r="H1665">
            <v>0</v>
          </cell>
          <cell r="I1665" t="str">
            <v>деп</v>
          </cell>
          <cell r="J1665">
            <v>38380</v>
          </cell>
        </row>
        <row r="1666">
          <cell r="A1666">
            <v>58729716</v>
          </cell>
          <cell r="B1666" t="str">
            <v>ТЕХНОКОМПЛЕКТЛИЗИНГ</v>
          </cell>
          <cell r="C1666" t="str">
            <v>ХОВРИНО      (ОКТ)</v>
          </cell>
          <cell r="D1666">
            <v>32782</v>
          </cell>
          <cell r="E1666">
            <v>37832</v>
          </cell>
          <cell r="F1666">
            <v>557</v>
          </cell>
          <cell r="H1666">
            <v>0</v>
          </cell>
          <cell r="I1666" t="str">
            <v>деп</v>
          </cell>
          <cell r="J1666">
            <v>38382</v>
          </cell>
        </row>
        <row r="1667">
          <cell r="A1667">
            <v>58729724</v>
          </cell>
          <cell r="B1667" t="str">
            <v>ТЕХНОКОМПЛЕКТЛИЗИНГ</v>
          </cell>
          <cell r="C1667" t="str">
            <v>ХОВРИНО      (ОКТ)</v>
          </cell>
          <cell r="D1667">
            <v>32782</v>
          </cell>
          <cell r="E1667">
            <v>37833</v>
          </cell>
          <cell r="F1667">
            <v>163</v>
          </cell>
          <cell r="H1667">
            <v>0</v>
          </cell>
          <cell r="I1667" t="str">
            <v>деп</v>
          </cell>
          <cell r="J1667">
            <v>38383</v>
          </cell>
        </row>
        <row r="1668">
          <cell r="A1668">
            <v>58729732</v>
          </cell>
          <cell r="B1668" t="str">
            <v>ТЕХНОКОМПЛЕКТЛИЗИНГ</v>
          </cell>
          <cell r="C1668" t="str">
            <v>ХОВРИНО      (ОКТ)</v>
          </cell>
          <cell r="D1668">
            <v>32782</v>
          </cell>
          <cell r="E1668">
            <v>37833</v>
          </cell>
          <cell r="F1668">
            <v>163</v>
          </cell>
          <cell r="H1668">
            <v>0</v>
          </cell>
          <cell r="I1668" t="str">
            <v>деп</v>
          </cell>
          <cell r="J1668">
            <v>38383</v>
          </cell>
        </row>
        <row r="1669">
          <cell r="A1669">
            <v>58729740</v>
          </cell>
          <cell r="B1669" t="str">
            <v>ТЕХНОКОМПЛЕКТЛИЗИНГ</v>
          </cell>
          <cell r="C1669" t="str">
            <v>ХОВРИНО      (ОКТ)</v>
          </cell>
          <cell r="D1669">
            <v>32782</v>
          </cell>
          <cell r="E1669">
            <v>37833</v>
          </cell>
          <cell r="F1669">
            <v>163</v>
          </cell>
          <cell r="H1669">
            <v>0</v>
          </cell>
          <cell r="I1669" t="str">
            <v>деп</v>
          </cell>
          <cell r="J1669">
            <v>38383</v>
          </cell>
        </row>
        <row r="1670">
          <cell r="A1670">
            <v>58729757</v>
          </cell>
          <cell r="B1670" t="str">
            <v>ТЕХНОКОМПЛЕКТЛИЗИНГ</v>
          </cell>
          <cell r="C1670" t="str">
            <v>ХОВРИНО      (ОКТ)</v>
          </cell>
          <cell r="D1670">
            <v>32782</v>
          </cell>
          <cell r="E1670">
            <v>37833</v>
          </cell>
          <cell r="F1670">
            <v>163</v>
          </cell>
          <cell r="H1670">
            <v>0</v>
          </cell>
          <cell r="I1670" t="str">
            <v>деп</v>
          </cell>
          <cell r="J1670">
            <v>38383</v>
          </cell>
        </row>
        <row r="1671">
          <cell r="A1671">
            <v>58729849</v>
          </cell>
          <cell r="B1671" t="str">
            <v>ТЕХНОКОМПЛЕКТЛИЗИНГ</v>
          </cell>
          <cell r="C1671" t="str">
            <v>ХОВРИНО      (ОКТ)</v>
          </cell>
          <cell r="D1671">
            <v>32509</v>
          </cell>
          <cell r="E1671">
            <v>37828</v>
          </cell>
          <cell r="F1671">
            <v>163</v>
          </cell>
          <cell r="H1671">
            <v>0</v>
          </cell>
          <cell r="I1671" t="str">
            <v>кап</v>
          </cell>
          <cell r="J1671">
            <v>38378</v>
          </cell>
        </row>
        <row r="1672">
          <cell r="A1672">
            <v>58729856</v>
          </cell>
          <cell r="B1672" t="str">
            <v>ТЕХНОКОМПЛЕКТЛИЗИНГ</v>
          </cell>
          <cell r="C1672" t="str">
            <v>ХОВРИНО      (ОКТ)</v>
          </cell>
          <cell r="D1672">
            <v>32509</v>
          </cell>
          <cell r="E1672">
            <v>37828</v>
          </cell>
          <cell r="F1672">
            <v>163</v>
          </cell>
          <cell r="H1672">
            <v>0</v>
          </cell>
          <cell r="I1672" t="str">
            <v>кап</v>
          </cell>
          <cell r="J1672">
            <v>38378</v>
          </cell>
        </row>
        <row r="1673">
          <cell r="A1673">
            <v>58729864</v>
          </cell>
          <cell r="B1673" t="str">
            <v>ТЕХНОКОМПЛЕКТЛИЗИНГ</v>
          </cell>
          <cell r="C1673" t="str">
            <v>ХОВРИНО      (ОКТ)</v>
          </cell>
          <cell r="D1673">
            <v>32509</v>
          </cell>
          <cell r="E1673">
            <v>37828</v>
          </cell>
          <cell r="F1673">
            <v>163</v>
          </cell>
          <cell r="H1673">
            <v>0</v>
          </cell>
          <cell r="I1673" t="str">
            <v>кап</v>
          </cell>
          <cell r="J1673">
            <v>38378</v>
          </cell>
        </row>
        <row r="1674">
          <cell r="A1674">
            <v>58729872</v>
          </cell>
          <cell r="B1674" t="str">
            <v>ТЕХНОКОМПЛЕКТЛИЗИНГ</v>
          </cell>
          <cell r="C1674" t="str">
            <v>ХОВРИНО      (ОКТ)</v>
          </cell>
          <cell r="D1674">
            <v>32509</v>
          </cell>
          <cell r="E1674">
            <v>37828</v>
          </cell>
          <cell r="F1674">
            <v>163</v>
          </cell>
          <cell r="H1674">
            <v>0</v>
          </cell>
          <cell r="I1674" t="str">
            <v>кап</v>
          </cell>
          <cell r="J1674">
            <v>38378</v>
          </cell>
        </row>
        <row r="1675">
          <cell r="A1675">
            <v>58729914</v>
          </cell>
          <cell r="B1675" t="str">
            <v>ТЕХНОКОМПЛЕКТЛИЗИНГ</v>
          </cell>
          <cell r="C1675" t="str">
            <v>ХОВРИНО      (ОКТ)</v>
          </cell>
          <cell r="D1675">
            <v>32509</v>
          </cell>
          <cell r="E1675">
            <v>37833</v>
          </cell>
          <cell r="F1675">
            <v>163</v>
          </cell>
          <cell r="H1675">
            <v>0</v>
          </cell>
          <cell r="I1675" t="str">
            <v>кап</v>
          </cell>
          <cell r="J1675">
            <v>38383</v>
          </cell>
        </row>
        <row r="1676">
          <cell r="A1676">
            <v>58729922</v>
          </cell>
          <cell r="B1676" t="str">
            <v>ТЕХНОКОМПЛЕКТЛИЗИНГ</v>
          </cell>
          <cell r="C1676" t="str">
            <v>ХОВРИНО      (ОКТ)</v>
          </cell>
          <cell r="D1676">
            <v>32509</v>
          </cell>
          <cell r="E1676">
            <v>37844</v>
          </cell>
          <cell r="F1676">
            <v>557</v>
          </cell>
          <cell r="H1676">
            <v>0</v>
          </cell>
          <cell r="I1676" t="str">
            <v>кап</v>
          </cell>
          <cell r="J1676">
            <v>38394</v>
          </cell>
        </row>
        <row r="1677">
          <cell r="A1677">
            <v>58731407</v>
          </cell>
          <cell r="B1677" t="str">
            <v>ТЕХНОКОМПЛЕКТЛИЗИНГ</v>
          </cell>
          <cell r="C1677" t="str">
            <v>ХОВРИНО      (ОКТ)</v>
          </cell>
          <cell r="D1677">
            <v>32660</v>
          </cell>
          <cell r="E1677">
            <v>37826</v>
          </cell>
          <cell r="F1677">
            <v>163</v>
          </cell>
          <cell r="H1677">
            <v>0</v>
          </cell>
          <cell r="I1677" t="str">
            <v>деп</v>
          </cell>
          <cell r="J1677">
            <v>38376</v>
          </cell>
        </row>
        <row r="1678">
          <cell r="A1678">
            <v>58731415</v>
          </cell>
          <cell r="B1678" t="str">
            <v>ТЕХНОКОМПЛЕКТЛИЗИНГ</v>
          </cell>
          <cell r="C1678" t="str">
            <v>ХОВРИНО      (ОКТ)</v>
          </cell>
          <cell r="D1678">
            <v>32660</v>
          </cell>
          <cell r="E1678">
            <v>37826</v>
          </cell>
          <cell r="F1678">
            <v>163</v>
          </cell>
          <cell r="H1678">
            <v>0</v>
          </cell>
          <cell r="I1678" t="str">
            <v>деп</v>
          </cell>
          <cell r="J1678">
            <v>38376</v>
          </cell>
        </row>
        <row r="1679">
          <cell r="A1679">
            <v>58731423</v>
          </cell>
          <cell r="B1679" t="str">
            <v>ТЕХНОКОМПЛЕКТЛИЗИНГ</v>
          </cell>
          <cell r="C1679" t="str">
            <v>ХОВРИНО      (ОКТ)</v>
          </cell>
          <cell r="D1679">
            <v>32660</v>
          </cell>
          <cell r="E1679">
            <v>37826</v>
          </cell>
          <cell r="F1679">
            <v>163</v>
          </cell>
          <cell r="H1679">
            <v>0</v>
          </cell>
          <cell r="I1679" t="str">
            <v>деп</v>
          </cell>
          <cell r="J1679">
            <v>38376</v>
          </cell>
        </row>
        <row r="1680">
          <cell r="A1680">
            <v>58731431</v>
          </cell>
          <cell r="B1680" t="str">
            <v>ТЕХНОКОМПЛЕКТЛИЗИНГ</v>
          </cell>
          <cell r="C1680" t="str">
            <v>ХОВРИНО      (ОКТ)</v>
          </cell>
          <cell r="D1680">
            <v>32660</v>
          </cell>
          <cell r="E1680">
            <v>37826</v>
          </cell>
          <cell r="F1680">
            <v>163</v>
          </cell>
          <cell r="H1680">
            <v>0</v>
          </cell>
          <cell r="I1680" t="str">
            <v>деп</v>
          </cell>
          <cell r="J1680">
            <v>38376</v>
          </cell>
        </row>
        <row r="1681">
          <cell r="A1681">
            <v>58731480</v>
          </cell>
          <cell r="B1681" t="str">
            <v>ТЕХНОКОМПЛЕКТЛИЗИНГ</v>
          </cell>
          <cell r="C1681" t="str">
            <v>ХОВРИНО      (ОКТ)</v>
          </cell>
          <cell r="D1681">
            <v>32660</v>
          </cell>
          <cell r="E1681">
            <v>37793</v>
          </cell>
          <cell r="F1681">
            <v>492</v>
          </cell>
          <cell r="H1681">
            <v>0</v>
          </cell>
          <cell r="I1681" t="str">
            <v>деп</v>
          </cell>
          <cell r="J1681">
            <v>38342</v>
          </cell>
        </row>
        <row r="1682">
          <cell r="A1682">
            <v>58731498</v>
          </cell>
          <cell r="B1682" t="str">
            <v>ТЕХНОКОМПЛЕКТЛИЗИНГ</v>
          </cell>
          <cell r="C1682" t="str">
            <v>ХОВРИНО      (ОКТ)</v>
          </cell>
          <cell r="D1682">
            <v>32660</v>
          </cell>
          <cell r="E1682">
            <v>37793</v>
          </cell>
          <cell r="F1682">
            <v>492</v>
          </cell>
          <cell r="H1682">
            <v>0</v>
          </cell>
          <cell r="I1682" t="str">
            <v>деп</v>
          </cell>
          <cell r="J1682">
            <v>38342</v>
          </cell>
        </row>
        <row r="1683">
          <cell r="A1683">
            <v>58731506</v>
          </cell>
          <cell r="B1683" t="str">
            <v>ТЕХНОКОМПЛЕКТЛИЗИНГ</v>
          </cell>
          <cell r="C1683" t="str">
            <v>ХОВРИНО      (ОКТ)</v>
          </cell>
          <cell r="D1683">
            <v>32660</v>
          </cell>
          <cell r="E1683">
            <v>37793</v>
          </cell>
          <cell r="F1683">
            <v>492</v>
          </cell>
          <cell r="H1683">
            <v>0</v>
          </cell>
          <cell r="I1683" t="str">
            <v>деп</v>
          </cell>
          <cell r="J1683">
            <v>38342</v>
          </cell>
        </row>
        <row r="1684">
          <cell r="A1684">
            <v>58731514</v>
          </cell>
          <cell r="B1684" t="str">
            <v>ТЕХНОКОМПЛЕКТЛИЗИНГ</v>
          </cell>
          <cell r="C1684" t="str">
            <v>ХОВРИНО      (ОКТ)</v>
          </cell>
          <cell r="D1684">
            <v>32660</v>
          </cell>
          <cell r="E1684">
            <v>37793</v>
          </cell>
          <cell r="F1684">
            <v>492</v>
          </cell>
          <cell r="H1684">
            <v>0</v>
          </cell>
          <cell r="I1684" t="str">
            <v>деп</v>
          </cell>
          <cell r="J1684">
            <v>38342</v>
          </cell>
        </row>
        <row r="1685">
          <cell r="A1685">
            <v>58731522</v>
          </cell>
          <cell r="B1685" t="str">
            <v>ТЕХНОКОМПЛЕКТЛИЗИНГ</v>
          </cell>
          <cell r="C1685" t="str">
            <v>ХОВРИНО      (ОКТ)</v>
          </cell>
          <cell r="D1685">
            <v>32690</v>
          </cell>
          <cell r="E1685">
            <v>37816</v>
          </cell>
          <cell r="F1685">
            <v>163</v>
          </cell>
          <cell r="H1685">
            <v>0</v>
          </cell>
          <cell r="I1685" t="str">
            <v>деп</v>
          </cell>
          <cell r="J1685">
            <v>38366</v>
          </cell>
        </row>
        <row r="1686">
          <cell r="A1686">
            <v>58731530</v>
          </cell>
          <cell r="B1686" t="str">
            <v>ТЕХНОКОМПЛЕКТЛИЗИНГ</v>
          </cell>
          <cell r="C1686" t="str">
            <v>ХОВРИНО      (ОКТ)</v>
          </cell>
          <cell r="D1686">
            <v>32690</v>
          </cell>
          <cell r="E1686">
            <v>37816</v>
          </cell>
          <cell r="F1686">
            <v>163</v>
          </cell>
          <cell r="H1686">
            <v>0</v>
          </cell>
          <cell r="I1686" t="str">
            <v>деп</v>
          </cell>
          <cell r="J1686">
            <v>38366</v>
          </cell>
        </row>
        <row r="1687">
          <cell r="A1687">
            <v>58731548</v>
          </cell>
          <cell r="B1687" t="str">
            <v>ТЕХНОКОМПЛЕКТЛИЗИНГ</v>
          </cell>
          <cell r="C1687" t="str">
            <v>ХОВРИНО      (ОКТ)</v>
          </cell>
          <cell r="D1687">
            <v>32690</v>
          </cell>
          <cell r="E1687">
            <v>37816</v>
          </cell>
          <cell r="F1687">
            <v>163</v>
          </cell>
          <cell r="H1687">
            <v>0</v>
          </cell>
          <cell r="I1687" t="str">
            <v>деп</v>
          </cell>
          <cell r="J1687">
            <v>38366</v>
          </cell>
        </row>
        <row r="1688">
          <cell r="A1688">
            <v>58731555</v>
          </cell>
          <cell r="B1688" t="str">
            <v>ТЕХНОКОМПЛЕКТЛИЗИНГ</v>
          </cell>
          <cell r="C1688" t="str">
            <v>ХОВРИНО      (ОКТ)</v>
          </cell>
          <cell r="D1688">
            <v>32690</v>
          </cell>
          <cell r="E1688">
            <v>37816</v>
          </cell>
          <cell r="F1688">
            <v>163</v>
          </cell>
          <cell r="H1688">
            <v>0</v>
          </cell>
          <cell r="I1688" t="str">
            <v>деп</v>
          </cell>
          <cell r="J1688">
            <v>38366</v>
          </cell>
        </row>
        <row r="1689">
          <cell r="A1689">
            <v>58731563</v>
          </cell>
          <cell r="B1689" t="str">
            <v>ТЕХНОКОМПЛЕКТЛИЗИНГ</v>
          </cell>
          <cell r="C1689" t="str">
            <v>ХОВРИНО      (ОКТ)</v>
          </cell>
          <cell r="D1689">
            <v>32690</v>
          </cell>
          <cell r="E1689">
            <v>37825</v>
          </cell>
          <cell r="F1689">
            <v>492</v>
          </cell>
          <cell r="H1689">
            <v>0</v>
          </cell>
          <cell r="I1689" t="str">
            <v>деп</v>
          </cell>
          <cell r="J1689">
            <v>38375</v>
          </cell>
        </row>
        <row r="1690">
          <cell r="A1690">
            <v>58731571</v>
          </cell>
          <cell r="B1690" t="str">
            <v>ТЕХНОКОМПЛЕКТЛИЗИНГ</v>
          </cell>
          <cell r="C1690" t="str">
            <v>ХОВРИНО      (ОКТ)</v>
          </cell>
          <cell r="D1690">
            <v>32690</v>
          </cell>
          <cell r="E1690">
            <v>37825</v>
          </cell>
          <cell r="F1690">
            <v>492</v>
          </cell>
          <cell r="H1690">
            <v>0</v>
          </cell>
          <cell r="I1690" t="str">
            <v>деп</v>
          </cell>
          <cell r="J1690">
            <v>38375</v>
          </cell>
        </row>
        <row r="1691">
          <cell r="A1691">
            <v>58731589</v>
          </cell>
          <cell r="B1691" t="str">
            <v>ТЕХНОКОМПЛЕКТЛИЗИНГ</v>
          </cell>
          <cell r="C1691" t="str">
            <v>ХОВРИНО      (ОКТ)</v>
          </cell>
          <cell r="D1691">
            <v>32690</v>
          </cell>
          <cell r="E1691">
            <v>37825</v>
          </cell>
          <cell r="F1691">
            <v>492</v>
          </cell>
          <cell r="H1691">
            <v>0</v>
          </cell>
          <cell r="I1691" t="str">
            <v>деп</v>
          </cell>
          <cell r="J1691">
            <v>38375</v>
          </cell>
        </row>
        <row r="1692">
          <cell r="A1692">
            <v>58731597</v>
          </cell>
          <cell r="B1692" t="str">
            <v>ТЕХНОКОМПЛЕКТЛИЗИНГ</v>
          </cell>
          <cell r="C1692" t="str">
            <v>ХОВРИНО      (ОКТ)</v>
          </cell>
          <cell r="D1692">
            <v>32690</v>
          </cell>
          <cell r="E1692">
            <v>37825</v>
          </cell>
          <cell r="F1692">
            <v>492</v>
          </cell>
          <cell r="H1692">
            <v>0</v>
          </cell>
          <cell r="I1692" t="str">
            <v>деп</v>
          </cell>
          <cell r="J1692">
            <v>38375</v>
          </cell>
        </row>
        <row r="1693">
          <cell r="A1693">
            <v>58731605</v>
          </cell>
          <cell r="B1693" t="str">
            <v>ТЕХНОКОМПЛЕКТЛИЗИНГ</v>
          </cell>
          <cell r="C1693" t="str">
            <v>ХОВРИНО      (ОКТ)</v>
          </cell>
          <cell r="D1693">
            <v>32690</v>
          </cell>
          <cell r="E1693">
            <v>37768</v>
          </cell>
          <cell r="F1693">
            <v>492</v>
          </cell>
          <cell r="H1693">
            <v>0</v>
          </cell>
          <cell r="I1693" t="str">
            <v>деп</v>
          </cell>
          <cell r="J1693">
            <v>38318</v>
          </cell>
        </row>
        <row r="1694">
          <cell r="A1694">
            <v>58731613</v>
          </cell>
          <cell r="B1694" t="str">
            <v>ТЕХНОКОМПЛЕКТЛИЗИНГ</v>
          </cell>
          <cell r="C1694" t="str">
            <v>ХОВРИНО      (ОКТ)</v>
          </cell>
          <cell r="D1694">
            <v>32690</v>
          </cell>
          <cell r="E1694">
            <v>37768</v>
          </cell>
          <cell r="F1694">
            <v>492</v>
          </cell>
          <cell r="H1694">
            <v>0</v>
          </cell>
          <cell r="I1694" t="str">
            <v>деп</v>
          </cell>
          <cell r="J1694">
            <v>38318</v>
          </cell>
        </row>
        <row r="1695">
          <cell r="A1695">
            <v>58731621</v>
          </cell>
          <cell r="B1695" t="str">
            <v>ТЕХНОКОМПЛЕКТЛИЗИНГ</v>
          </cell>
          <cell r="C1695" t="str">
            <v>ХОВРИНО      (ОКТ)</v>
          </cell>
          <cell r="D1695">
            <v>32690</v>
          </cell>
          <cell r="E1695">
            <v>37768</v>
          </cell>
          <cell r="F1695">
            <v>492</v>
          </cell>
          <cell r="H1695">
            <v>0</v>
          </cell>
          <cell r="I1695" t="str">
            <v>деп</v>
          </cell>
          <cell r="J1695">
            <v>38318</v>
          </cell>
        </row>
        <row r="1696">
          <cell r="A1696">
            <v>58731639</v>
          </cell>
          <cell r="B1696" t="str">
            <v>ТЕХНОКОМПЛЕКТЛИЗИНГ</v>
          </cell>
          <cell r="C1696" t="str">
            <v>ХОВРИНО      (ОКТ)</v>
          </cell>
          <cell r="D1696">
            <v>32690</v>
          </cell>
          <cell r="E1696">
            <v>37768</v>
          </cell>
          <cell r="F1696">
            <v>492</v>
          </cell>
          <cell r="H1696">
            <v>0</v>
          </cell>
          <cell r="I1696" t="str">
            <v>деп</v>
          </cell>
          <cell r="J1696">
            <v>38318</v>
          </cell>
        </row>
        <row r="1697">
          <cell r="A1697">
            <v>58731803</v>
          </cell>
          <cell r="B1697" t="str">
            <v>ТЕХНОКОМПЛЕКТЛИЗИНГ</v>
          </cell>
          <cell r="C1697" t="str">
            <v>ХОВРИНО      (ОКТ)</v>
          </cell>
          <cell r="D1697">
            <v>32660</v>
          </cell>
          <cell r="E1697">
            <v>37957</v>
          </cell>
          <cell r="F1697">
            <v>557</v>
          </cell>
          <cell r="H1697">
            <v>0</v>
          </cell>
          <cell r="I1697" t="str">
            <v>кап</v>
          </cell>
          <cell r="J1697">
            <v>38505</v>
          </cell>
        </row>
        <row r="1698">
          <cell r="A1698">
            <v>58731811</v>
          </cell>
          <cell r="B1698" t="str">
            <v>ТЕХНОКОМПЛЕКТЛИЗИНГ</v>
          </cell>
          <cell r="C1698" t="str">
            <v>ХОВРИНО      (ОКТ)</v>
          </cell>
          <cell r="D1698">
            <v>32660</v>
          </cell>
          <cell r="E1698">
            <v>37979</v>
          </cell>
          <cell r="F1698">
            <v>557</v>
          </cell>
          <cell r="H1698">
            <v>0</v>
          </cell>
          <cell r="I1698" t="str">
            <v>кап</v>
          </cell>
          <cell r="J1698">
            <v>38527</v>
          </cell>
        </row>
        <row r="1699">
          <cell r="A1699">
            <v>58731829</v>
          </cell>
          <cell r="B1699" t="str">
            <v>ТЕХНОКОМПЛЕКТЛИЗИНГ</v>
          </cell>
          <cell r="C1699" t="str">
            <v>ХОВРИНО      (ОКТ)</v>
          </cell>
          <cell r="D1699">
            <v>32660</v>
          </cell>
          <cell r="E1699">
            <v>37979</v>
          </cell>
          <cell r="F1699">
            <v>557</v>
          </cell>
          <cell r="H1699">
            <v>0</v>
          </cell>
          <cell r="I1699" t="str">
            <v>кап</v>
          </cell>
          <cell r="J1699">
            <v>38527</v>
          </cell>
        </row>
        <row r="1700">
          <cell r="A1700">
            <v>58731837</v>
          </cell>
          <cell r="B1700" t="str">
            <v>ТЕХНОКОМПЛЕКТЛИЗИНГ</v>
          </cell>
          <cell r="C1700" t="str">
            <v>ХОВРИНО      (ОКТ)</v>
          </cell>
          <cell r="D1700">
            <v>32660</v>
          </cell>
          <cell r="E1700">
            <v>37958</v>
          </cell>
          <cell r="F1700">
            <v>557</v>
          </cell>
          <cell r="H1700">
            <v>0</v>
          </cell>
          <cell r="I1700" t="str">
            <v>кап</v>
          </cell>
          <cell r="J1700">
            <v>38506</v>
          </cell>
        </row>
        <row r="1701">
          <cell r="A1701">
            <v>58732009</v>
          </cell>
          <cell r="B1701" t="str">
            <v>ТЕХНОКОМПЛЕКТЛИЗИНГ</v>
          </cell>
          <cell r="C1701" t="str">
            <v>ХОВРИНО      (ОКТ)</v>
          </cell>
          <cell r="D1701">
            <v>32660</v>
          </cell>
          <cell r="E1701">
            <v>37957</v>
          </cell>
          <cell r="F1701">
            <v>557</v>
          </cell>
          <cell r="H1701">
            <v>0</v>
          </cell>
          <cell r="I1701" t="str">
            <v>кап</v>
          </cell>
          <cell r="J1701">
            <v>38505</v>
          </cell>
        </row>
        <row r="1702">
          <cell r="A1702">
            <v>58732017</v>
          </cell>
          <cell r="B1702" t="str">
            <v>ТЕХНОКОМПЛЕКТЛИЗИНГ</v>
          </cell>
          <cell r="C1702" t="str">
            <v>ХОВРИНО      (ОКТ)</v>
          </cell>
          <cell r="D1702">
            <v>32660</v>
          </cell>
          <cell r="E1702">
            <v>37957</v>
          </cell>
          <cell r="F1702">
            <v>557</v>
          </cell>
          <cell r="H1702">
            <v>0</v>
          </cell>
          <cell r="I1702" t="str">
            <v>кап</v>
          </cell>
          <cell r="J1702">
            <v>38505</v>
          </cell>
        </row>
        <row r="1703">
          <cell r="A1703">
            <v>58732025</v>
          </cell>
          <cell r="B1703" t="str">
            <v>ТЕХНОКОМПЛЕКТЛИЗИНГ</v>
          </cell>
          <cell r="C1703" t="str">
            <v>ХОВРИНО      (ОКТ)</v>
          </cell>
          <cell r="D1703">
            <v>32660</v>
          </cell>
          <cell r="E1703">
            <v>37957</v>
          </cell>
          <cell r="F1703">
            <v>557</v>
          </cell>
          <cell r="H1703">
            <v>0</v>
          </cell>
          <cell r="I1703" t="str">
            <v>кап</v>
          </cell>
          <cell r="J1703">
            <v>38505</v>
          </cell>
        </row>
        <row r="1704">
          <cell r="A1704">
            <v>58732033</v>
          </cell>
          <cell r="B1704" t="str">
            <v>ТЕХНОКОМПЛЕКТЛИЗИНГ</v>
          </cell>
          <cell r="C1704" t="str">
            <v>ХОВРИНО      (ОКТ)</v>
          </cell>
          <cell r="D1704">
            <v>32660</v>
          </cell>
          <cell r="E1704">
            <v>37960</v>
          </cell>
          <cell r="F1704">
            <v>557</v>
          </cell>
          <cell r="H1704">
            <v>0</v>
          </cell>
          <cell r="I1704" t="str">
            <v>кап</v>
          </cell>
          <cell r="J1704">
            <v>38508</v>
          </cell>
        </row>
        <row r="1705">
          <cell r="A1705">
            <v>58732165</v>
          </cell>
          <cell r="B1705" t="str">
            <v>ТЕХНОКОМПЛЕКТЛИЗИНГ</v>
          </cell>
          <cell r="C1705" t="str">
            <v>ХОВРИНО      (ОКТ)</v>
          </cell>
          <cell r="D1705">
            <v>32660</v>
          </cell>
          <cell r="E1705">
            <v>37916</v>
          </cell>
          <cell r="F1705">
            <v>492</v>
          </cell>
          <cell r="H1705">
            <v>0</v>
          </cell>
          <cell r="I1705" t="str">
            <v>деп</v>
          </cell>
          <cell r="J1705">
            <v>38464</v>
          </cell>
        </row>
        <row r="1706">
          <cell r="A1706">
            <v>58732173</v>
          </cell>
          <cell r="B1706" t="str">
            <v>ТЕХНОКОМПЛЕКТЛИЗИНГ</v>
          </cell>
          <cell r="C1706" t="str">
            <v>ХОВРИНО      (ОКТ)</v>
          </cell>
          <cell r="D1706">
            <v>32660</v>
          </cell>
          <cell r="E1706">
            <v>37916</v>
          </cell>
          <cell r="F1706">
            <v>492</v>
          </cell>
          <cell r="H1706">
            <v>0</v>
          </cell>
          <cell r="I1706" t="str">
            <v>деп</v>
          </cell>
          <cell r="J1706">
            <v>38464</v>
          </cell>
        </row>
        <row r="1707">
          <cell r="A1707">
            <v>58732181</v>
          </cell>
          <cell r="B1707" t="str">
            <v>ТЕХНОКОМПЛЕКТЛИЗИНГ</v>
          </cell>
          <cell r="C1707" t="str">
            <v>ХОВРИНО      (ОКТ)</v>
          </cell>
          <cell r="D1707">
            <v>32660</v>
          </cell>
          <cell r="E1707">
            <v>37916</v>
          </cell>
          <cell r="F1707">
            <v>492</v>
          </cell>
          <cell r="H1707">
            <v>0</v>
          </cell>
          <cell r="I1707" t="str">
            <v>деп</v>
          </cell>
          <cell r="J1707">
            <v>38464</v>
          </cell>
        </row>
        <row r="1708">
          <cell r="A1708">
            <v>58732199</v>
          </cell>
          <cell r="B1708" t="str">
            <v>ТЕХНОКОМПЛЕКТЛИЗИНГ</v>
          </cell>
          <cell r="C1708" t="str">
            <v>ХОВРИНО      (ОКТ)</v>
          </cell>
          <cell r="D1708">
            <v>32660</v>
          </cell>
          <cell r="E1708">
            <v>37916</v>
          </cell>
          <cell r="F1708">
            <v>492</v>
          </cell>
          <cell r="H1708">
            <v>0</v>
          </cell>
          <cell r="I1708" t="str">
            <v>деп</v>
          </cell>
          <cell r="J1708">
            <v>38464</v>
          </cell>
        </row>
        <row r="1709">
          <cell r="B1709" t="str">
            <v>ТЕХНОКОМПЛЕКТЛИЗИНГ Количество</v>
          </cell>
          <cell r="D1709">
            <v>145</v>
          </cell>
        </row>
        <row r="1710">
          <cell r="A1710">
            <v>58724881</v>
          </cell>
          <cell r="B1710" t="str">
            <v>ТЕХПРОМ</v>
          </cell>
          <cell r="C1710" t="str">
            <v>УССУРИЙСК    (ДВС)</v>
          </cell>
          <cell r="D1710">
            <v>32965</v>
          </cell>
          <cell r="E1710">
            <v>37867</v>
          </cell>
          <cell r="F1710">
            <v>163</v>
          </cell>
          <cell r="H1710">
            <v>0</v>
          </cell>
          <cell r="I1710" t="str">
            <v>деп</v>
          </cell>
          <cell r="J1710">
            <v>38414</v>
          </cell>
        </row>
        <row r="1711">
          <cell r="B1711" t="str">
            <v>ТЕХПРОМ Количество</v>
          </cell>
          <cell r="D1711">
            <v>1</v>
          </cell>
        </row>
        <row r="1712">
          <cell r="A1712">
            <v>58724345</v>
          </cell>
          <cell r="B1712" t="str">
            <v>ТЗБ СЕВЕРГАЗТОРГА</v>
          </cell>
          <cell r="C1712" t="str">
            <v>УХТА         (СЕВ)</v>
          </cell>
          <cell r="D1712">
            <v>32843</v>
          </cell>
          <cell r="E1712">
            <v>35457</v>
          </cell>
        </row>
        <row r="1713">
          <cell r="B1713" t="str">
            <v>ТЗБ СЕВЕРГАЗТОРГА Количество</v>
          </cell>
          <cell r="D1713">
            <v>1</v>
          </cell>
        </row>
        <row r="1714">
          <cell r="A1714">
            <v>53706743</v>
          </cell>
          <cell r="B1714" t="str">
            <v>ТОРГОВЫЙ ДОМ ТРИАДА</v>
          </cell>
          <cell r="C1714" t="str">
            <v>ПРИСАДЫ      (МСK)</v>
          </cell>
          <cell r="D1714">
            <v>33526</v>
          </cell>
          <cell r="F1714">
            <v>0</v>
          </cell>
          <cell r="H1714">
            <v>0</v>
          </cell>
          <cell r="I1714" t="str">
            <v>деп</v>
          </cell>
          <cell r="J1714">
            <v>34439</v>
          </cell>
        </row>
        <row r="1715">
          <cell r="A1715">
            <v>53706750</v>
          </cell>
          <cell r="B1715" t="str">
            <v>ТОРГОВЫЙ ДОМ ТРИАДА</v>
          </cell>
          <cell r="C1715" t="str">
            <v>ПРИСАДЫ      (МСK)</v>
          </cell>
          <cell r="D1715">
            <v>33522</v>
          </cell>
          <cell r="F1715">
            <v>0</v>
          </cell>
          <cell r="H1715">
            <v>0</v>
          </cell>
          <cell r="I1715" t="str">
            <v>деп</v>
          </cell>
          <cell r="J1715">
            <v>34435</v>
          </cell>
        </row>
        <row r="1716">
          <cell r="A1716">
            <v>58741554</v>
          </cell>
          <cell r="B1716" t="str">
            <v>ТОРГОВЫЙ ДОМ ТРИАДА</v>
          </cell>
          <cell r="C1716" t="str">
            <v>ПРИСАДЫ      (МСK)</v>
          </cell>
          <cell r="D1716">
            <v>33572</v>
          </cell>
          <cell r="F1716">
            <v>0</v>
          </cell>
          <cell r="H1716">
            <v>0</v>
          </cell>
          <cell r="I1716" t="str">
            <v>деп</v>
          </cell>
          <cell r="J1716">
            <v>34484</v>
          </cell>
        </row>
        <row r="1717">
          <cell r="A1717">
            <v>58741562</v>
          </cell>
          <cell r="B1717" t="str">
            <v>ТОРГОВЫЙ ДОМ ТРИАДА</v>
          </cell>
          <cell r="C1717" t="str">
            <v>ПРИСАДЫ      (МСK)</v>
          </cell>
          <cell r="D1717">
            <v>33571</v>
          </cell>
          <cell r="F1717">
            <v>0</v>
          </cell>
          <cell r="H1717">
            <v>0</v>
          </cell>
          <cell r="I1717" t="str">
            <v>деп</v>
          </cell>
          <cell r="J1717">
            <v>34483</v>
          </cell>
        </row>
        <row r="1718">
          <cell r="A1718">
            <v>58741570</v>
          </cell>
          <cell r="B1718" t="str">
            <v>ТОРГОВЫЙ ДОМ ТРИАДА</v>
          </cell>
          <cell r="C1718" t="str">
            <v>ПРИСАДЫ      (МСK)</v>
          </cell>
          <cell r="D1718">
            <v>33571</v>
          </cell>
          <cell r="F1718">
            <v>0</v>
          </cell>
          <cell r="H1718">
            <v>0</v>
          </cell>
          <cell r="I1718" t="str">
            <v>деп</v>
          </cell>
          <cell r="J1718">
            <v>34483</v>
          </cell>
        </row>
        <row r="1719">
          <cell r="A1719">
            <v>58741588</v>
          </cell>
          <cell r="B1719" t="str">
            <v>ТОРГОВЫЙ ДОМ ТРИАДА</v>
          </cell>
          <cell r="C1719" t="str">
            <v>ПРИСАДЫ      (МСK)</v>
          </cell>
          <cell r="D1719">
            <v>33571</v>
          </cell>
          <cell r="F1719">
            <v>0</v>
          </cell>
          <cell r="H1719">
            <v>0</v>
          </cell>
          <cell r="I1719" t="str">
            <v>деп</v>
          </cell>
          <cell r="J1719">
            <v>34483</v>
          </cell>
        </row>
        <row r="1720">
          <cell r="B1720" t="str">
            <v>ТОРГОВЫЙ ДОМ ТРИАДА Количество</v>
          </cell>
          <cell r="D1720">
            <v>6</v>
          </cell>
        </row>
        <row r="1721">
          <cell r="A1721">
            <v>58740473</v>
          </cell>
          <cell r="B1721" t="str">
            <v>ТРАНЗИТ ТК</v>
          </cell>
          <cell r="C1721" t="str">
            <v>КРАСНОЯРСК   (КРС)</v>
          </cell>
          <cell r="D1721">
            <v>32933</v>
          </cell>
          <cell r="E1721">
            <v>37775</v>
          </cell>
          <cell r="F1721">
            <v>634</v>
          </cell>
          <cell r="H1721">
            <v>0</v>
          </cell>
          <cell r="I1721" t="str">
            <v>деп</v>
          </cell>
          <cell r="J1721">
            <v>38324</v>
          </cell>
        </row>
        <row r="1722">
          <cell r="B1722" t="str">
            <v>ТРАНЗИТ ТК Количество</v>
          </cell>
          <cell r="D1722">
            <v>1</v>
          </cell>
        </row>
        <row r="1723">
          <cell r="A1723">
            <v>53400081</v>
          </cell>
          <cell r="B1723" t="str">
            <v>ТРАНС СЕКТОР</v>
          </cell>
          <cell r="C1723" t="str">
            <v>ЛОСИНООСТРОВ (МСK)</v>
          </cell>
          <cell r="D1723">
            <v>28430</v>
          </cell>
          <cell r="E1723">
            <v>37841</v>
          </cell>
          <cell r="F1723">
            <v>350</v>
          </cell>
          <cell r="G1723">
            <v>32426</v>
          </cell>
          <cell r="H1723">
            <v>840</v>
          </cell>
          <cell r="I1723" t="str">
            <v>деп</v>
          </cell>
          <cell r="J1723">
            <v>38391</v>
          </cell>
        </row>
        <row r="1724">
          <cell r="A1724">
            <v>53400107</v>
          </cell>
          <cell r="B1724" t="str">
            <v>ТРАНС СЕКТОР</v>
          </cell>
          <cell r="C1724" t="str">
            <v>ЛОСИНООСТРОВ (МСK)</v>
          </cell>
          <cell r="D1724">
            <v>28491</v>
          </cell>
          <cell r="E1724">
            <v>37938</v>
          </cell>
          <cell r="F1724">
            <v>350</v>
          </cell>
          <cell r="G1724">
            <v>33761</v>
          </cell>
          <cell r="H1724">
            <v>840</v>
          </cell>
          <cell r="I1724" t="str">
            <v>деп</v>
          </cell>
          <cell r="J1724">
            <v>38485</v>
          </cell>
        </row>
        <row r="1725">
          <cell r="A1725">
            <v>53400156</v>
          </cell>
          <cell r="B1725" t="str">
            <v>ТРАНС СЕКТОР</v>
          </cell>
          <cell r="C1725" t="str">
            <v>ЛОСИНООСТРОВ (МСK)</v>
          </cell>
          <cell r="D1725">
            <v>28399</v>
          </cell>
          <cell r="E1725">
            <v>37883</v>
          </cell>
          <cell r="F1725">
            <v>350</v>
          </cell>
          <cell r="G1725">
            <v>32458</v>
          </cell>
          <cell r="H1725">
            <v>840</v>
          </cell>
          <cell r="I1725" t="str">
            <v>деп</v>
          </cell>
          <cell r="J1725">
            <v>38430</v>
          </cell>
        </row>
        <row r="1726">
          <cell r="A1726">
            <v>53400180</v>
          </cell>
          <cell r="B1726" t="str">
            <v>ТРАНС СЕКТОР</v>
          </cell>
          <cell r="C1726" t="str">
            <v>ЛОСИНООСТРОВ (МСK)</v>
          </cell>
          <cell r="D1726">
            <v>28491</v>
          </cell>
          <cell r="E1726">
            <v>37894</v>
          </cell>
          <cell r="F1726">
            <v>350</v>
          </cell>
          <cell r="G1726">
            <v>32489</v>
          </cell>
          <cell r="H1726">
            <v>840</v>
          </cell>
          <cell r="I1726" t="str">
            <v>деп</v>
          </cell>
          <cell r="J1726">
            <v>38441</v>
          </cell>
        </row>
        <row r="1727">
          <cell r="A1727">
            <v>58730003</v>
          </cell>
          <cell r="B1727" t="str">
            <v>ТРАНС СЕКТОР</v>
          </cell>
          <cell r="C1727" t="str">
            <v>ЛОСИНООСТРОВ (МСK)</v>
          </cell>
          <cell r="D1727">
            <v>28430</v>
          </cell>
          <cell r="E1727">
            <v>37841</v>
          </cell>
          <cell r="F1727">
            <v>350</v>
          </cell>
          <cell r="G1727">
            <v>32426</v>
          </cell>
          <cell r="H1727">
            <v>840</v>
          </cell>
          <cell r="I1727" t="str">
            <v>деп</v>
          </cell>
          <cell r="J1727">
            <v>38391</v>
          </cell>
        </row>
        <row r="1728">
          <cell r="A1728">
            <v>58730011</v>
          </cell>
          <cell r="B1728" t="str">
            <v>ТРАНС СЕКТОР</v>
          </cell>
          <cell r="C1728" t="str">
            <v>ЛОСИНООСТРОВ (МСK)</v>
          </cell>
          <cell r="D1728">
            <v>28430</v>
          </cell>
          <cell r="E1728">
            <v>37841</v>
          </cell>
          <cell r="F1728">
            <v>350</v>
          </cell>
          <cell r="G1728">
            <v>32426</v>
          </cell>
          <cell r="H1728">
            <v>840</v>
          </cell>
          <cell r="I1728" t="str">
            <v>деп</v>
          </cell>
          <cell r="J1728">
            <v>38391</v>
          </cell>
        </row>
        <row r="1729">
          <cell r="A1729">
            <v>58730029</v>
          </cell>
          <cell r="B1729" t="str">
            <v>ТРАНС СЕКТОР</v>
          </cell>
          <cell r="C1729" t="str">
            <v>ЛОСИНООСТРОВ (МСK)</v>
          </cell>
          <cell r="D1729">
            <v>28430</v>
          </cell>
          <cell r="E1729">
            <v>37841</v>
          </cell>
          <cell r="F1729">
            <v>350</v>
          </cell>
          <cell r="G1729">
            <v>32426</v>
          </cell>
          <cell r="H1729">
            <v>840</v>
          </cell>
          <cell r="I1729" t="str">
            <v>деп</v>
          </cell>
          <cell r="J1729">
            <v>38391</v>
          </cell>
        </row>
        <row r="1730">
          <cell r="A1730">
            <v>58730037</v>
          </cell>
          <cell r="B1730" t="str">
            <v>ТРАНС СЕКТОР</v>
          </cell>
          <cell r="C1730" t="str">
            <v>ЛОСИНООСТРОВ (МСK)</v>
          </cell>
          <cell r="D1730">
            <v>28430</v>
          </cell>
          <cell r="E1730">
            <v>37841</v>
          </cell>
          <cell r="F1730">
            <v>350</v>
          </cell>
          <cell r="G1730">
            <v>32426</v>
          </cell>
          <cell r="H1730">
            <v>840</v>
          </cell>
          <cell r="I1730" t="str">
            <v>деп</v>
          </cell>
          <cell r="J1730">
            <v>38391</v>
          </cell>
        </row>
        <row r="1731">
          <cell r="A1731">
            <v>58730045</v>
          </cell>
          <cell r="B1731" t="str">
            <v>ТРАНС СЕКТОР</v>
          </cell>
          <cell r="C1731" t="str">
            <v>ЛОСИНООСТРОВ (МСK)</v>
          </cell>
          <cell r="D1731">
            <v>28491</v>
          </cell>
          <cell r="E1731">
            <v>37938</v>
          </cell>
          <cell r="F1731">
            <v>350</v>
          </cell>
          <cell r="G1731">
            <v>33761</v>
          </cell>
          <cell r="H1731">
            <v>840</v>
          </cell>
          <cell r="I1731" t="str">
            <v>деп</v>
          </cell>
          <cell r="J1731">
            <v>38485</v>
          </cell>
        </row>
        <row r="1732">
          <cell r="A1732">
            <v>58730052</v>
          </cell>
          <cell r="B1732" t="str">
            <v>ТРАНС СЕКТОР</v>
          </cell>
          <cell r="C1732" t="str">
            <v>ЛОСИНООСТРОВ (МСK)</v>
          </cell>
          <cell r="D1732">
            <v>28491</v>
          </cell>
          <cell r="E1732">
            <v>37938</v>
          </cell>
          <cell r="F1732">
            <v>350</v>
          </cell>
          <cell r="G1732">
            <v>33761</v>
          </cell>
          <cell r="H1732">
            <v>840</v>
          </cell>
          <cell r="I1732" t="str">
            <v>деп</v>
          </cell>
          <cell r="J1732">
            <v>38485</v>
          </cell>
        </row>
        <row r="1733">
          <cell r="A1733">
            <v>58730060</v>
          </cell>
          <cell r="B1733" t="str">
            <v>ТРАНС СЕКТОР</v>
          </cell>
          <cell r="C1733" t="str">
            <v>ЛОСИНООСТРОВ (МСK)</v>
          </cell>
          <cell r="D1733">
            <v>28491</v>
          </cell>
          <cell r="E1733">
            <v>37938</v>
          </cell>
          <cell r="F1733">
            <v>350</v>
          </cell>
          <cell r="G1733">
            <v>33761</v>
          </cell>
          <cell r="H1733">
            <v>840</v>
          </cell>
          <cell r="I1733" t="str">
            <v>деп</v>
          </cell>
          <cell r="J1733">
            <v>38485</v>
          </cell>
        </row>
        <row r="1734">
          <cell r="A1734">
            <v>58730078</v>
          </cell>
          <cell r="B1734" t="str">
            <v>ТРАНС СЕКТОР</v>
          </cell>
          <cell r="C1734" t="str">
            <v>ЛОСИНООСТРОВ (МСK)</v>
          </cell>
          <cell r="D1734">
            <v>28491</v>
          </cell>
          <cell r="E1734">
            <v>37938</v>
          </cell>
          <cell r="F1734">
            <v>350</v>
          </cell>
          <cell r="G1734">
            <v>33761</v>
          </cell>
          <cell r="H1734">
            <v>840</v>
          </cell>
          <cell r="I1734" t="str">
            <v>деп</v>
          </cell>
          <cell r="J1734">
            <v>38485</v>
          </cell>
        </row>
        <row r="1735">
          <cell r="A1735">
            <v>58730243</v>
          </cell>
          <cell r="B1735" t="str">
            <v>ТРАНС СЕКТОР</v>
          </cell>
          <cell r="C1735" t="str">
            <v>ЛОСИНООСТРОВ (МСK)</v>
          </cell>
          <cell r="D1735">
            <v>28399</v>
          </cell>
          <cell r="E1735">
            <v>37883</v>
          </cell>
          <cell r="F1735">
            <v>350</v>
          </cell>
          <cell r="G1735">
            <v>32458</v>
          </cell>
          <cell r="H1735">
            <v>840</v>
          </cell>
          <cell r="I1735" t="str">
            <v>деп</v>
          </cell>
          <cell r="J1735">
            <v>38430</v>
          </cell>
        </row>
        <row r="1736">
          <cell r="A1736">
            <v>58730250</v>
          </cell>
          <cell r="B1736" t="str">
            <v>ТРАНС СЕКТОР</v>
          </cell>
          <cell r="C1736" t="str">
            <v>ЛОСИНООСТРОВ (МСK)</v>
          </cell>
          <cell r="D1736">
            <v>28399</v>
          </cell>
          <cell r="E1736">
            <v>37883</v>
          </cell>
          <cell r="F1736">
            <v>350</v>
          </cell>
          <cell r="G1736">
            <v>32458</v>
          </cell>
          <cell r="H1736">
            <v>840</v>
          </cell>
          <cell r="I1736" t="str">
            <v>деп</v>
          </cell>
          <cell r="J1736">
            <v>38430</v>
          </cell>
        </row>
        <row r="1737">
          <cell r="A1737">
            <v>58730268</v>
          </cell>
          <cell r="B1737" t="str">
            <v>ТРАНС СЕКТОР</v>
          </cell>
          <cell r="C1737" t="str">
            <v>ЛОСИНООСТРОВ (МСK)</v>
          </cell>
          <cell r="D1737">
            <v>28399</v>
          </cell>
          <cell r="E1737">
            <v>37883</v>
          </cell>
          <cell r="F1737">
            <v>350</v>
          </cell>
          <cell r="G1737">
            <v>32458</v>
          </cell>
          <cell r="H1737">
            <v>840</v>
          </cell>
          <cell r="I1737" t="str">
            <v>деп</v>
          </cell>
          <cell r="J1737">
            <v>38430</v>
          </cell>
        </row>
        <row r="1738">
          <cell r="A1738">
            <v>58730276</v>
          </cell>
          <cell r="B1738" t="str">
            <v>ТРАНС СЕКТОР</v>
          </cell>
          <cell r="C1738" t="str">
            <v>ЛОСИНООСТРОВ (МСK)</v>
          </cell>
          <cell r="D1738">
            <v>28399</v>
          </cell>
          <cell r="E1738">
            <v>37883</v>
          </cell>
          <cell r="F1738">
            <v>350</v>
          </cell>
          <cell r="G1738">
            <v>32458</v>
          </cell>
          <cell r="H1738">
            <v>840</v>
          </cell>
          <cell r="I1738" t="str">
            <v>деп</v>
          </cell>
          <cell r="J1738">
            <v>38430</v>
          </cell>
        </row>
        <row r="1739">
          <cell r="A1739">
            <v>58730367</v>
          </cell>
          <cell r="B1739" t="str">
            <v>ТРАНС СЕКТОР</v>
          </cell>
          <cell r="C1739" t="str">
            <v>ЛОСИНООСТРОВ (МСK)</v>
          </cell>
          <cell r="D1739">
            <v>28491</v>
          </cell>
          <cell r="E1739">
            <v>37894</v>
          </cell>
          <cell r="F1739">
            <v>350</v>
          </cell>
          <cell r="G1739">
            <v>32489</v>
          </cell>
          <cell r="H1739">
            <v>840</v>
          </cell>
          <cell r="I1739" t="str">
            <v>деп</v>
          </cell>
          <cell r="J1739">
            <v>38441</v>
          </cell>
        </row>
        <row r="1740">
          <cell r="A1740">
            <v>58730375</v>
          </cell>
          <cell r="B1740" t="str">
            <v>ТРАНС СЕКТОР</v>
          </cell>
          <cell r="C1740" t="str">
            <v>ЛОСИНООСТРОВ (МСK)</v>
          </cell>
          <cell r="D1740">
            <v>28491</v>
          </cell>
          <cell r="E1740">
            <v>37894</v>
          </cell>
          <cell r="F1740">
            <v>350</v>
          </cell>
          <cell r="G1740">
            <v>32489</v>
          </cell>
          <cell r="H1740">
            <v>840</v>
          </cell>
          <cell r="I1740" t="str">
            <v>деп</v>
          </cell>
          <cell r="J1740">
            <v>38441</v>
          </cell>
        </row>
        <row r="1741">
          <cell r="A1741">
            <v>58730383</v>
          </cell>
          <cell r="B1741" t="str">
            <v>ТРАНС СЕКТОР</v>
          </cell>
          <cell r="C1741" t="str">
            <v>ЛОСИНООСТРОВ (МСK)</v>
          </cell>
          <cell r="D1741">
            <v>28491</v>
          </cell>
          <cell r="E1741">
            <v>37894</v>
          </cell>
          <cell r="F1741">
            <v>350</v>
          </cell>
          <cell r="G1741">
            <v>32489</v>
          </cell>
          <cell r="H1741">
            <v>840</v>
          </cell>
          <cell r="I1741" t="str">
            <v>деп</v>
          </cell>
          <cell r="J1741">
            <v>38441</v>
          </cell>
        </row>
        <row r="1742">
          <cell r="A1742">
            <v>58730391</v>
          </cell>
          <cell r="B1742" t="str">
            <v>ТРАНС СЕКТОР</v>
          </cell>
          <cell r="C1742" t="str">
            <v>ЛОСИНООСТРОВ (МСK)</v>
          </cell>
          <cell r="D1742">
            <v>28491</v>
          </cell>
          <cell r="E1742">
            <v>37894</v>
          </cell>
          <cell r="F1742">
            <v>350</v>
          </cell>
          <cell r="G1742">
            <v>32489</v>
          </cell>
          <cell r="H1742">
            <v>840</v>
          </cell>
          <cell r="I1742" t="str">
            <v>деп</v>
          </cell>
          <cell r="J1742">
            <v>38441</v>
          </cell>
        </row>
        <row r="1743">
          <cell r="B1743" t="str">
            <v>ТРАНС СЕКТОР Количество</v>
          </cell>
          <cell r="D1743">
            <v>20</v>
          </cell>
        </row>
        <row r="1744">
          <cell r="A1744">
            <v>58332818</v>
          </cell>
          <cell r="B1744" t="str">
            <v>ТРАНССЕРВИСГРУЗ МОСАВТОДОР</v>
          </cell>
          <cell r="C1744" t="str">
            <v>НАУГОЛЬНЫЙ   (МСK)</v>
          </cell>
          <cell r="D1744">
            <v>31717</v>
          </cell>
          <cell r="E1744">
            <v>37733</v>
          </cell>
          <cell r="F1744">
            <v>350</v>
          </cell>
          <cell r="G1744">
            <v>35776</v>
          </cell>
          <cell r="I1744" t="str">
            <v>деп</v>
          </cell>
          <cell r="J1744">
            <v>38464</v>
          </cell>
        </row>
        <row r="1745">
          <cell r="B1745" t="str">
            <v>ТРАНССЕРВИСГРУЗ МОСАВТОДОР Количество</v>
          </cell>
          <cell r="D1745">
            <v>1</v>
          </cell>
        </row>
        <row r="1746">
          <cell r="A1746">
            <v>53701900</v>
          </cell>
          <cell r="B1746" t="str">
            <v>ТРАНССИБ ТК</v>
          </cell>
          <cell r="C1746" t="str">
            <v>КУШЕЛЕВКА    (ОКТ)</v>
          </cell>
          <cell r="D1746">
            <v>33914</v>
          </cell>
          <cell r="E1746">
            <v>37680</v>
          </cell>
          <cell r="F1746">
            <v>321</v>
          </cell>
          <cell r="H1746">
            <v>0</v>
          </cell>
          <cell r="I1746" t="str">
            <v>деп</v>
          </cell>
          <cell r="J1746">
            <v>38227</v>
          </cell>
        </row>
        <row r="1747">
          <cell r="B1747" t="str">
            <v>ТРАНССИБ ТК Количество</v>
          </cell>
          <cell r="D1747">
            <v>1</v>
          </cell>
        </row>
        <row r="1748">
          <cell r="A1748">
            <v>53700159</v>
          </cell>
          <cell r="B1748" t="str">
            <v>ТРАНССТРОЙМЕХАНИЗАЦИЯ</v>
          </cell>
          <cell r="C1748" t="str">
            <v>ЛЮБЛИНО-СОРТ (МСK)</v>
          </cell>
          <cell r="D1748">
            <v>32874</v>
          </cell>
          <cell r="E1748">
            <v>35020</v>
          </cell>
        </row>
        <row r="1749">
          <cell r="A1749">
            <v>53701017</v>
          </cell>
          <cell r="B1749" t="str">
            <v>ТРАНССТРОЙМЕХАНИЗАЦИЯ</v>
          </cell>
          <cell r="C1749" t="str">
            <v>ЛЮБЛИНО-СОРТ (МСK)</v>
          </cell>
          <cell r="D1749">
            <v>25934</v>
          </cell>
          <cell r="E1749">
            <v>35396</v>
          </cell>
          <cell r="G1749">
            <v>33430</v>
          </cell>
          <cell r="I1749" t="str">
            <v>деп</v>
          </cell>
          <cell r="J1749">
            <v>36491</v>
          </cell>
        </row>
        <row r="1750">
          <cell r="A1750">
            <v>53701447</v>
          </cell>
          <cell r="B1750" t="str">
            <v>ТРАНССТРОЙМЕХАНИЗАЦИЯ</v>
          </cell>
          <cell r="C1750" t="str">
            <v>ЛЮБЛИНО-СОРТ (МСK)</v>
          </cell>
          <cell r="D1750">
            <v>24473</v>
          </cell>
          <cell r="E1750">
            <v>34939</v>
          </cell>
          <cell r="I1750" t="str">
            <v>деп</v>
          </cell>
          <cell r="J1750">
            <v>36035</v>
          </cell>
        </row>
        <row r="1751">
          <cell r="A1751">
            <v>53706701</v>
          </cell>
          <cell r="B1751" t="str">
            <v>ТРАНССТРОЙМЕХАНИЗАЦИЯ</v>
          </cell>
          <cell r="C1751" t="str">
            <v>ЛЮБЛИНО-СОРТ (МСK)</v>
          </cell>
          <cell r="D1751">
            <v>31472</v>
          </cell>
          <cell r="E1751">
            <v>37693</v>
          </cell>
          <cell r="F1751">
            <v>333</v>
          </cell>
          <cell r="H1751">
            <v>0</v>
          </cell>
          <cell r="I1751" t="str">
            <v>деп</v>
          </cell>
          <cell r="J1751">
            <v>32387</v>
          </cell>
        </row>
        <row r="1752">
          <cell r="B1752" t="str">
            <v>ТРАНССТРОЙМЕХАНИЗАЦИЯ Количество</v>
          </cell>
          <cell r="D1752">
            <v>4</v>
          </cell>
        </row>
        <row r="1753">
          <cell r="A1753">
            <v>53701371</v>
          </cell>
          <cell r="B1753" t="str">
            <v>ТУЛАВТОДОР НОВОМОСК.ДРСУ</v>
          </cell>
          <cell r="C1753" t="str">
            <v>УРВАНКА      (МСK)</v>
          </cell>
          <cell r="D1753">
            <v>28157</v>
          </cell>
          <cell r="E1753">
            <v>34637</v>
          </cell>
        </row>
        <row r="1754">
          <cell r="A1754">
            <v>53701389</v>
          </cell>
          <cell r="B1754" t="str">
            <v>ТУЛАВТОДОР НОВОМОСК.ДРСУ</v>
          </cell>
          <cell r="C1754" t="str">
            <v>УРВАНКА      (МСK)</v>
          </cell>
          <cell r="D1754">
            <v>28157</v>
          </cell>
          <cell r="E1754">
            <v>34637</v>
          </cell>
        </row>
        <row r="1755">
          <cell r="B1755" t="str">
            <v>ТУЛАВТОДОР НОВОМОСК.ДРСУ Количество</v>
          </cell>
          <cell r="D1755">
            <v>2</v>
          </cell>
        </row>
        <row r="1756">
          <cell r="A1756">
            <v>53706008</v>
          </cell>
          <cell r="B1756" t="str">
            <v>ТЫНДИНСК.ОТДЕЛ ДОРС</v>
          </cell>
          <cell r="C1756" t="str">
            <v>ТЫНДА        (ДВС)</v>
          </cell>
          <cell r="D1756">
            <v>33749</v>
          </cell>
          <cell r="F1756">
            <v>0</v>
          </cell>
          <cell r="H1756">
            <v>0</v>
          </cell>
          <cell r="I1756" t="str">
            <v>деп</v>
          </cell>
          <cell r="J1756">
            <v>34663</v>
          </cell>
        </row>
        <row r="1757">
          <cell r="A1757">
            <v>58725599</v>
          </cell>
          <cell r="B1757" t="str">
            <v>ТЫНДИНСК.ОТДЕЛ ДОРС</v>
          </cell>
          <cell r="C1757" t="str">
            <v>ТЫНДА        (ДВС)</v>
          </cell>
          <cell r="D1757">
            <v>33751</v>
          </cell>
          <cell r="F1757">
            <v>0</v>
          </cell>
          <cell r="H1757">
            <v>0</v>
          </cell>
          <cell r="I1757" t="str">
            <v>деп</v>
          </cell>
          <cell r="J1757">
            <v>34665</v>
          </cell>
        </row>
        <row r="1758">
          <cell r="A1758">
            <v>58729815</v>
          </cell>
          <cell r="B1758" t="str">
            <v>ТЫНДИНСК.ОТДЕЛ ДОРС</v>
          </cell>
          <cell r="C1758" t="str">
            <v>ТЫНДА        (ДВС)</v>
          </cell>
          <cell r="D1758">
            <v>33751</v>
          </cell>
          <cell r="F1758">
            <v>0</v>
          </cell>
          <cell r="H1758">
            <v>0</v>
          </cell>
          <cell r="I1758" t="str">
            <v>деп</v>
          </cell>
          <cell r="J1758">
            <v>34665</v>
          </cell>
        </row>
        <row r="1759">
          <cell r="A1759">
            <v>58729823</v>
          </cell>
          <cell r="B1759" t="str">
            <v>ТЫНДИНСК.ОТДЕЛ ДОРС</v>
          </cell>
          <cell r="C1759" t="str">
            <v>ТЫНДА        (ДВС)</v>
          </cell>
          <cell r="D1759">
            <v>33751</v>
          </cell>
          <cell r="F1759">
            <v>0</v>
          </cell>
          <cell r="H1759">
            <v>0</v>
          </cell>
          <cell r="I1759" t="str">
            <v>деп</v>
          </cell>
          <cell r="J1759">
            <v>34665</v>
          </cell>
        </row>
        <row r="1760">
          <cell r="A1760">
            <v>58729831</v>
          </cell>
          <cell r="B1760" t="str">
            <v>ТЫНДИНСК.ОТДЕЛ ДОРС</v>
          </cell>
          <cell r="C1760" t="str">
            <v>ТЫНДА        (ДВС)</v>
          </cell>
          <cell r="D1760">
            <v>33751</v>
          </cell>
          <cell r="F1760">
            <v>0</v>
          </cell>
          <cell r="H1760">
            <v>0</v>
          </cell>
          <cell r="I1760" t="str">
            <v>деп</v>
          </cell>
          <cell r="J1760">
            <v>34665</v>
          </cell>
        </row>
        <row r="1761">
          <cell r="B1761" t="str">
            <v>ТЫНДИНСК.ОТДЕЛ ДОРС Количество</v>
          </cell>
          <cell r="D1761">
            <v>5</v>
          </cell>
        </row>
        <row r="1762">
          <cell r="A1762">
            <v>53701728</v>
          </cell>
          <cell r="B1762" t="str">
            <v>ТЭК ТРАНСРЕСУРС-К</v>
          </cell>
          <cell r="C1762" t="str">
            <v>СВЕРДЛВСК-ТВ (СВР)</v>
          </cell>
          <cell r="D1762">
            <v>33792</v>
          </cell>
          <cell r="E1762">
            <v>37531</v>
          </cell>
          <cell r="F1762">
            <v>819</v>
          </cell>
          <cell r="H1762">
            <v>0</v>
          </cell>
          <cell r="I1762" t="str">
            <v>деп</v>
          </cell>
          <cell r="J1762">
            <v>38079</v>
          </cell>
        </row>
        <row r="1763">
          <cell r="A1763">
            <v>58740218</v>
          </cell>
          <cell r="B1763" t="str">
            <v>ТЭК ТРАНСРЕСУРС-К</v>
          </cell>
          <cell r="C1763" t="str">
            <v>СВЕРДЛВСК-ТВ (СВР)</v>
          </cell>
          <cell r="D1763">
            <v>33792</v>
          </cell>
          <cell r="E1763">
            <v>37531</v>
          </cell>
          <cell r="F1763">
            <v>819</v>
          </cell>
          <cell r="H1763">
            <v>0</v>
          </cell>
          <cell r="I1763" t="str">
            <v>деп</v>
          </cell>
          <cell r="J1763">
            <v>38079</v>
          </cell>
        </row>
        <row r="1764">
          <cell r="A1764">
            <v>58740226</v>
          </cell>
          <cell r="B1764" t="str">
            <v>ТЭК ТРАНСРЕСУРС-К</v>
          </cell>
          <cell r="C1764" t="str">
            <v>СВЕРДЛВСК-ТВ (СВР)</v>
          </cell>
          <cell r="D1764">
            <v>33792</v>
          </cell>
          <cell r="E1764">
            <v>37531</v>
          </cell>
          <cell r="F1764">
            <v>819</v>
          </cell>
          <cell r="H1764">
            <v>0</v>
          </cell>
          <cell r="I1764" t="str">
            <v>деп</v>
          </cell>
          <cell r="J1764">
            <v>38079</v>
          </cell>
        </row>
        <row r="1765">
          <cell r="A1765">
            <v>58740234</v>
          </cell>
          <cell r="B1765" t="str">
            <v>ТЭК ТРАНСРЕСУРС-К</v>
          </cell>
          <cell r="C1765" t="str">
            <v>СВЕРДЛВСК-ТВ (СВР)</v>
          </cell>
          <cell r="D1765">
            <v>33792</v>
          </cell>
          <cell r="E1765">
            <v>37531</v>
          </cell>
          <cell r="F1765">
            <v>819</v>
          </cell>
          <cell r="H1765">
            <v>0</v>
          </cell>
          <cell r="I1765" t="str">
            <v>деп</v>
          </cell>
          <cell r="J1765">
            <v>38079</v>
          </cell>
        </row>
        <row r="1766">
          <cell r="A1766">
            <v>58740242</v>
          </cell>
          <cell r="B1766" t="str">
            <v>ТЭК ТРАНСРЕСУРС-К</v>
          </cell>
          <cell r="C1766" t="str">
            <v>СВЕРДЛВСК-ТВ (СВР)</v>
          </cell>
          <cell r="D1766">
            <v>33792</v>
          </cell>
          <cell r="E1766">
            <v>37531</v>
          </cell>
          <cell r="F1766">
            <v>819</v>
          </cell>
          <cell r="H1766">
            <v>0</v>
          </cell>
          <cell r="I1766" t="str">
            <v>деп</v>
          </cell>
          <cell r="J1766">
            <v>38079</v>
          </cell>
        </row>
        <row r="1767">
          <cell r="B1767" t="str">
            <v>ТЭК ТРАНСРЕСУРС-К Количество</v>
          </cell>
          <cell r="D1767">
            <v>5</v>
          </cell>
        </row>
        <row r="1768">
          <cell r="A1768">
            <v>53704284</v>
          </cell>
          <cell r="B1768" t="str">
            <v>УЖДТ 1 СМТ</v>
          </cell>
          <cell r="C1768" t="str">
            <v>БИРЮЛЕВО-ТОВ (МСK)</v>
          </cell>
          <cell r="D1768">
            <v>27395</v>
          </cell>
          <cell r="E1768">
            <v>37578</v>
          </cell>
          <cell r="F1768">
            <v>350</v>
          </cell>
          <cell r="G1768">
            <v>34243</v>
          </cell>
          <cell r="I1768" t="str">
            <v>деп</v>
          </cell>
          <cell r="J1768">
            <v>38674</v>
          </cell>
        </row>
        <row r="1769">
          <cell r="B1769" t="str">
            <v>УЖДТ 1 СМТ Количество</v>
          </cell>
          <cell r="D1769">
            <v>1</v>
          </cell>
        </row>
        <row r="1770">
          <cell r="A1770">
            <v>58331257</v>
          </cell>
          <cell r="B1770" t="str">
            <v>УКРАИНА ЧАСТНАЯ ФИРМА</v>
          </cell>
          <cell r="C1770" t="str">
            <v>ВАНИНО       (ДВС)</v>
          </cell>
          <cell r="D1770">
            <v>31778</v>
          </cell>
          <cell r="E1770">
            <v>34379</v>
          </cell>
          <cell r="I1770" t="str">
            <v>кап</v>
          </cell>
          <cell r="J1770">
            <v>35109</v>
          </cell>
        </row>
        <row r="1771">
          <cell r="A1771">
            <v>58332305</v>
          </cell>
          <cell r="B1771" t="str">
            <v>УКРАИНА ЧАСТНАЯ ФИРМА</v>
          </cell>
          <cell r="C1771" t="str">
            <v>ВАНИНО       (ДВС)</v>
          </cell>
          <cell r="D1771">
            <v>31048</v>
          </cell>
          <cell r="E1771">
            <v>36661</v>
          </cell>
          <cell r="F1771">
            <v>163</v>
          </cell>
          <cell r="I1771" t="str">
            <v>кап</v>
          </cell>
          <cell r="J1771">
            <v>37391</v>
          </cell>
        </row>
        <row r="1772">
          <cell r="B1772" t="str">
            <v>УКРАИНА ЧАСТНАЯ ФИРМА Количество</v>
          </cell>
          <cell r="D1772">
            <v>2</v>
          </cell>
        </row>
        <row r="1773">
          <cell r="A1773">
            <v>53703682</v>
          </cell>
          <cell r="B1773" t="str">
            <v>УПТК АВТОДОРСТРОЙТРЕСТА-3</v>
          </cell>
          <cell r="C1773" t="str">
            <v>РУМЯНЦЕВО    (МСK)</v>
          </cell>
          <cell r="D1773">
            <v>24862</v>
          </cell>
          <cell r="E1773">
            <v>34326</v>
          </cell>
          <cell r="G1773">
            <v>32067</v>
          </cell>
        </row>
        <row r="1774">
          <cell r="B1774" t="str">
            <v>УПТК АВТОДОРСТРОЙТРЕСТА-3 Количество</v>
          </cell>
          <cell r="D1774">
            <v>1</v>
          </cell>
        </row>
        <row r="1775">
          <cell r="A1775">
            <v>53703708</v>
          </cell>
          <cell r="B1775" t="str">
            <v>УПТК БАШКИРАВТОДОРА</v>
          </cell>
          <cell r="C1775" t="str">
            <v>УРШАК        (КБШ)</v>
          </cell>
          <cell r="D1775">
            <v>34151</v>
          </cell>
          <cell r="E1775">
            <v>35810</v>
          </cell>
          <cell r="G1775">
            <v>37481</v>
          </cell>
          <cell r="H1775">
            <v>594</v>
          </cell>
          <cell r="I1775" t="str">
            <v>деп</v>
          </cell>
          <cell r="J1775">
            <v>38577</v>
          </cell>
        </row>
        <row r="1776">
          <cell r="A1776">
            <v>53703716</v>
          </cell>
          <cell r="B1776" t="str">
            <v>УПТК БАШКИРАВТОДОРА</v>
          </cell>
          <cell r="C1776" t="str">
            <v>УРШАК        (КБШ)</v>
          </cell>
          <cell r="D1776">
            <v>34151</v>
          </cell>
          <cell r="E1776">
            <v>35850</v>
          </cell>
          <cell r="G1776">
            <v>37460</v>
          </cell>
          <cell r="H1776">
            <v>600</v>
          </cell>
          <cell r="I1776" t="str">
            <v>деп</v>
          </cell>
          <cell r="J1776">
            <v>38556</v>
          </cell>
        </row>
        <row r="1777">
          <cell r="B1777" t="str">
            <v>УПТК БАШКИРАВТОДОРА Количество</v>
          </cell>
          <cell r="D1777">
            <v>2</v>
          </cell>
        </row>
        <row r="1778">
          <cell r="A1778">
            <v>53703534</v>
          </cell>
          <cell r="B1778" t="str">
            <v>УРГУПС</v>
          </cell>
          <cell r="C1778" t="str">
            <v>СВЕРДЛВСК-СР (СВР)</v>
          </cell>
          <cell r="D1778">
            <v>28985</v>
          </cell>
          <cell r="E1778">
            <v>37479</v>
          </cell>
          <cell r="F1778">
            <v>579</v>
          </cell>
          <cell r="G1778">
            <v>33067</v>
          </cell>
          <cell r="H1778">
            <v>120</v>
          </cell>
          <cell r="I1778" t="str">
            <v>деп</v>
          </cell>
          <cell r="J1778">
            <v>38028</v>
          </cell>
        </row>
        <row r="1779">
          <cell r="A1779">
            <v>53704474</v>
          </cell>
          <cell r="B1779" t="str">
            <v>УРГУПС</v>
          </cell>
          <cell r="C1779" t="str">
            <v>СВЕРДЛВСК-СР (СВР)</v>
          </cell>
          <cell r="D1779">
            <v>27334</v>
          </cell>
          <cell r="E1779">
            <v>37923</v>
          </cell>
          <cell r="F1779">
            <v>819</v>
          </cell>
          <cell r="G1779">
            <v>34810</v>
          </cell>
          <cell r="H1779">
            <v>105</v>
          </cell>
          <cell r="I1779" t="str">
            <v>деп</v>
          </cell>
          <cell r="J1779">
            <v>38471</v>
          </cell>
        </row>
        <row r="1780">
          <cell r="A1780">
            <v>53704482</v>
          </cell>
          <cell r="B1780" t="str">
            <v>УРГУПС</v>
          </cell>
          <cell r="C1780" t="str">
            <v>СВЕРДЛВСК-СР (СВР)</v>
          </cell>
          <cell r="D1780">
            <v>27303</v>
          </cell>
          <cell r="E1780">
            <v>37579</v>
          </cell>
          <cell r="F1780">
            <v>579</v>
          </cell>
          <cell r="G1780">
            <v>34850</v>
          </cell>
          <cell r="I1780" t="str">
            <v>деп</v>
          </cell>
          <cell r="J1780">
            <v>38675</v>
          </cell>
        </row>
        <row r="1781">
          <cell r="A1781">
            <v>53704508</v>
          </cell>
          <cell r="B1781" t="str">
            <v>УРГУПС</v>
          </cell>
          <cell r="C1781" t="str">
            <v>СВЕРДЛВСК-СР (СВР)</v>
          </cell>
          <cell r="D1781">
            <v>28199</v>
          </cell>
          <cell r="E1781">
            <v>37594</v>
          </cell>
          <cell r="F1781">
            <v>579</v>
          </cell>
          <cell r="G1781">
            <v>34819</v>
          </cell>
          <cell r="H1781">
            <v>105</v>
          </cell>
          <cell r="I1781" t="str">
            <v>деп</v>
          </cell>
          <cell r="J1781">
            <v>38142</v>
          </cell>
        </row>
        <row r="1782">
          <cell r="A1782">
            <v>53704771</v>
          </cell>
          <cell r="B1782" t="str">
            <v>УРГУПС</v>
          </cell>
          <cell r="C1782" t="str">
            <v>СВЕРДЛВСК-СР (СВР)</v>
          </cell>
          <cell r="D1782">
            <v>29504</v>
          </cell>
          <cell r="E1782">
            <v>37546</v>
          </cell>
          <cell r="F1782">
            <v>579</v>
          </cell>
          <cell r="G1782">
            <v>33689</v>
          </cell>
          <cell r="H1782">
            <v>0</v>
          </cell>
          <cell r="I1782" t="str">
            <v>деп</v>
          </cell>
          <cell r="J1782">
            <v>38642</v>
          </cell>
        </row>
        <row r="1783">
          <cell r="A1783">
            <v>53704789</v>
          </cell>
          <cell r="B1783" t="str">
            <v>УРГУПС</v>
          </cell>
          <cell r="C1783" t="str">
            <v>СВЕРДЛВСК-СР (СВР)</v>
          </cell>
          <cell r="D1783">
            <v>29504</v>
          </cell>
          <cell r="E1783">
            <v>37627</v>
          </cell>
          <cell r="F1783">
            <v>579</v>
          </cell>
          <cell r="G1783">
            <v>33689</v>
          </cell>
          <cell r="H1783">
            <v>0</v>
          </cell>
          <cell r="I1783" t="str">
            <v>деп</v>
          </cell>
          <cell r="J1783">
            <v>38723</v>
          </cell>
        </row>
        <row r="1784">
          <cell r="A1784">
            <v>53704805</v>
          </cell>
          <cell r="B1784" t="str">
            <v>УРГУПС</v>
          </cell>
          <cell r="C1784" t="str">
            <v>СВЕРДЛВСК-СР (СВР)</v>
          </cell>
          <cell r="D1784">
            <v>31990</v>
          </cell>
          <cell r="E1784">
            <v>37672</v>
          </cell>
          <cell r="F1784">
            <v>579</v>
          </cell>
          <cell r="G1784">
            <v>33689</v>
          </cell>
          <cell r="H1784">
            <v>0</v>
          </cell>
          <cell r="I1784" t="str">
            <v>кап</v>
          </cell>
          <cell r="J1784">
            <v>38768</v>
          </cell>
        </row>
        <row r="1785">
          <cell r="A1785">
            <v>53705562</v>
          </cell>
          <cell r="B1785" t="str">
            <v>УРГУПС</v>
          </cell>
          <cell r="C1785" t="str">
            <v>СВЕРДЛВСК-СР (СВР)</v>
          </cell>
          <cell r="D1785">
            <v>28590</v>
          </cell>
          <cell r="E1785">
            <v>37613</v>
          </cell>
          <cell r="F1785">
            <v>579</v>
          </cell>
          <cell r="G1785">
            <v>32720</v>
          </cell>
          <cell r="H1785">
            <v>120</v>
          </cell>
          <cell r="I1785" t="str">
            <v>деп</v>
          </cell>
          <cell r="J1785">
            <v>38709</v>
          </cell>
        </row>
        <row r="1786">
          <cell r="A1786">
            <v>53705570</v>
          </cell>
          <cell r="B1786" t="str">
            <v>УРГУПС</v>
          </cell>
          <cell r="C1786" t="str">
            <v>СВЕРДЛВСК-СР (СВР)</v>
          </cell>
          <cell r="D1786">
            <v>28590</v>
          </cell>
          <cell r="E1786">
            <v>37767</v>
          </cell>
          <cell r="F1786">
            <v>579</v>
          </cell>
          <cell r="G1786">
            <v>35243</v>
          </cell>
          <cell r="H1786">
            <v>105</v>
          </cell>
          <cell r="I1786" t="str">
            <v>деп</v>
          </cell>
          <cell r="J1786">
            <v>38317</v>
          </cell>
        </row>
        <row r="1787">
          <cell r="A1787">
            <v>53705588</v>
          </cell>
          <cell r="B1787" t="str">
            <v>УРГУПС</v>
          </cell>
          <cell r="C1787" t="str">
            <v>СВЕРДЛВСК-СР (СВР)</v>
          </cell>
          <cell r="D1787">
            <v>30418</v>
          </cell>
          <cell r="E1787">
            <v>37395</v>
          </cell>
          <cell r="F1787">
            <v>579</v>
          </cell>
          <cell r="G1787">
            <v>37965</v>
          </cell>
          <cell r="H1787">
            <v>819</v>
          </cell>
          <cell r="I1787" t="str">
            <v>деп</v>
          </cell>
          <cell r="J1787">
            <v>38513</v>
          </cell>
        </row>
        <row r="1788">
          <cell r="A1788">
            <v>53705604</v>
          </cell>
          <cell r="B1788" t="str">
            <v>УРГУПС</v>
          </cell>
          <cell r="C1788" t="str">
            <v>СВЕРДЛВСК-СР (СВР)</v>
          </cell>
          <cell r="D1788">
            <v>32030</v>
          </cell>
          <cell r="E1788">
            <v>37411</v>
          </cell>
          <cell r="F1788">
            <v>579</v>
          </cell>
          <cell r="G1788">
            <v>37984</v>
          </cell>
          <cell r="H1788">
            <v>819</v>
          </cell>
          <cell r="I1788" t="str">
            <v>деп</v>
          </cell>
          <cell r="J1788">
            <v>38532</v>
          </cell>
        </row>
        <row r="1789">
          <cell r="A1789">
            <v>53705612</v>
          </cell>
          <cell r="B1789" t="str">
            <v>УРГУПС</v>
          </cell>
          <cell r="C1789" t="str">
            <v>СВЕРДЛВСК-СР (СВР)</v>
          </cell>
          <cell r="D1789">
            <v>31999</v>
          </cell>
          <cell r="E1789">
            <v>37443</v>
          </cell>
          <cell r="F1789">
            <v>579</v>
          </cell>
          <cell r="H1789">
            <v>0</v>
          </cell>
          <cell r="I1789" t="str">
            <v>кап</v>
          </cell>
          <cell r="J1789">
            <v>37992</v>
          </cell>
        </row>
        <row r="1790">
          <cell r="A1790">
            <v>53705620</v>
          </cell>
          <cell r="B1790" t="str">
            <v>УРГУПС</v>
          </cell>
          <cell r="C1790" t="str">
            <v>СВЕРДЛВСК-СР (СВР)</v>
          </cell>
          <cell r="D1790">
            <v>30722</v>
          </cell>
          <cell r="E1790">
            <v>37471</v>
          </cell>
          <cell r="F1790">
            <v>579</v>
          </cell>
          <cell r="H1790">
            <v>0</v>
          </cell>
          <cell r="I1790" t="str">
            <v>кап</v>
          </cell>
          <cell r="J1790">
            <v>38020</v>
          </cell>
        </row>
        <row r="1791">
          <cell r="A1791">
            <v>53705638</v>
          </cell>
          <cell r="B1791" t="str">
            <v>УРГУПС</v>
          </cell>
          <cell r="C1791" t="str">
            <v>СВЕРДЛВСК-СР (СВР)</v>
          </cell>
          <cell r="D1791">
            <v>31999</v>
          </cell>
          <cell r="E1791">
            <v>37697</v>
          </cell>
          <cell r="F1791">
            <v>579</v>
          </cell>
          <cell r="H1791">
            <v>0</v>
          </cell>
          <cell r="I1791" t="str">
            <v>кап</v>
          </cell>
          <cell r="J1791">
            <v>38793</v>
          </cell>
        </row>
        <row r="1792">
          <cell r="A1792">
            <v>53705646</v>
          </cell>
          <cell r="B1792" t="str">
            <v>УРГУПС</v>
          </cell>
          <cell r="C1792" t="str">
            <v>СВЕРДЛВСК-СР (СВР)</v>
          </cell>
          <cell r="D1792">
            <v>28590</v>
          </cell>
          <cell r="E1792">
            <v>36877</v>
          </cell>
          <cell r="F1792">
            <v>579</v>
          </cell>
          <cell r="G1792">
            <v>37599</v>
          </cell>
          <cell r="H1792">
            <v>819</v>
          </cell>
          <cell r="I1792" t="str">
            <v>деп</v>
          </cell>
          <cell r="J1792">
            <v>38695</v>
          </cell>
        </row>
        <row r="1793">
          <cell r="A1793">
            <v>53705653</v>
          </cell>
          <cell r="B1793" t="str">
            <v>УРГУПС</v>
          </cell>
          <cell r="C1793" t="str">
            <v>СВЕРДЛВСК-СР (СВР)</v>
          </cell>
          <cell r="D1793">
            <v>31999</v>
          </cell>
          <cell r="E1793">
            <v>37360</v>
          </cell>
          <cell r="F1793">
            <v>579</v>
          </cell>
          <cell r="G1793">
            <v>37906</v>
          </cell>
          <cell r="H1793">
            <v>819</v>
          </cell>
          <cell r="I1793" t="str">
            <v>деп</v>
          </cell>
          <cell r="J1793">
            <v>38454</v>
          </cell>
        </row>
        <row r="1794">
          <cell r="A1794">
            <v>53706255</v>
          </cell>
          <cell r="B1794" t="str">
            <v>УРГУПС</v>
          </cell>
          <cell r="C1794" t="str">
            <v>СВЕРДЛВСК-СР (СВР)</v>
          </cell>
          <cell r="D1794">
            <v>28194</v>
          </cell>
          <cell r="E1794">
            <v>36496</v>
          </cell>
          <cell r="F1794">
            <v>579</v>
          </cell>
          <cell r="G1794">
            <v>37584</v>
          </cell>
          <cell r="H1794">
            <v>819</v>
          </cell>
          <cell r="I1794" t="str">
            <v>деп</v>
          </cell>
          <cell r="J1794">
            <v>38131</v>
          </cell>
        </row>
        <row r="1795">
          <cell r="A1795">
            <v>53706263</v>
          </cell>
          <cell r="B1795" t="str">
            <v>УРГУПС</v>
          </cell>
          <cell r="C1795" t="str">
            <v>СВЕРДЛВСК-СР (СВР)</v>
          </cell>
          <cell r="D1795">
            <v>27613</v>
          </cell>
          <cell r="E1795">
            <v>37544</v>
          </cell>
          <cell r="F1795">
            <v>579</v>
          </cell>
          <cell r="G1795">
            <v>34335</v>
          </cell>
          <cell r="H1795">
            <v>579</v>
          </cell>
          <cell r="I1795" t="str">
            <v>деп</v>
          </cell>
          <cell r="J1795">
            <v>38092</v>
          </cell>
        </row>
        <row r="1796">
          <cell r="A1796">
            <v>53706271</v>
          </cell>
          <cell r="B1796" t="str">
            <v>УРГУПС</v>
          </cell>
          <cell r="C1796" t="str">
            <v>СВЕРДЛВСК-СР (СВР)</v>
          </cell>
          <cell r="D1796">
            <v>26981</v>
          </cell>
          <cell r="E1796">
            <v>37518</v>
          </cell>
          <cell r="F1796">
            <v>579</v>
          </cell>
          <cell r="G1796">
            <v>32874</v>
          </cell>
          <cell r="H1796">
            <v>579</v>
          </cell>
          <cell r="I1796" t="str">
            <v>деп</v>
          </cell>
          <cell r="J1796">
            <v>38065</v>
          </cell>
        </row>
        <row r="1797">
          <cell r="B1797" t="str">
            <v>УРГУПС Количество</v>
          </cell>
          <cell r="D1797">
            <v>19</v>
          </cell>
        </row>
        <row r="1798">
          <cell r="A1798">
            <v>53703625</v>
          </cell>
          <cell r="B1798" t="str">
            <v>УТЕС ЛТД КРАСНОЯРСК.ПРЕДПР</v>
          </cell>
          <cell r="C1798" t="str">
            <v>ЗЛОБИНО      (КРС)</v>
          </cell>
          <cell r="D1798">
            <v>33604</v>
          </cell>
          <cell r="E1798">
            <v>37620</v>
          </cell>
          <cell r="F1798">
            <v>635</v>
          </cell>
          <cell r="I1798" t="str">
            <v>кап</v>
          </cell>
          <cell r="J1798">
            <v>38716</v>
          </cell>
        </row>
        <row r="1799">
          <cell r="B1799" t="str">
            <v>УТЕС ЛТД КРАСНОЯРСК.ПРЕДПР Количество</v>
          </cell>
          <cell r="D1799">
            <v>1</v>
          </cell>
        </row>
        <row r="1800">
          <cell r="A1800">
            <v>53703385</v>
          </cell>
          <cell r="B1800" t="str">
            <v>ФИЕСТА</v>
          </cell>
          <cell r="C1800" t="str">
            <v>КИТОЙ-КОМБНТ (ВСБ)</v>
          </cell>
          <cell r="D1800">
            <v>34580</v>
          </cell>
          <cell r="E1800">
            <v>35971</v>
          </cell>
          <cell r="I1800" t="str">
            <v>деп</v>
          </cell>
          <cell r="J1800">
            <v>37067</v>
          </cell>
        </row>
        <row r="1801">
          <cell r="A1801">
            <v>58722349</v>
          </cell>
          <cell r="B1801" t="str">
            <v>ФИЕСТА</v>
          </cell>
          <cell r="C1801" t="str">
            <v>КИТОЙ-КОМБНТ (ВСБ)</v>
          </cell>
          <cell r="D1801">
            <v>34580</v>
          </cell>
          <cell r="E1801">
            <v>35971</v>
          </cell>
          <cell r="I1801" t="str">
            <v>деп</v>
          </cell>
          <cell r="J1801">
            <v>36702</v>
          </cell>
        </row>
        <row r="1802">
          <cell r="A1802">
            <v>58722356</v>
          </cell>
          <cell r="B1802" t="str">
            <v>ФИЕСТА</v>
          </cell>
          <cell r="C1802" t="str">
            <v>КИТОЙ-КОМБНТ (ВСБ)</v>
          </cell>
          <cell r="D1802">
            <v>34580</v>
          </cell>
          <cell r="E1802">
            <v>35971</v>
          </cell>
          <cell r="I1802" t="str">
            <v>деп</v>
          </cell>
          <cell r="J1802">
            <v>36702</v>
          </cell>
        </row>
        <row r="1803">
          <cell r="B1803" t="str">
            <v>ФИЕСТА Количество</v>
          </cell>
          <cell r="D1803">
            <v>3</v>
          </cell>
        </row>
        <row r="1804">
          <cell r="A1804">
            <v>53703633</v>
          </cell>
          <cell r="B1804" t="str">
            <v>ФИНПРОМКО УПК</v>
          </cell>
          <cell r="C1804" t="str">
            <v>ЛЕЧЕБНЫЙ     (СВР)</v>
          </cell>
          <cell r="D1804">
            <v>26299</v>
          </cell>
          <cell r="E1804">
            <v>34981</v>
          </cell>
          <cell r="G1804">
            <v>33889</v>
          </cell>
          <cell r="I1804" t="str">
            <v>деп</v>
          </cell>
          <cell r="J1804">
            <v>36077</v>
          </cell>
        </row>
        <row r="1805">
          <cell r="A1805">
            <v>58722984</v>
          </cell>
          <cell r="B1805" t="str">
            <v>ФИНПРОМКО УПК</v>
          </cell>
          <cell r="C1805" t="str">
            <v>ЛЕЧЕБНЫЙ     (СВР)</v>
          </cell>
          <cell r="D1805">
            <v>26299</v>
          </cell>
          <cell r="E1805">
            <v>34981</v>
          </cell>
          <cell r="G1805">
            <v>33889</v>
          </cell>
          <cell r="I1805" t="str">
            <v>деп</v>
          </cell>
          <cell r="J1805">
            <v>35712</v>
          </cell>
        </row>
        <row r="1806">
          <cell r="A1806">
            <v>58723008</v>
          </cell>
          <cell r="B1806" t="str">
            <v>ФИНПРОМКО УПК</v>
          </cell>
          <cell r="C1806" t="str">
            <v>ЛЕЧЕБНЫЙ     (СВР)</v>
          </cell>
          <cell r="D1806">
            <v>26299</v>
          </cell>
          <cell r="E1806">
            <v>34981</v>
          </cell>
          <cell r="G1806">
            <v>33889</v>
          </cell>
          <cell r="I1806" t="str">
            <v>деп</v>
          </cell>
          <cell r="J1806">
            <v>35712</v>
          </cell>
        </row>
        <row r="1807">
          <cell r="A1807">
            <v>58723016</v>
          </cell>
          <cell r="B1807" t="str">
            <v>ФИНПРОМКО УПК</v>
          </cell>
          <cell r="C1807" t="str">
            <v>ЛЕЧЕБНЫЙ     (СВР)</v>
          </cell>
          <cell r="D1807">
            <v>26299</v>
          </cell>
          <cell r="E1807">
            <v>34981</v>
          </cell>
          <cell r="G1807">
            <v>33889</v>
          </cell>
          <cell r="I1807" t="str">
            <v>деп</v>
          </cell>
          <cell r="J1807">
            <v>35712</v>
          </cell>
        </row>
        <row r="1808">
          <cell r="A1808">
            <v>58723024</v>
          </cell>
          <cell r="B1808" t="str">
            <v>ФИНПРОМКО УПК</v>
          </cell>
          <cell r="C1808" t="str">
            <v>ЛЕЧЕБНЫЙ     (СВР)</v>
          </cell>
          <cell r="D1808">
            <v>26299</v>
          </cell>
          <cell r="E1808">
            <v>34981</v>
          </cell>
          <cell r="G1808">
            <v>33889</v>
          </cell>
          <cell r="I1808" t="str">
            <v>деп</v>
          </cell>
          <cell r="J1808">
            <v>35712</v>
          </cell>
        </row>
        <row r="1809">
          <cell r="B1809" t="str">
            <v>ФИНПРОМКО УПК Количество</v>
          </cell>
          <cell r="D1809">
            <v>5</v>
          </cell>
        </row>
        <row r="1810">
          <cell r="A1810">
            <v>53702635</v>
          </cell>
          <cell r="B1810" t="str">
            <v>ЦЕНТР РАБОЧ.СНАБЖЕНИЯ ДВС</v>
          </cell>
          <cell r="C1810" t="str">
            <v>ХАБАРОВСК 1  (ДВС)</v>
          </cell>
          <cell r="D1810">
            <v>33563</v>
          </cell>
          <cell r="E1810">
            <v>37420</v>
          </cell>
          <cell r="F1810">
            <v>163</v>
          </cell>
          <cell r="H1810">
            <v>0</v>
          </cell>
          <cell r="I1810" t="str">
            <v>деп</v>
          </cell>
          <cell r="J1810">
            <v>37968</v>
          </cell>
        </row>
        <row r="1811">
          <cell r="A1811">
            <v>53705984</v>
          </cell>
          <cell r="B1811" t="str">
            <v>ЦЕНТР РАБОЧ.СНАБЖЕНИЯ ДВС</v>
          </cell>
          <cell r="C1811" t="str">
            <v>ХАБАРОВСК 1  (ДВС)</v>
          </cell>
          <cell r="D1811">
            <v>33771</v>
          </cell>
          <cell r="E1811">
            <v>37598</v>
          </cell>
          <cell r="F1811">
            <v>163</v>
          </cell>
          <cell r="H1811">
            <v>0</v>
          </cell>
          <cell r="I1811" t="str">
            <v>деп</v>
          </cell>
          <cell r="J1811">
            <v>38146</v>
          </cell>
        </row>
        <row r="1812">
          <cell r="A1812">
            <v>58342411</v>
          </cell>
          <cell r="B1812" t="str">
            <v>ЦЕНТР РАБОЧ.СНАБЖЕНИЯ ДВС</v>
          </cell>
          <cell r="C1812" t="str">
            <v>ХАБАРОВСК 1  (ДВС)</v>
          </cell>
          <cell r="D1812">
            <v>30610</v>
          </cell>
          <cell r="F1812">
            <v>0</v>
          </cell>
          <cell r="G1812">
            <v>37049</v>
          </cell>
          <cell r="H1812">
            <v>163</v>
          </cell>
          <cell r="I1812" t="str">
            <v>деп</v>
          </cell>
          <cell r="J1812">
            <v>37597</v>
          </cell>
        </row>
        <row r="1813">
          <cell r="A1813">
            <v>58342429</v>
          </cell>
          <cell r="B1813" t="str">
            <v>ЦЕНТР РАБОЧ.СНАБЖЕНИЯ ДВС</v>
          </cell>
          <cell r="C1813" t="str">
            <v>ХАБАРОВСК 1  (ДВС)</v>
          </cell>
          <cell r="D1813">
            <v>30633</v>
          </cell>
          <cell r="E1813">
            <v>37805</v>
          </cell>
          <cell r="F1813">
            <v>163</v>
          </cell>
          <cell r="G1813">
            <v>37068</v>
          </cell>
          <cell r="H1813">
            <v>163</v>
          </cell>
          <cell r="I1813" t="str">
            <v>деп</v>
          </cell>
          <cell r="J1813">
            <v>38355</v>
          </cell>
        </row>
        <row r="1814">
          <cell r="A1814">
            <v>58721572</v>
          </cell>
          <cell r="B1814" t="str">
            <v>ЦЕНТР РАБОЧ.СНАБЖЕНИЯ ДВС</v>
          </cell>
          <cell r="C1814" t="str">
            <v>ХАБАРОВСК 1  (ДВС)</v>
          </cell>
          <cell r="D1814">
            <v>33563</v>
          </cell>
          <cell r="E1814">
            <v>37420</v>
          </cell>
          <cell r="F1814">
            <v>163</v>
          </cell>
          <cell r="I1814" t="str">
            <v>деп</v>
          </cell>
          <cell r="J1814">
            <v>38151</v>
          </cell>
        </row>
        <row r="1815">
          <cell r="A1815">
            <v>58721580</v>
          </cell>
          <cell r="B1815" t="str">
            <v>ЦЕНТР РАБОЧ.СНАБЖЕНИЯ ДВС</v>
          </cell>
          <cell r="C1815" t="str">
            <v>ХАБАРОВСК 1  (ДВС)</v>
          </cell>
          <cell r="D1815">
            <v>33563</v>
          </cell>
          <cell r="E1815">
            <v>37420</v>
          </cell>
          <cell r="F1815">
            <v>163</v>
          </cell>
          <cell r="I1815" t="str">
            <v>деп</v>
          </cell>
          <cell r="J1815">
            <v>38151</v>
          </cell>
        </row>
        <row r="1816">
          <cell r="A1816">
            <v>58721606</v>
          </cell>
          <cell r="B1816" t="str">
            <v>ЦЕНТР РАБОЧ.СНАБЖЕНИЯ ДВС</v>
          </cell>
          <cell r="C1816" t="str">
            <v>ХАБАРОВСК 1  (ДВС)</v>
          </cell>
          <cell r="D1816">
            <v>33563</v>
          </cell>
          <cell r="E1816">
            <v>37420</v>
          </cell>
          <cell r="F1816">
            <v>163</v>
          </cell>
          <cell r="I1816" t="str">
            <v>деп</v>
          </cell>
          <cell r="J1816">
            <v>38151</v>
          </cell>
        </row>
        <row r="1817">
          <cell r="A1817">
            <v>58721614</v>
          </cell>
          <cell r="B1817" t="str">
            <v>ЦЕНТР РАБОЧ.СНАБЖЕНИЯ ДВС</v>
          </cell>
          <cell r="C1817" t="str">
            <v>ХАБАРОВСК 1  (ДВС)</v>
          </cell>
          <cell r="D1817">
            <v>33563</v>
          </cell>
          <cell r="E1817">
            <v>37420</v>
          </cell>
          <cell r="F1817">
            <v>163</v>
          </cell>
          <cell r="I1817" t="str">
            <v>деп</v>
          </cell>
          <cell r="J1817">
            <v>38151</v>
          </cell>
        </row>
        <row r="1818">
          <cell r="A1818">
            <v>58729765</v>
          </cell>
          <cell r="B1818" t="str">
            <v>ЦЕНТР РАБОЧ.СНАБЖЕНИЯ ДВС</v>
          </cell>
          <cell r="C1818" t="str">
            <v>ХАБАРОВСК 1  (ДВС)</v>
          </cell>
          <cell r="D1818">
            <v>33771</v>
          </cell>
          <cell r="E1818">
            <v>37590</v>
          </cell>
          <cell r="F1818">
            <v>163</v>
          </cell>
          <cell r="H1818">
            <v>0</v>
          </cell>
          <cell r="I1818" t="str">
            <v>деп</v>
          </cell>
          <cell r="J1818">
            <v>38137</v>
          </cell>
        </row>
        <row r="1819">
          <cell r="A1819">
            <v>58729773</v>
          </cell>
          <cell r="B1819" t="str">
            <v>ЦЕНТР РАБОЧ.СНАБЖЕНИЯ ДВС</v>
          </cell>
          <cell r="C1819" t="str">
            <v>ХАБАРОВСК 1  (ДВС)</v>
          </cell>
          <cell r="D1819">
            <v>33771</v>
          </cell>
          <cell r="E1819">
            <v>37590</v>
          </cell>
          <cell r="F1819">
            <v>163</v>
          </cell>
          <cell r="H1819">
            <v>0</v>
          </cell>
          <cell r="I1819" t="str">
            <v>деп</v>
          </cell>
          <cell r="J1819">
            <v>38137</v>
          </cell>
        </row>
        <row r="1820">
          <cell r="A1820">
            <v>58729781</v>
          </cell>
          <cell r="B1820" t="str">
            <v>ЦЕНТР РАБОЧ.СНАБЖЕНИЯ ДВС</v>
          </cell>
          <cell r="C1820" t="str">
            <v>ХАБАРОВСК 1  (ДВС)</v>
          </cell>
          <cell r="D1820">
            <v>33771</v>
          </cell>
          <cell r="E1820">
            <v>37590</v>
          </cell>
          <cell r="F1820">
            <v>163</v>
          </cell>
          <cell r="H1820">
            <v>0</v>
          </cell>
          <cell r="I1820" t="str">
            <v>деп</v>
          </cell>
          <cell r="J1820">
            <v>38137</v>
          </cell>
        </row>
        <row r="1821">
          <cell r="A1821">
            <v>58729807</v>
          </cell>
          <cell r="B1821" t="str">
            <v>ЦЕНТР РАБОЧ.СНАБЖЕНИЯ ДВС</v>
          </cell>
          <cell r="C1821" t="str">
            <v>ХАБАРОВСК 1  (ДВС)</v>
          </cell>
          <cell r="D1821">
            <v>33771</v>
          </cell>
          <cell r="E1821">
            <v>37590</v>
          </cell>
          <cell r="F1821">
            <v>163</v>
          </cell>
          <cell r="H1821">
            <v>0</v>
          </cell>
          <cell r="I1821" t="str">
            <v>деп</v>
          </cell>
          <cell r="J1821">
            <v>38137</v>
          </cell>
        </row>
        <row r="1822">
          <cell r="B1822" t="str">
            <v>ЦЕНТР РАБОЧ.СНАБЖЕНИЯ ДВС Количество</v>
          </cell>
          <cell r="D1822">
            <v>12</v>
          </cell>
        </row>
        <row r="1823">
          <cell r="A1823">
            <v>53704318</v>
          </cell>
          <cell r="B1823" t="str">
            <v>ЦИГЕЛЬ</v>
          </cell>
          <cell r="C1823" t="str">
            <v>ЗЕЛЕНОКУМСК  (СКВ)</v>
          </cell>
          <cell r="D1823">
            <v>28338</v>
          </cell>
          <cell r="E1823">
            <v>35278</v>
          </cell>
          <cell r="G1823">
            <v>32356</v>
          </cell>
          <cell r="I1823" t="str">
            <v>деп</v>
          </cell>
          <cell r="J1823">
            <v>36373</v>
          </cell>
        </row>
        <row r="1824">
          <cell r="B1824" t="str">
            <v>ЦИГЕЛЬ Количество</v>
          </cell>
          <cell r="D1824">
            <v>1</v>
          </cell>
        </row>
        <row r="1825">
          <cell r="A1825">
            <v>53702569</v>
          </cell>
          <cell r="B1825" t="str">
            <v>ЧАСТ.ПРЕДПР.ГОРДИЕНКО С.О.</v>
          </cell>
          <cell r="C1825" t="str">
            <v>КОМБИНАТСКАЯ (ЗСБ)</v>
          </cell>
          <cell r="D1825">
            <v>33712</v>
          </cell>
          <cell r="F1825">
            <v>0</v>
          </cell>
          <cell r="H1825">
            <v>0</v>
          </cell>
          <cell r="I1825" t="str">
            <v>деп</v>
          </cell>
          <cell r="J1825">
            <v>34625</v>
          </cell>
        </row>
        <row r="1826">
          <cell r="B1826" t="str">
            <v>ЧАСТ.ПРЕДПР.ГОРДИЕНКО С.О. Количество</v>
          </cell>
          <cell r="D1826">
            <v>1</v>
          </cell>
        </row>
        <row r="1827">
          <cell r="A1827">
            <v>58331216</v>
          </cell>
          <cell r="B1827" t="str">
            <v>ЧАСТН.ПРЕДПР.В.Н.ЧУПРИН</v>
          </cell>
          <cell r="C1827" t="str">
            <v>СИБИРСКАЯ    (ЗСБ)</v>
          </cell>
          <cell r="D1827">
            <v>31868</v>
          </cell>
          <cell r="E1827">
            <v>37918</v>
          </cell>
          <cell r="F1827">
            <v>616</v>
          </cell>
          <cell r="G1827">
            <v>34837</v>
          </cell>
          <cell r="H1827">
            <v>492</v>
          </cell>
          <cell r="I1827" t="str">
            <v>деп</v>
          </cell>
          <cell r="J1827">
            <v>38466</v>
          </cell>
        </row>
        <row r="1828">
          <cell r="A1828">
            <v>58332222</v>
          </cell>
          <cell r="B1828" t="str">
            <v>ЧАСТН.ПРЕДПР.В.Н.ЧУПРИН</v>
          </cell>
          <cell r="C1828" t="str">
            <v>СИБИРСКАЯ    (ЗСБ)</v>
          </cell>
          <cell r="D1828">
            <v>31868</v>
          </cell>
          <cell r="E1828">
            <v>37894</v>
          </cell>
          <cell r="F1828">
            <v>163</v>
          </cell>
          <cell r="G1828">
            <v>34860</v>
          </cell>
          <cell r="H1828">
            <v>492</v>
          </cell>
          <cell r="I1828" t="str">
            <v>деп</v>
          </cell>
          <cell r="J1828">
            <v>38441</v>
          </cell>
        </row>
        <row r="1829">
          <cell r="A1829">
            <v>58332263</v>
          </cell>
          <cell r="B1829" t="str">
            <v>ЧАСТН.ПРЕДПР.В.Н.ЧУПРИН</v>
          </cell>
          <cell r="C1829" t="str">
            <v>СИБИРСКАЯ    (ЗСБ)</v>
          </cell>
          <cell r="D1829">
            <v>31868</v>
          </cell>
          <cell r="E1829">
            <v>37446</v>
          </cell>
          <cell r="F1829">
            <v>231</v>
          </cell>
          <cell r="G1829">
            <v>36662</v>
          </cell>
          <cell r="H1829">
            <v>557</v>
          </cell>
          <cell r="I1829" t="str">
            <v>деп</v>
          </cell>
          <cell r="J1829">
            <v>38177</v>
          </cell>
        </row>
        <row r="1830">
          <cell r="A1830">
            <v>58332271</v>
          </cell>
          <cell r="B1830" t="str">
            <v>ЧАСТН.ПРЕДПР.В.Н.ЧУПРИН</v>
          </cell>
          <cell r="C1830" t="str">
            <v>СИБИРСКАЯ    (ЗСБ)</v>
          </cell>
          <cell r="D1830">
            <v>31868</v>
          </cell>
          <cell r="E1830">
            <v>37779</v>
          </cell>
          <cell r="F1830">
            <v>626</v>
          </cell>
          <cell r="G1830">
            <v>35595</v>
          </cell>
          <cell r="H1830">
            <v>492</v>
          </cell>
          <cell r="I1830" t="str">
            <v>деп</v>
          </cell>
          <cell r="J1830">
            <v>38328</v>
          </cell>
        </row>
        <row r="1831">
          <cell r="B1831" t="str">
            <v>ЧАСТН.ПРЕДПР.В.Н.ЧУПРИН Количество</v>
          </cell>
          <cell r="D1831">
            <v>4</v>
          </cell>
        </row>
        <row r="1832">
          <cell r="A1832">
            <v>58724758</v>
          </cell>
          <cell r="B1832" t="str">
            <v>ЧАСТН.ПРЕДПР.В.Ф.ДАВЫДОВ</v>
          </cell>
          <cell r="C1832" t="str">
            <v>УССУРИЙСК    (ДВС)</v>
          </cell>
          <cell r="D1832">
            <v>33178</v>
          </cell>
          <cell r="E1832">
            <v>37691</v>
          </cell>
          <cell r="F1832">
            <v>163</v>
          </cell>
          <cell r="H1832">
            <v>0</v>
          </cell>
          <cell r="I1832" t="str">
            <v>деп</v>
          </cell>
          <cell r="J1832">
            <v>38241</v>
          </cell>
        </row>
        <row r="1833">
          <cell r="B1833" t="str">
            <v>ЧАСТН.ПРЕДПР.В.Ф.ДАВЫДОВ Количество</v>
          </cell>
          <cell r="D1833">
            <v>1</v>
          </cell>
        </row>
        <row r="1834">
          <cell r="A1834">
            <v>58340258</v>
          </cell>
          <cell r="B1834" t="str">
            <v>ЧАСТН.ПРЕДПР.ДЫБЦОВ Е.В.</v>
          </cell>
          <cell r="C1834" t="str">
            <v>КОМС-НА-АМУР (ДВС)</v>
          </cell>
          <cell r="D1834">
            <v>29698</v>
          </cell>
          <cell r="E1834">
            <v>37736</v>
          </cell>
          <cell r="F1834">
            <v>163</v>
          </cell>
          <cell r="G1834">
            <v>36373</v>
          </cell>
          <cell r="I1834" t="str">
            <v>деп</v>
          </cell>
          <cell r="J1834">
            <v>38467</v>
          </cell>
        </row>
        <row r="1835">
          <cell r="B1835" t="str">
            <v>ЧАСТН.ПРЕДПР.ДЫБЦОВ Е.В. Количество</v>
          </cell>
          <cell r="D1835">
            <v>1</v>
          </cell>
        </row>
        <row r="1836">
          <cell r="A1836">
            <v>58330325</v>
          </cell>
          <cell r="B1836" t="str">
            <v>ЧАСТН.ПРЕДПР.ЕРМАКОВ М.И.</v>
          </cell>
          <cell r="C1836" t="str">
            <v>УССУРИЙСК    (ДВС)</v>
          </cell>
          <cell r="D1836">
            <v>32942</v>
          </cell>
          <cell r="E1836">
            <v>37826</v>
          </cell>
          <cell r="F1836">
            <v>163</v>
          </cell>
          <cell r="H1836">
            <v>0</v>
          </cell>
          <cell r="I1836" t="str">
            <v>деп</v>
          </cell>
          <cell r="J1836">
            <v>38376</v>
          </cell>
        </row>
        <row r="1837">
          <cell r="A1837">
            <v>58330333</v>
          </cell>
          <cell r="B1837" t="str">
            <v>ЧАСТН.ПРЕДПР.ЕРМАКОВ М.И.</v>
          </cell>
          <cell r="C1837" t="str">
            <v>УССУРИЙСК    (ДВС)</v>
          </cell>
          <cell r="D1837">
            <v>32942</v>
          </cell>
          <cell r="E1837">
            <v>37833</v>
          </cell>
          <cell r="F1837">
            <v>163</v>
          </cell>
          <cell r="H1837">
            <v>0</v>
          </cell>
          <cell r="I1837" t="str">
            <v>деп</v>
          </cell>
          <cell r="J1837">
            <v>38383</v>
          </cell>
        </row>
        <row r="1838">
          <cell r="B1838" t="str">
            <v>ЧАСТН.ПРЕДПР.ЕРМАКОВ М.И. Количество</v>
          </cell>
          <cell r="D1838">
            <v>2</v>
          </cell>
        </row>
        <row r="1839">
          <cell r="A1839">
            <v>53400461</v>
          </cell>
          <cell r="B1839" t="str">
            <v>ЧАСТН.ПРЕДПР.КИТАИН С.Д.</v>
          </cell>
          <cell r="C1839" t="str">
            <v>НОЯБРЬСК 2   (СВР)</v>
          </cell>
          <cell r="D1839">
            <v>33604</v>
          </cell>
          <cell r="E1839">
            <v>37555</v>
          </cell>
          <cell r="F1839">
            <v>350</v>
          </cell>
          <cell r="H1839">
            <v>0</v>
          </cell>
          <cell r="I1839" t="str">
            <v>деп</v>
          </cell>
          <cell r="J1839">
            <v>38103</v>
          </cell>
        </row>
        <row r="1840">
          <cell r="A1840">
            <v>53702080</v>
          </cell>
          <cell r="B1840" t="str">
            <v>ЧАСТН.ПРЕДПР.КИТАИН С.Д.</v>
          </cell>
          <cell r="C1840" t="str">
            <v>НОЯБРЬСК 2   (СВР)</v>
          </cell>
          <cell r="D1840">
            <v>33644</v>
          </cell>
          <cell r="E1840">
            <v>37853</v>
          </cell>
          <cell r="F1840">
            <v>350</v>
          </cell>
          <cell r="I1840" t="str">
            <v>кап</v>
          </cell>
          <cell r="J1840">
            <v>38949</v>
          </cell>
        </row>
        <row r="1841">
          <cell r="A1841">
            <v>58339722</v>
          </cell>
          <cell r="B1841" t="str">
            <v>ЧАСТН.ПРЕДПР.КИТАИН С.Д.</v>
          </cell>
          <cell r="C1841" t="str">
            <v>НОЯБРЬСК 2   (СВР)</v>
          </cell>
          <cell r="D1841">
            <v>33770</v>
          </cell>
          <cell r="E1841">
            <v>37853</v>
          </cell>
          <cell r="F1841">
            <v>350</v>
          </cell>
          <cell r="I1841" t="str">
            <v>деп</v>
          </cell>
          <cell r="J1841">
            <v>38584</v>
          </cell>
        </row>
        <row r="1842">
          <cell r="A1842">
            <v>58339730</v>
          </cell>
          <cell r="B1842" t="str">
            <v>ЧАСТН.ПРЕДПР.КИТАИН С.Д.</v>
          </cell>
          <cell r="C1842" t="str">
            <v>НОЯБРЬСК 2   (СВР)</v>
          </cell>
          <cell r="D1842">
            <v>33770</v>
          </cell>
          <cell r="E1842">
            <v>37853</v>
          </cell>
          <cell r="F1842">
            <v>350</v>
          </cell>
          <cell r="I1842" t="str">
            <v>деп</v>
          </cell>
          <cell r="J1842">
            <v>38584</v>
          </cell>
        </row>
        <row r="1843">
          <cell r="A1843">
            <v>58339748</v>
          </cell>
          <cell r="B1843" t="str">
            <v>ЧАСТН.ПРЕДПР.КИТАИН С.Д.</v>
          </cell>
          <cell r="C1843" t="str">
            <v>НОЯБРЬСК 2   (СВР)</v>
          </cell>
          <cell r="D1843">
            <v>33770</v>
          </cell>
          <cell r="E1843">
            <v>37853</v>
          </cell>
          <cell r="F1843">
            <v>350</v>
          </cell>
          <cell r="I1843" t="str">
            <v>деп</v>
          </cell>
          <cell r="J1843">
            <v>38584</v>
          </cell>
        </row>
        <row r="1844">
          <cell r="A1844">
            <v>58339755</v>
          </cell>
          <cell r="B1844" t="str">
            <v>ЧАСТН.ПРЕДПР.КИТАИН С.Д.</v>
          </cell>
          <cell r="C1844" t="str">
            <v>НОЯБРЬСК 2   (СВР)</v>
          </cell>
          <cell r="D1844">
            <v>33770</v>
          </cell>
          <cell r="E1844">
            <v>37853</v>
          </cell>
          <cell r="F1844">
            <v>350</v>
          </cell>
          <cell r="I1844" t="str">
            <v>деп</v>
          </cell>
          <cell r="J1844">
            <v>38584</v>
          </cell>
        </row>
        <row r="1845">
          <cell r="A1845">
            <v>58731365</v>
          </cell>
          <cell r="B1845" t="str">
            <v>ЧАСТН.ПРЕДПР.КИТАИН С.Д.</v>
          </cell>
          <cell r="C1845" t="str">
            <v>НОЯБРЬСК 2   (СВР)</v>
          </cell>
          <cell r="D1845">
            <v>33604</v>
          </cell>
          <cell r="E1845">
            <v>37555</v>
          </cell>
          <cell r="F1845">
            <v>350</v>
          </cell>
          <cell r="H1845">
            <v>0</v>
          </cell>
          <cell r="I1845" t="str">
            <v>деп</v>
          </cell>
          <cell r="J1845">
            <v>38103</v>
          </cell>
        </row>
        <row r="1846">
          <cell r="A1846">
            <v>58731373</v>
          </cell>
          <cell r="B1846" t="str">
            <v>ЧАСТН.ПРЕДПР.КИТАИН С.Д.</v>
          </cell>
          <cell r="C1846" t="str">
            <v>НОЯБРЬСК 2   (СВР)</v>
          </cell>
          <cell r="D1846">
            <v>33604</v>
          </cell>
          <cell r="E1846">
            <v>37555</v>
          </cell>
          <cell r="F1846">
            <v>350</v>
          </cell>
          <cell r="H1846">
            <v>0</v>
          </cell>
          <cell r="I1846" t="str">
            <v>деп</v>
          </cell>
          <cell r="J1846">
            <v>38103</v>
          </cell>
        </row>
        <row r="1847">
          <cell r="A1847">
            <v>58731381</v>
          </cell>
          <cell r="B1847" t="str">
            <v>ЧАСТН.ПРЕДПР.КИТАИН С.Д.</v>
          </cell>
          <cell r="C1847" t="str">
            <v>НОЯБРЬСК 2   (СВР)</v>
          </cell>
          <cell r="D1847">
            <v>33604</v>
          </cell>
          <cell r="E1847">
            <v>37555</v>
          </cell>
          <cell r="F1847">
            <v>350</v>
          </cell>
          <cell r="H1847">
            <v>0</v>
          </cell>
          <cell r="I1847" t="str">
            <v>деп</v>
          </cell>
          <cell r="J1847">
            <v>38103</v>
          </cell>
        </row>
        <row r="1848">
          <cell r="A1848">
            <v>58731399</v>
          </cell>
          <cell r="B1848" t="str">
            <v>ЧАСТН.ПРЕДПР.КИТАИН С.Д.</v>
          </cell>
          <cell r="C1848" t="str">
            <v>НОЯБРЬСК 2   (СВР)</v>
          </cell>
          <cell r="D1848">
            <v>33604</v>
          </cell>
          <cell r="E1848">
            <v>37555</v>
          </cell>
          <cell r="F1848">
            <v>350</v>
          </cell>
          <cell r="H1848">
            <v>0</v>
          </cell>
          <cell r="I1848" t="str">
            <v>деп</v>
          </cell>
          <cell r="J1848">
            <v>38103</v>
          </cell>
        </row>
        <row r="1849">
          <cell r="B1849" t="str">
            <v>ЧАСТН.ПРЕДПР.КИТАИН С.Д. Количество</v>
          </cell>
          <cell r="D1849">
            <v>10</v>
          </cell>
        </row>
        <row r="1850">
          <cell r="A1850">
            <v>58340266</v>
          </cell>
          <cell r="B1850" t="str">
            <v>ЧАСТН.ПРЕДПР.ЛИПИН В.Н.</v>
          </cell>
          <cell r="C1850" t="str">
            <v>СЕВЕРОБАЙКАЛ (ВСБ)</v>
          </cell>
          <cell r="D1850">
            <v>29830</v>
          </cell>
          <cell r="I1850" t="str">
            <v>деп</v>
          </cell>
          <cell r="J1850">
            <v>30926</v>
          </cell>
        </row>
        <row r="1851">
          <cell r="B1851" t="str">
            <v>ЧАСТН.ПРЕДПР.ЛИПИН В.Н. Количество</v>
          </cell>
          <cell r="D1851">
            <v>1</v>
          </cell>
        </row>
        <row r="1852">
          <cell r="A1852">
            <v>58332370</v>
          </cell>
          <cell r="B1852" t="str">
            <v>ЧАСТН.ПРЕДПР.МИХАЙЛОВ М.А.</v>
          </cell>
          <cell r="C1852" t="str">
            <v>ЧИТА 1       (ЗАБ)</v>
          </cell>
          <cell r="D1852">
            <v>28949</v>
          </cell>
          <cell r="E1852">
            <v>37778</v>
          </cell>
          <cell r="F1852">
            <v>643</v>
          </cell>
          <cell r="G1852">
            <v>34895</v>
          </cell>
          <cell r="I1852" t="str">
            <v>деп</v>
          </cell>
          <cell r="J1852">
            <v>38509</v>
          </cell>
        </row>
        <row r="1853">
          <cell r="B1853" t="str">
            <v>ЧАСТН.ПРЕДПР.МИХАЙЛОВ М.А. Количество</v>
          </cell>
          <cell r="D1853">
            <v>1</v>
          </cell>
        </row>
        <row r="1854">
          <cell r="A1854">
            <v>58000001</v>
          </cell>
          <cell r="B1854" t="str">
            <v>ЧАСТН.ПРЕДПР.РАГИМОВ Я.М.</v>
          </cell>
          <cell r="C1854" t="str">
            <v>ВАНИНО       (ДВС)</v>
          </cell>
          <cell r="D1854">
            <v>31778</v>
          </cell>
          <cell r="E1854">
            <v>37153</v>
          </cell>
          <cell r="F1854">
            <v>669</v>
          </cell>
          <cell r="G1854">
            <v>37925</v>
          </cell>
          <cell r="H1854">
            <v>163</v>
          </cell>
          <cell r="I1854" t="str">
            <v>деп</v>
          </cell>
          <cell r="J1854">
            <v>38656</v>
          </cell>
        </row>
        <row r="1855">
          <cell r="B1855" t="str">
            <v>ЧАСТН.ПРЕДПР.РАГИМОВ Я.М. Количество</v>
          </cell>
          <cell r="D1855">
            <v>1</v>
          </cell>
        </row>
        <row r="1856">
          <cell r="A1856">
            <v>53702338</v>
          </cell>
          <cell r="B1856" t="str">
            <v>ЧП АНФИЛОФЬЕВ В.И.</v>
          </cell>
          <cell r="C1856" t="str">
            <v>НОЯБРЬСК 2   (СВР)</v>
          </cell>
          <cell r="D1856">
            <v>34039</v>
          </cell>
          <cell r="E1856">
            <v>37925</v>
          </cell>
          <cell r="F1856">
            <v>350</v>
          </cell>
          <cell r="I1856" t="str">
            <v>кап</v>
          </cell>
          <cell r="J1856">
            <v>39021</v>
          </cell>
        </row>
        <row r="1857">
          <cell r="A1857">
            <v>58720574</v>
          </cell>
          <cell r="B1857" t="str">
            <v>ЧП АНФИЛОФЬЕВ В.И.</v>
          </cell>
          <cell r="C1857" t="str">
            <v>НОЯБРЬСК 2   (СВР)</v>
          </cell>
          <cell r="D1857">
            <v>34038</v>
          </cell>
          <cell r="E1857">
            <v>37925</v>
          </cell>
          <cell r="F1857">
            <v>350</v>
          </cell>
          <cell r="I1857" t="str">
            <v>деп</v>
          </cell>
          <cell r="J1857">
            <v>38352</v>
          </cell>
        </row>
        <row r="1858">
          <cell r="A1858">
            <v>58720582</v>
          </cell>
          <cell r="B1858" t="str">
            <v>ЧП АНФИЛОФЬЕВ В.И.</v>
          </cell>
          <cell r="C1858" t="str">
            <v>НОЯБРЬСК 2   (СВР)</v>
          </cell>
          <cell r="D1858">
            <v>34038</v>
          </cell>
          <cell r="E1858">
            <v>37925</v>
          </cell>
          <cell r="F1858">
            <v>350</v>
          </cell>
          <cell r="I1858" t="str">
            <v>деп</v>
          </cell>
          <cell r="J1858">
            <v>38352</v>
          </cell>
        </row>
        <row r="1859">
          <cell r="A1859">
            <v>58720608</v>
          </cell>
          <cell r="B1859" t="str">
            <v>ЧП АНФИЛОФЬЕВ В.И.</v>
          </cell>
          <cell r="C1859" t="str">
            <v>НОЯБРЬСК 2   (СВР)</v>
          </cell>
          <cell r="D1859">
            <v>34038</v>
          </cell>
          <cell r="E1859">
            <v>37925</v>
          </cell>
          <cell r="F1859">
            <v>350</v>
          </cell>
          <cell r="I1859" t="str">
            <v>деп</v>
          </cell>
          <cell r="J1859">
            <v>38352</v>
          </cell>
        </row>
        <row r="1860">
          <cell r="A1860">
            <v>58720616</v>
          </cell>
          <cell r="B1860" t="str">
            <v>ЧП АНФИЛОФЬЕВ В.И.</v>
          </cell>
          <cell r="C1860" t="str">
            <v>НОЯБРЬСК 2   (СВР)</v>
          </cell>
          <cell r="D1860">
            <v>34038</v>
          </cell>
          <cell r="E1860">
            <v>37925</v>
          </cell>
          <cell r="F1860">
            <v>350</v>
          </cell>
          <cell r="I1860" t="str">
            <v>деп</v>
          </cell>
          <cell r="J1860">
            <v>38352</v>
          </cell>
        </row>
        <row r="1861">
          <cell r="B1861" t="str">
            <v>ЧП АНФИЛОФЬЕВ В.И. Количество</v>
          </cell>
          <cell r="D1861">
            <v>5</v>
          </cell>
        </row>
        <row r="1862">
          <cell r="A1862">
            <v>53702320</v>
          </cell>
          <cell r="B1862" t="str">
            <v>ЧП КАПУЛА Г.И.</v>
          </cell>
          <cell r="C1862" t="str">
            <v>НОЯБРЬСК 1   (СВР)</v>
          </cell>
          <cell r="D1862">
            <v>33756</v>
          </cell>
          <cell r="E1862">
            <v>37960</v>
          </cell>
          <cell r="F1862">
            <v>350</v>
          </cell>
          <cell r="H1862">
            <v>0</v>
          </cell>
          <cell r="I1862" t="str">
            <v>кап</v>
          </cell>
          <cell r="J1862">
            <v>39056</v>
          </cell>
        </row>
        <row r="1863">
          <cell r="A1863">
            <v>58720533</v>
          </cell>
          <cell r="B1863" t="str">
            <v>ЧП КАПУЛА Г.И.</v>
          </cell>
          <cell r="C1863" t="str">
            <v>НОЯБРЬСК 1   (СВР)</v>
          </cell>
          <cell r="D1863">
            <v>33756</v>
          </cell>
          <cell r="E1863">
            <v>37960</v>
          </cell>
          <cell r="F1863">
            <v>350</v>
          </cell>
          <cell r="H1863">
            <v>0</v>
          </cell>
          <cell r="I1863" t="str">
            <v>деп</v>
          </cell>
          <cell r="J1863">
            <v>38388</v>
          </cell>
        </row>
        <row r="1864">
          <cell r="A1864">
            <v>58720541</v>
          </cell>
          <cell r="B1864" t="str">
            <v>ЧП КАПУЛА Г.И.</v>
          </cell>
          <cell r="C1864" t="str">
            <v>НОЯБРЬСК 1   (СВР)</v>
          </cell>
          <cell r="D1864">
            <v>33756</v>
          </cell>
          <cell r="E1864">
            <v>37960</v>
          </cell>
          <cell r="F1864">
            <v>350</v>
          </cell>
          <cell r="H1864">
            <v>0</v>
          </cell>
          <cell r="I1864" t="str">
            <v>деп</v>
          </cell>
          <cell r="J1864">
            <v>38388</v>
          </cell>
        </row>
        <row r="1865">
          <cell r="A1865">
            <v>58720558</v>
          </cell>
          <cell r="B1865" t="str">
            <v>ЧП КАПУЛА Г.И.</v>
          </cell>
          <cell r="C1865" t="str">
            <v>НОЯБРЬСК 1   (СВР)</v>
          </cell>
          <cell r="D1865">
            <v>33756</v>
          </cell>
          <cell r="E1865">
            <v>37978</v>
          </cell>
          <cell r="F1865">
            <v>350</v>
          </cell>
          <cell r="H1865">
            <v>0</v>
          </cell>
          <cell r="I1865" t="str">
            <v>деп</v>
          </cell>
          <cell r="J1865">
            <v>38406</v>
          </cell>
        </row>
        <row r="1866">
          <cell r="A1866">
            <v>58720566</v>
          </cell>
          <cell r="B1866" t="str">
            <v>ЧП КАПУЛА Г.И.</v>
          </cell>
          <cell r="C1866" t="str">
            <v>НОЯБРЬСК 1   (СВР)</v>
          </cell>
          <cell r="D1866">
            <v>33756</v>
          </cell>
          <cell r="E1866">
            <v>37960</v>
          </cell>
          <cell r="F1866">
            <v>350</v>
          </cell>
          <cell r="H1866">
            <v>0</v>
          </cell>
          <cell r="I1866" t="str">
            <v>деп</v>
          </cell>
          <cell r="J1866">
            <v>38388</v>
          </cell>
        </row>
        <row r="1867">
          <cell r="B1867" t="str">
            <v>ЧП КАПУЛА Г.И. Количество</v>
          </cell>
          <cell r="D1867">
            <v>5</v>
          </cell>
        </row>
        <row r="1868">
          <cell r="A1868">
            <v>53705372</v>
          </cell>
          <cell r="B1868" t="str">
            <v>ЧП СИВЧУК О.А.</v>
          </cell>
          <cell r="C1868" t="str">
            <v>УССУРИЙСК    (ДВС)</v>
          </cell>
          <cell r="D1868">
            <v>33270</v>
          </cell>
          <cell r="E1868">
            <v>37823</v>
          </cell>
          <cell r="F1868">
            <v>163</v>
          </cell>
          <cell r="H1868">
            <v>0</v>
          </cell>
          <cell r="I1868" t="str">
            <v>деп</v>
          </cell>
          <cell r="J1868">
            <v>38373</v>
          </cell>
        </row>
        <row r="1869">
          <cell r="A1869">
            <v>58340399</v>
          </cell>
          <cell r="B1869" t="str">
            <v>ЧП СИВЧУК О.А.</v>
          </cell>
          <cell r="C1869" t="str">
            <v>УССУРИЙСК    (ДВС)</v>
          </cell>
          <cell r="D1869">
            <v>32994</v>
          </cell>
          <cell r="E1869">
            <v>38016</v>
          </cell>
          <cell r="F1869">
            <v>163</v>
          </cell>
          <cell r="H1869">
            <v>0</v>
          </cell>
          <cell r="I1869" t="str">
            <v>кап</v>
          </cell>
          <cell r="J1869">
            <v>38747</v>
          </cell>
        </row>
        <row r="1870">
          <cell r="A1870">
            <v>58340407</v>
          </cell>
          <cell r="B1870" t="str">
            <v>ЧП СИВЧУК О.А.</v>
          </cell>
          <cell r="C1870" t="str">
            <v>УССУРИЙСК    (ДВС)</v>
          </cell>
          <cell r="D1870">
            <v>33025</v>
          </cell>
          <cell r="E1870">
            <v>37931</v>
          </cell>
          <cell r="F1870">
            <v>163</v>
          </cell>
          <cell r="H1870">
            <v>0</v>
          </cell>
          <cell r="I1870" t="str">
            <v>кап</v>
          </cell>
          <cell r="J1870">
            <v>38662</v>
          </cell>
        </row>
        <row r="1871">
          <cell r="A1871">
            <v>58340415</v>
          </cell>
          <cell r="B1871" t="str">
            <v>ЧП СИВЧУК О.А.</v>
          </cell>
          <cell r="C1871" t="str">
            <v>УССУРИЙСК    (ДВС)</v>
          </cell>
          <cell r="D1871">
            <v>33025</v>
          </cell>
          <cell r="E1871">
            <v>37372</v>
          </cell>
          <cell r="F1871">
            <v>163</v>
          </cell>
          <cell r="H1871">
            <v>0</v>
          </cell>
          <cell r="I1871" t="str">
            <v>деп</v>
          </cell>
          <cell r="J1871">
            <v>38103</v>
          </cell>
        </row>
        <row r="1872">
          <cell r="A1872">
            <v>58340423</v>
          </cell>
          <cell r="B1872" t="str">
            <v>ЧП СИВЧУК О.А.</v>
          </cell>
          <cell r="C1872" t="str">
            <v>УССУРИЙСК    (ДВС)</v>
          </cell>
          <cell r="D1872">
            <v>33178</v>
          </cell>
          <cell r="E1872">
            <v>37432</v>
          </cell>
          <cell r="F1872">
            <v>163</v>
          </cell>
          <cell r="H1872">
            <v>0</v>
          </cell>
          <cell r="I1872" t="str">
            <v>деп</v>
          </cell>
          <cell r="J1872">
            <v>38163</v>
          </cell>
        </row>
        <row r="1873">
          <cell r="A1873">
            <v>58728759</v>
          </cell>
          <cell r="B1873" t="str">
            <v>ЧП СИВЧУК О.А.</v>
          </cell>
          <cell r="C1873" t="str">
            <v>УССУРИЙСК    (ДВС)</v>
          </cell>
          <cell r="D1873">
            <v>33207</v>
          </cell>
          <cell r="E1873">
            <v>37823</v>
          </cell>
          <cell r="F1873">
            <v>163</v>
          </cell>
          <cell r="H1873">
            <v>0</v>
          </cell>
          <cell r="I1873" t="str">
            <v>деп</v>
          </cell>
          <cell r="J1873">
            <v>38554</v>
          </cell>
        </row>
        <row r="1874">
          <cell r="A1874">
            <v>58728767</v>
          </cell>
          <cell r="B1874" t="str">
            <v>ЧП СИВЧУК О.А.</v>
          </cell>
          <cell r="C1874" t="str">
            <v>УССУРИЙСК    (ДВС)</v>
          </cell>
          <cell r="D1874">
            <v>33270</v>
          </cell>
          <cell r="E1874">
            <v>37823</v>
          </cell>
          <cell r="F1874">
            <v>163</v>
          </cell>
          <cell r="H1874">
            <v>0</v>
          </cell>
          <cell r="I1874" t="str">
            <v>деп</v>
          </cell>
          <cell r="J1874">
            <v>38554</v>
          </cell>
        </row>
        <row r="1875">
          <cell r="A1875">
            <v>58728775</v>
          </cell>
          <cell r="B1875" t="str">
            <v>ЧП СИВЧУК О.А.</v>
          </cell>
          <cell r="C1875" t="str">
            <v>УССУРИЙСК    (ДВС)</v>
          </cell>
          <cell r="D1875">
            <v>33270</v>
          </cell>
          <cell r="E1875">
            <v>37823</v>
          </cell>
          <cell r="F1875">
            <v>163</v>
          </cell>
          <cell r="H1875">
            <v>0</v>
          </cell>
          <cell r="I1875" t="str">
            <v>деп</v>
          </cell>
          <cell r="J1875">
            <v>38554</v>
          </cell>
        </row>
        <row r="1876">
          <cell r="A1876">
            <v>58728783</v>
          </cell>
          <cell r="B1876" t="str">
            <v>ЧП СИВЧУК О.А.</v>
          </cell>
          <cell r="C1876" t="str">
            <v>УССУРИЙСК    (ДВС)</v>
          </cell>
          <cell r="D1876">
            <v>33302</v>
          </cell>
          <cell r="E1876">
            <v>37823</v>
          </cell>
          <cell r="F1876">
            <v>163</v>
          </cell>
          <cell r="H1876">
            <v>0</v>
          </cell>
          <cell r="I1876" t="str">
            <v>деп</v>
          </cell>
          <cell r="J1876">
            <v>38554</v>
          </cell>
        </row>
        <row r="1877">
          <cell r="B1877" t="str">
            <v>ЧП СИВЧУК О.А. Количество</v>
          </cell>
          <cell r="D1877">
            <v>9</v>
          </cell>
        </row>
        <row r="1878">
          <cell r="A1878">
            <v>58002619</v>
          </cell>
          <cell r="B1878" t="str">
            <v>ШЕРЛ ТК</v>
          </cell>
          <cell r="C1878" t="str">
            <v>МОС-ТОВ-СМОЛ (МСK)</v>
          </cell>
          <cell r="D1878">
            <v>31509</v>
          </cell>
          <cell r="E1878">
            <v>37809</v>
          </cell>
          <cell r="F1878">
            <v>886</v>
          </cell>
          <cell r="G1878">
            <v>36885</v>
          </cell>
          <cell r="H1878">
            <v>1065</v>
          </cell>
          <cell r="I1878" t="str">
            <v>деп</v>
          </cell>
          <cell r="J1878">
            <v>38540</v>
          </cell>
        </row>
        <row r="1879">
          <cell r="A1879">
            <v>58002627</v>
          </cell>
          <cell r="B1879" t="str">
            <v>ШЕРЛ ТК</v>
          </cell>
          <cell r="C1879" t="str">
            <v>МОС-ТОВ-СМОЛ (МСK)</v>
          </cell>
          <cell r="D1879">
            <v>32395</v>
          </cell>
          <cell r="E1879">
            <v>37616</v>
          </cell>
          <cell r="F1879">
            <v>163</v>
          </cell>
          <cell r="G1879">
            <v>36855</v>
          </cell>
          <cell r="H1879">
            <v>1065</v>
          </cell>
          <cell r="I1879" t="str">
            <v>деп</v>
          </cell>
          <cell r="J1879">
            <v>38347</v>
          </cell>
        </row>
        <row r="1880">
          <cell r="A1880">
            <v>58002635</v>
          </cell>
          <cell r="B1880" t="str">
            <v>ШЕРЛ ТК</v>
          </cell>
          <cell r="C1880" t="str">
            <v>МОС-ТОВ-СМОЛ (МСK)</v>
          </cell>
          <cell r="D1880">
            <v>31509</v>
          </cell>
          <cell r="E1880">
            <v>37807</v>
          </cell>
          <cell r="F1880">
            <v>886</v>
          </cell>
          <cell r="G1880">
            <v>36930</v>
          </cell>
          <cell r="H1880">
            <v>1065</v>
          </cell>
          <cell r="I1880" t="str">
            <v>деп</v>
          </cell>
          <cell r="J1880">
            <v>38538</v>
          </cell>
        </row>
        <row r="1881">
          <cell r="A1881">
            <v>58002643</v>
          </cell>
          <cell r="B1881" t="str">
            <v>ШЕРЛ ТК</v>
          </cell>
          <cell r="C1881" t="str">
            <v>МОС-ТОВ-СМОЛ (МСK)</v>
          </cell>
          <cell r="D1881">
            <v>32812</v>
          </cell>
          <cell r="E1881">
            <v>37775</v>
          </cell>
          <cell r="F1881">
            <v>350</v>
          </cell>
          <cell r="G1881">
            <v>36964</v>
          </cell>
          <cell r="H1881">
            <v>1065</v>
          </cell>
          <cell r="I1881" t="str">
            <v>деп</v>
          </cell>
          <cell r="J1881">
            <v>38506</v>
          </cell>
        </row>
        <row r="1882">
          <cell r="A1882">
            <v>58002650</v>
          </cell>
          <cell r="B1882" t="str">
            <v>ШЕРЛ ТК</v>
          </cell>
          <cell r="C1882" t="str">
            <v>МОС-ТОВ-СМОЛ (МСK)</v>
          </cell>
          <cell r="D1882">
            <v>32395</v>
          </cell>
          <cell r="E1882">
            <v>37871</v>
          </cell>
          <cell r="F1882">
            <v>647</v>
          </cell>
          <cell r="G1882">
            <v>37130</v>
          </cell>
          <cell r="H1882">
            <v>1065</v>
          </cell>
          <cell r="I1882" t="str">
            <v>деп</v>
          </cell>
          <cell r="J1882">
            <v>38602</v>
          </cell>
        </row>
        <row r="1883">
          <cell r="A1883">
            <v>58002668</v>
          </cell>
          <cell r="B1883" t="str">
            <v>ШЕРЛ ТК</v>
          </cell>
          <cell r="C1883" t="str">
            <v>МОС-ТОВ-СМОЛ (МСK)</v>
          </cell>
          <cell r="D1883">
            <v>32812</v>
          </cell>
          <cell r="E1883">
            <v>37775</v>
          </cell>
          <cell r="F1883">
            <v>350</v>
          </cell>
          <cell r="G1883">
            <v>36929</v>
          </cell>
          <cell r="H1883">
            <v>1065</v>
          </cell>
          <cell r="I1883" t="str">
            <v>деп</v>
          </cell>
          <cell r="J1883">
            <v>38506</v>
          </cell>
        </row>
        <row r="1884">
          <cell r="A1884">
            <v>58002676</v>
          </cell>
          <cell r="B1884" t="str">
            <v>ШЕРЛ ТК</v>
          </cell>
          <cell r="C1884" t="str">
            <v>МОС-ТОВ-СМОЛ (МСK)</v>
          </cell>
          <cell r="D1884">
            <v>32812</v>
          </cell>
          <cell r="E1884">
            <v>37599</v>
          </cell>
          <cell r="F1884">
            <v>819</v>
          </cell>
          <cell r="G1884">
            <v>36855</v>
          </cell>
          <cell r="H1884">
            <v>1065</v>
          </cell>
          <cell r="I1884" t="str">
            <v>деп</v>
          </cell>
          <cell r="J1884">
            <v>38330</v>
          </cell>
        </row>
        <row r="1885">
          <cell r="A1885">
            <v>58002684</v>
          </cell>
          <cell r="B1885" t="str">
            <v>ШЕРЛ ТК</v>
          </cell>
          <cell r="C1885" t="str">
            <v>МОС-ТОВ-СМОЛ (МСK)</v>
          </cell>
          <cell r="D1885">
            <v>31509</v>
          </cell>
          <cell r="E1885">
            <v>37807</v>
          </cell>
          <cell r="F1885">
            <v>886</v>
          </cell>
          <cell r="G1885">
            <v>36885</v>
          </cell>
          <cell r="H1885">
            <v>1065</v>
          </cell>
          <cell r="I1885" t="str">
            <v>деп</v>
          </cell>
          <cell r="J1885">
            <v>38538</v>
          </cell>
        </row>
        <row r="1886">
          <cell r="A1886">
            <v>58002700</v>
          </cell>
          <cell r="B1886" t="str">
            <v>ШЕРЛ ТК</v>
          </cell>
          <cell r="C1886" t="str">
            <v>МОС-ТОВ-СМОЛ (МСK)</v>
          </cell>
          <cell r="D1886">
            <v>32812</v>
          </cell>
          <cell r="E1886">
            <v>37807</v>
          </cell>
          <cell r="F1886">
            <v>886</v>
          </cell>
          <cell r="G1886">
            <v>36938</v>
          </cell>
          <cell r="H1886">
            <v>1065</v>
          </cell>
          <cell r="I1886" t="str">
            <v>деп</v>
          </cell>
          <cell r="J1886">
            <v>38538</v>
          </cell>
        </row>
        <row r="1887">
          <cell r="A1887">
            <v>58002718</v>
          </cell>
          <cell r="B1887" t="str">
            <v>ШЕРЛ ТК</v>
          </cell>
          <cell r="C1887" t="str">
            <v>МОС-ТОВ-СМОЛ (МСK)</v>
          </cell>
          <cell r="D1887">
            <v>32325</v>
          </cell>
          <cell r="E1887">
            <v>37599</v>
          </cell>
          <cell r="F1887">
            <v>350</v>
          </cell>
          <cell r="G1887">
            <v>36830</v>
          </cell>
          <cell r="H1887">
            <v>1065</v>
          </cell>
          <cell r="I1887" t="str">
            <v>деп</v>
          </cell>
          <cell r="J1887">
            <v>38330</v>
          </cell>
        </row>
        <row r="1888">
          <cell r="A1888">
            <v>58002726</v>
          </cell>
          <cell r="B1888" t="str">
            <v>ШЕРЛ ТК</v>
          </cell>
          <cell r="C1888" t="str">
            <v>МОС-ТОВ-СМОЛ (МСK)</v>
          </cell>
          <cell r="D1888">
            <v>32812</v>
          </cell>
          <cell r="E1888">
            <v>37599</v>
          </cell>
          <cell r="F1888">
            <v>350</v>
          </cell>
          <cell r="G1888">
            <v>36830</v>
          </cell>
          <cell r="H1888">
            <v>1065</v>
          </cell>
          <cell r="I1888" t="str">
            <v>деп</v>
          </cell>
          <cell r="J1888">
            <v>38330</v>
          </cell>
        </row>
        <row r="1889">
          <cell r="A1889">
            <v>58002734</v>
          </cell>
          <cell r="B1889" t="str">
            <v>ШЕРЛ ТК</v>
          </cell>
          <cell r="C1889" t="str">
            <v>МОС-ТОВ-СМОЛ (МСK)</v>
          </cell>
          <cell r="D1889">
            <v>32812</v>
          </cell>
          <cell r="E1889">
            <v>37775</v>
          </cell>
          <cell r="F1889">
            <v>350</v>
          </cell>
          <cell r="G1889">
            <v>37002</v>
          </cell>
          <cell r="H1889">
            <v>1065</v>
          </cell>
          <cell r="I1889" t="str">
            <v>деп</v>
          </cell>
          <cell r="J1889">
            <v>38506</v>
          </cell>
        </row>
        <row r="1890">
          <cell r="A1890">
            <v>58002742</v>
          </cell>
          <cell r="B1890" t="str">
            <v>ШЕРЛ ТК</v>
          </cell>
          <cell r="C1890" t="str">
            <v>МОС-ТОВ-СМОЛ (МСK)</v>
          </cell>
          <cell r="D1890">
            <v>32812</v>
          </cell>
          <cell r="E1890">
            <v>37775</v>
          </cell>
          <cell r="F1890">
            <v>350</v>
          </cell>
          <cell r="G1890">
            <v>36964</v>
          </cell>
          <cell r="H1890">
            <v>1065</v>
          </cell>
          <cell r="I1890" t="str">
            <v>деп</v>
          </cell>
          <cell r="J1890">
            <v>38506</v>
          </cell>
        </row>
        <row r="1891">
          <cell r="A1891">
            <v>58002759</v>
          </cell>
          <cell r="B1891" t="str">
            <v>ШЕРЛ ТК</v>
          </cell>
          <cell r="C1891" t="str">
            <v>МОС-ТОВ-СМОЛ (МСK)</v>
          </cell>
          <cell r="D1891">
            <v>32395</v>
          </cell>
          <cell r="E1891">
            <v>37921</v>
          </cell>
          <cell r="F1891">
            <v>647</v>
          </cell>
          <cell r="G1891">
            <v>37126</v>
          </cell>
          <cell r="H1891">
            <v>1065</v>
          </cell>
          <cell r="I1891" t="str">
            <v>деп</v>
          </cell>
          <cell r="J1891">
            <v>38652</v>
          </cell>
        </row>
        <row r="1892">
          <cell r="A1892">
            <v>58002767</v>
          </cell>
          <cell r="B1892" t="str">
            <v>ШЕРЛ ТК</v>
          </cell>
          <cell r="C1892" t="str">
            <v>МОС-ТОВ-СМОЛ (МСK)</v>
          </cell>
          <cell r="D1892">
            <v>32812</v>
          </cell>
          <cell r="E1892">
            <v>37775</v>
          </cell>
          <cell r="F1892">
            <v>350</v>
          </cell>
          <cell r="G1892">
            <v>37002</v>
          </cell>
          <cell r="H1892">
            <v>1065</v>
          </cell>
          <cell r="I1892" t="str">
            <v>деп</v>
          </cell>
          <cell r="J1892">
            <v>38506</v>
          </cell>
        </row>
        <row r="1893">
          <cell r="A1893">
            <v>58002775</v>
          </cell>
          <cell r="B1893" t="str">
            <v>ШЕРЛ ТК</v>
          </cell>
          <cell r="C1893" t="str">
            <v>МОС-ТОВ-СМОЛ (МСK)</v>
          </cell>
          <cell r="D1893">
            <v>32812</v>
          </cell>
          <cell r="E1893">
            <v>37791</v>
          </cell>
          <cell r="F1893">
            <v>163</v>
          </cell>
          <cell r="G1893">
            <v>36938</v>
          </cell>
          <cell r="H1893">
            <v>1065</v>
          </cell>
          <cell r="I1893" t="str">
            <v>деп</v>
          </cell>
          <cell r="J1893">
            <v>38522</v>
          </cell>
        </row>
        <row r="1894">
          <cell r="B1894" t="str">
            <v>ШЕРЛ ТК Количество</v>
          </cell>
          <cell r="D1894">
            <v>16</v>
          </cell>
        </row>
        <row r="1895">
          <cell r="A1895">
            <v>58331125</v>
          </cell>
          <cell r="B1895" t="str">
            <v>ЭКСТРА</v>
          </cell>
          <cell r="C1895" t="str">
            <v>ЧИТА 1       (ЗАБ)</v>
          </cell>
          <cell r="D1895">
            <v>31463</v>
          </cell>
          <cell r="E1895">
            <v>36300</v>
          </cell>
          <cell r="F1895">
            <v>643</v>
          </cell>
          <cell r="G1895">
            <v>37028</v>
          </cell>
          <cell r="H1895">
            <v>643</v>
          </cell>
          <cell r="I1895" t="str">
            <v>деп</v>
          </cell>
          <cell r="J1895">
            <v>37758</v>
          </cell>
        </row>
        <row r="1896">
          <cell r="B1896" t="str">
            <v>ЭКСТРА Количество</v>
          </cell>
          <cell r="D1896">
            <v>1</v>
          </cell>
        </row>
        <row r="1897">
          <cell r="A1897">
            <v>53702601</v>
          </cell>
          <cell r="B1897" t="str">
            <v>ЭНГЕЛЬСКАЯ ТОГОВАЯ БАЗА</v>
          </cell>
          <cell r="C1897" t="str">
            <v>ПОКРОВСК-ПРВ (ПРВ)</v>
          </cell>
          <cell r="D1897">
            <v>33613</v>
          </cell>
          <cell r="E1897">
            <v>36631</v>
          </cell>
          <cell r="F1897">
            <v>0</v>
          </cell>
          <cell r="H1897">
            <v>0</v>
          </cell>
          <cell r="I1897" t="str">
            <v>деп</v>
          </cell>
          <cell r="J1897">
            <v>37726</v>
          </cell>
        </row>
        <row r="1898">
          <cell r="B1898" t="str">
            <v>ЭНГЕЛЬСКАЯ ТОГОВАЯ БАЗА Количество</v>
          </cell>
          <cell r="D1898">
            <v>1</v>
          </cell>
        </row>
        <row r="1899">
          <cell r="A1899">
            <v>53703351</v>
          </cell>
          <cell r="B1899" t="str">
            <v>ЭНЕРГОСТРОЙКОНСТРУКЦИЯ</v>
          </cell>
          <cell r="C1899" t="str">
            <v>ЛЕФОРТОВО    (МСK)</v>
          </cell>
          <cell r="D1899">
            <v>25934</v>
          </cell>
          <cell r="E1899">
            <v>34486</v>
          </cell>
        </row>
        <row r="1900">
          <cell r="B1900" t="str">
            <v>ЭНЕРГОСТРОЙКОНСТРУКЦИЯ Количество</v>
          </cell>
          <cell r="D1900">
            <v>1</v>
          </cell>
        </row>
        <row r="1901">
          <cell r="A1901">
            <v>58339508</v>
          </cell>
          <cell r="B1901" t="str">
            <v>ЭТНА З-Д</v>
          </cell>
          <cell r="C1901" t="str">
            <v>ГОРЬКИЙ-МОСК (ГOР)</v>
          </cell>
          <cell r="D1901">
            <v>33878</v>
          </cell>
          <cell r="E1901">
            <v>37764</v>
          </cell>
          <cell r="F1901">
            <v>350</v>
          </cell>
          <cell r="H1901">
            <v>0</v>
          </cell>
          <cell r="I1901" t="str">
            <v>деп</v>
          </cell>
          <cell r="J1901">
            <v>38495</v>
          </cell>
        </row>
        <row r="1902">
          <cell r="A1902">
            <v>58339516</v>
          </cell>
          <cell r="B1902" t="str">
            <v>ЭТНА З-Д</v>
          </cell>
          <cell r="C1902" t="str">
            <v>ГОРЬКИЙ-МОСК (ГOР)</v>
          </cell>
          <cell r="D1902">
            <v>33878</v>
          </cell>
          <cell r="E1902">
            <v>37764</v>
          </cell>
          <cell r="F1902">
            <v>350</v>
          </cell>
          <cell r="H1902">
            <v>0</v>
          </cell>
          <cell r="I1902" t="str">
            <v>деп</v>
          </cell>
          <cell r="J1902">
            <v>38495</v>
          </cell>
        </row>
        <row r="1903">
          <cell r="B1903" t="str">
            <v>ЭТНА З-Д Количество</v>
          </cell>
          <cell r="D1903">
            <v>2</v>
          </cell>
        </row>
        <row r="1904">
          <cell r="A1904">
            <v>53701769</v>
          </cell>
          <cell r="B1904" t="str">
            <v>ЮГТРАНСГАЗ УПТОКИЖТ</v>
          </cell>
          <cell r="C1904" t="str">
            <v>ТАТИЩЕВО     (ПРВ)</v>
          </cell>
          <cell r="D1904">
            <v>35612</v>
          </cell>
          <cell r="I1904" t="str">
            <v>деп</v>
          </cell>
          <cell r="J1904">
            <v>36708</v>
          </cell>
        </row>
        <row r="1905">
          <cell r="A1905">
            <v>58339151</v>
          </cell>
          <cell r="B1905" t="str">
            <v>ЮГТРАНСГАЗ УПТОКИЖТ</v>
          </cell>
          <cell r="C1905" t="str">
            <v>ТАТИЩЕВО     (ПРВ)</v>
          </cell>
          <cell r="D1905">
            <v>35612</v>
          </cell>
          <cell r="I1905" t="str">
            <v>деп</v>
          </cell>
          <cell r="J1905">
            <v>36708</v>
          </cell>
        </row>
        <row r="1906">
          <cell r="A1906">
            <v>58339169</v>
          </cell>
          <cell r="B1906" t="str">
            <v>ЮГТРАНСГАЗ УПТОКИЖТ</v>
          </cell>
          <cell r="C1906" t="str">
            <v>ТАТИЩЕВО     (ПРВ)</v>
          </cell>
          <cell r="D1906">
            <v>35612</v>
          </cell>
          <cell r="I1906" t="str">
            <v>деп</v>
          </cell>
          <cell r="J1906">
            <v>36708</v>
          </cell>
        </row>
        <row r="1907">
          <cell r="A1907">
            <v>58339177</v>
          </cell>
          <cell r="B1907" t="str">
            <v>ЮГТРАНСГАЗ УПТОКИЖТ</v>
          </cell>
          <cell r="C1907" t="str">
            <v>ТАТИЩЕВО     (ПРВ)</v>
          </cell>
          <cell r="D1907">
            <v>35612</v>
          </cell>
          <cell r="I1907" t="str">
            <v>деп</v>
          </cell>
          <cell r="J1907">
            <v>36708</v>
          </cell>
        </row>
        <row r="1908">
          <cell r="A1908">
            <v>58339185</v>
          </cell>
          <cell r="B1908" t="str">
            <v>ЮГТРАНСГАЗ УПТОКИЖТ</v>
          </cell>
          <cell r="C1908" t="str">
            <v>ТАТИЩЕВО     (ПРВ)</v>
          </cell>
          <cell r="D1908">
            <v>35612</v>
          </cell>
          <cell r="I1908" t="str">
            <v>деп</v>
          </cell>
          <cell r="J1908">
            <v>36708</v>
          </cell>
        </row>
        <row r="1909">
          <cell r="B1909" t="str">
            <v>ЮГТРАНСГАЗ УПТОКИЖТ Количество</v>
          </cell>
          <cell r="D1909">
            <v>5</v>
          </cell>
        </row>
        <row r="1910">
          <cell r="A1910">
            <v>58733965</v>
          </cell>
          <cell r="B1910" t="str">
            <v>ЮНИЛИЗ</v>
          </cell>
          <cell r="C1910" t="str">
            <v>ОТРОЖКА      (ЮВС)</v>
          </cell>
          <cell r="D1910">
            <v>28126</v>
          </cell>
          <cell r="E1910">
            <v>36543</v>
          </cell>
          <cell r="F1910">
            <v>497</v>
          </cell>
          <cell r="G1910">
            <v>37818</v>
          </cell>
          <cell r="H1910">
            <v>497</v>
          </cell>
          <cell r="I1910" t="str">
            <v>деп</v>
          </cell>
          <cell r="J1910">
            <v>38368</v>
          </cell>
        </row>
        <row r="1911">
          <cell r="B1911" t="str">
            <v>ЮНИЛИЗ Количество</v>
          </cell>
          <cell r="D1911">
            <v>1</v>
          </cell>
        </row>
        <row r="1912">
          <cell r="A1912">
            <v>53703864</v>
          </cell>
          <cell r="B1912" t="str">
            <v>ЯМАЛИНВЕСТРЕСУРС</v>
          </cell>
          <cell r="C1912" t="str">
            <v>ЛЮБЛИНО-СОРТ (МСK)</v>
          </cell>
          <cell r="D1912">
            <v>34639</v>
          </cell>
          <cell r="E1912">
            <v>37733</v>
          </cell>
          <cell r="F1912">
            <v>350</v>
          </cell>
          <cell r="I1912" t="str">
            <v>деп</v>
          </cell>
          <cell r="J1912">
            <v>38829</v>
          </cell>
        </row>
        <row r="1913">
          <cell r="A1913">
            <v>58723180</v>
          </cell>
          <cell r="B1913" t="str">
            <v>ЯМАЛИНВЕСТРЕСУРС</v>
          </cell>
          <cell r="C1913" t="str">
            <v>ЛЮБЛИНО-СОРТ (МСK)</v>
          </cell>
          <cell r="D1913">
            <v>34851</v>
          </cell>
          <cell r="E1913">
            <v>37733</v>
          </cell>
          <cell r="F1913">
            <v>350</v>
          </cell>
          <cell r="I1913" t="str">
            <v>деп</v>
          </cell>
          <cell r="J1913">
            <v>38464</v>
          </cell>
        </row>
        <row r="1914">
          <cell r="A1914">
            <v>58723206</v>
          </cell>
          <cell r="B1914" t="str">
            <v>ЯМАЛИНВЕСТРЕСУРС</v>
          </cell>
          <cell r="C1914" t="str">
            <v>ЛЮБЛИНО-СОРТ (МСK)</v>
          </cell>
          <cell r="D1914">
            <v>34851</v>
          </cell>
          <cell r="E1914">
            <v>37733</v>
          </cell>
          <cell r="F1914">
            <v>350</v>
          </cell>
          <cell r="I1914" t="str">
            <v>деп</v>
          </cell>
          <cell r="J1914">
            <v>38464</v>
          </cell>
        </row>
        <row r="1915">
          <cell r="A1915">
            <v>58723214</v>
          </cell>
          <cell r="B1915" t="str">
            <v>ЯМАЛИНВЕСТРЕСУРС</v>
          </cell>
          <cell r="C1915" t="str">
            <v>ЛЮБЛИНО-СОРТ (МСK)</v>
          </cell>
          <cell r="D1915">
            <v>34851</v>
          </cell>
          <cell r="E1915">
            <v>37733</v>
          </cell>
          <cell r="F1915">
            <v>350</v>
          </cell>
          <cell r="I1915" t="str">
            <v>деп</v>
          </cell>
          <cell r="J1915">
            <v>38464</v>
          </cell>
        </row>
        <row r="1916">
          <cell r="A1916">
            <v>58723222</v>
          </cell>
          <cell r="B1916" t="str">
            <v>ЯМАЛИНВЕСТРЕСУРС</v>
          </cell>
          <cell r="C1916" t="str">
            <v>ЛЮБЛИНО-СОРТ (МСK)</v>
          </cell>
          <cell r="D1916">
            <v>34851</v>
          </cell>
          <cell r="E1916">
            <v>37733</v>
          </cell>
          <cell r="F1916">
            <v>350</v>
          </cell>
          <cell r="I1916" t="str">
            <v>деп</v>
          </cell>
          <cell r="J1916">
            <v>38464</v>
          </cell>
        </row>
        <row r="1917">
          <cell r="B1917" t="str">
            <v>ЯМАЛИНВЕСТРЕСУРС Количество</v>
          </cell>
          <cell r="D1917">
            <v>5</v>
          </cell>
        </row>
        <row r="1918">
          <cell r="A1918">
            <v>53702015</v>
          </cell>
          <cell r="B1918" t="str">
            <v>ЯМБУРГГАЗДОБЫЧА ПО</v>
          </cell>
          <cell r="C1918" t="str">
            <v>ЯМБУРГ       (СВР)</v>
          </cell>
          <cell r="D1918">
            <v>33630</v>
          </cell>
          <cell r="E1918">
            <v>37942</v>
          </cell>
          <cell r="F1918">
            <v>163</v>
          </cell>
          <cell r="I1918" t="str">
            <v>кап</v>
          </cell>
          <cell r="J1918">
            <v>39038</v>
          </cell>
        </row>
        <row r="1919">
          <cell r="A1919">
            <v>58339524</v>
          </cell>
          <cell r="B1919" t="str">
            <v>ЯМБУРГГАЗДОБЫЧА ПО</v>
          </cell>
          <cell r="C1919" t="str">
            <v>ЯМБУРГ       (СВР)</v>
          </cell>
          <cell r="D1919">
            <v>33928</v>
          </cell>
          <cell r="E1919">
            <v>37942</v>
          </cell>
          <cell r="F1919">
            <v>163</v>
          </cell>
          <cell r="I1919" t="str">
            <v>деп</v>
          </cell>
          <cell r="J1919">
            <v>38673</v>
          </cell>
        </row>
        <row r="1920">
          <cell r="A1920">
            <v>58339532</v>
          </cell>
          <cell r="B1920" t="str">
            <v>ЯМБУРГГАЗДОБЫЧА ПО</v>
          </cell>
          <cell r="C1920" t="str">
            <v>ЯМБУРГ       (СВР)</v>
          </cell>
          <cell r="D1920">
            <v>33928</v>
          </cell>
          <cell r="E1920">
            <v>37942</v>
          </cell>
          <cell r="F1920">
            <v>163</v>
          </cell>
          <cell r="I1920" t="str">
            <v>деп</v>
          </cell>
          <cell r="J1920">
            <v>38673</v>
          </cell>
        </row>
        <row r="1921">
          <cell r="A1921">
            <v>58339540</v>
          </cell>
          <cell r="B1921" t="str">
            <v>ЯМБУРГГАЗДОБЫЧА ПО</v>
          </cell>
          <cell r="C1921" t="str">
            <v>ЯМБУРГ       (СВР)</v>
          </cell>
          <cell r="D1921">
            <v>33928</v>
          </cell>
          <cell r="E1921">
            <v>37942</v>
          </cell>
          <cell r="F1921">
            <v>163</v>
          </cell>
          <cell r="I1921" t="str">
            <v>деп</v>
          </cell>
          <cell r="J1921">
            <v>38673</v>
          </cell>
        </row>
        <row r="1922">
          <cell r="A1922">
            <v>58339557</v>
          </cell>
          <cell r="B1922" t="str">
            <v>ЯМБУРГГАЗДОБЫЧА ПО</v>
          </cell>
          <cell r="C1922" t="str">
            <v>ЯМБУРГ       (СВР)</v>
          </cell>
          <cell r="D1922">
            <v>33928</v>
          </cell>
          <cell r="E1922">
            <v>37942</v>
          </cell>
          <cell r="F1922">
            <v>163</v>
          </cell>
          <cell r="I1922" t="str">
            <v>деп</v>
          </cell>
          <cell r="J1922">
            <v>38673</v>
          </cell>
        </row>
        <row r="1923">
          <cell r="B1923" t="str">
            <v>ЯМБУРГГАЗДОБЫЧА ПО Количество</v>
          </cell>
          <cell r="D1923">
            <v>5</v>
          </cell>
        </row>
        <row r="1924">
          <cell r="B1924" t="str">
            <v>Общее количество</v>
          </cell>
          <cell r="D1924">
            <v>1732</v>
          </cell>
        </row>
      </sheetData>
      <sheetData sheetId="1"/>
      <sheetData sheetId="2"/>
    </sheetDataSet>
  </externalBook>
</externalLink>
</file>

<file path=xl/externalLinks/externalLink10.xml><?xml version="1.0" encoding="utf-8"?>
<externalLink xmlns="http://schemas.openxmlformats.org/spreadsheetml/2006/main">
  <externalBook xmlns:r="http://schemas.openxmlformats.org/officeDocument/2006/relationships" r:id="rId1">
    <sheetNames>
      <sheetName val="TMPREP_33963"/>
      <sheetName val="TMPREP_33963_НАГРУЗКА"/>
      <sheetName val="тарифы 2019_2018"/>
      <sheetName val="далее расч листы для тарифов"/>
      <sheetName val="энерг_1 действ"/>
      <sheetName val="энерг_2 действ"/>
      <sheetName val="кокс уг_3 действ"/>
      <sheetName val="энерг_1 предлаг"/>
      <sheetName val="энерг_2 предлаг"/>
      <sheetName val="кокс уг_3 предлаг"/>
      <sheetName val="Коэффициенты"/>
      <sheetName val="В инв"/>
      <sheetName val="сх 8"/>
      <sheetName val="сх пор"/>
      <sheetName val="список дальн"/>
      <sheetName val="сх И1"/>
      <sheetName val="к порожн "/>
    </sheetNames>
    <sheetDataSet>
      <sheetData sheetId="0"/>
      <sheetData sheetId="1"/>
      <sheetData sheetId="2"/>
      <sheetData sheetId="3"/>
      <sheetData sheetId="4">
        <row r="3">
          <cell r="I3">
            <v>25</v>
          </cell>
        </row>
        <row r="4">
          <cell r="I4">
            <v>26</v>
          </cell>
        </row>
        <row r="5">
          <cell r="I5">
            <v>27</v>
          </cell>
        </row>
        <row r="6">
          <cell r="I6">
            <v>28</v>
          </cell>
        </row>
        <row r="7">
          <cell r="I7">
            <v>29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kurkinda" refreshedDate="46210.46377858796" createdVersion="3" refreshedVersion="3" minRefreshableVersion="3" recordCount="24">
  <cacheSource type="worksheet">
    <worksheetSource ref="C3:AT27" sheet="Уголь_эластика_экспорт"/>
  </cacheSource>
  <cacheFields count="45">
    <cacheField name="Группа груза" numFmtId="0">
      <sharedItems/>
    </cacheField>
    <cacheField name="Код груза" numFmtId="0">
      <sharedItems containsSemiMixedTypes="0" containsString="0" containsNumber="1" containsInteger="1" minValue="16101" maxValue="16122"/>
    </cacheField>
    <cacheField name="Наим груза" numFmtId="0">
      <sharedItems/>
    </cacheField>
    <cacheField name="Вид груза" numFmtId="0">
      <sharedItems count="3">
        <s v="уголь энергетический (кроме антрацита)"/>
        <s v="уголь для коксования"/>
        <s v="антрацит (энергетический уголь)"/>
      </sharedItems>
    </cacheField>
    <cacheField name="Дор отпр" numFmtId="0">
      <sharedItems/>
    </cacheField>
    <cacheField name="Дор наз" numFmtId="0">
      <sharedItems/>
    </cacheField>
    <cacheField name="Станц отпр РФ" numFmtId="0">
      <sharedItems containsMixedTypes="1" containsNumber="1" containsInteger="1" minValue="0" maxValue="0"/>
    </cacheField>
    <cacheField name="Станц назн РФ" numFmtId="0">
      <sharedItems/>
    </cacheField>
    <cacheField name="Средняя дальность(км)" numFmtId="0">
      <sharedItems containsSemiMixedTypes="0" containsString="0" containsNumber="1" containsInteger="1" minValue="971" maxValue="6064"/>
    </cacheField>
    <cacheField name="Род вагона" numFmtId="0">
      <sharedItems/>
    </cacheField>
    <cacheField name="Вид перевозки" numFmtId="0">
      <sharedItems/>
    </cacheField>
    <cacheField name="Признак контейнерной отправки" numFmtId="0">
      <sharedItems/>
    </cacheField>
    <cacheField name="Направление" numFmtId="0">
      <sharedItems count="3">
        <s v="Восточное"/>
        <s v="Северо-Западное"/>
        <s v="Южное"/>
      </sharedItems>
    </cacheField>
    <cacheField name="ОКПО компании" numFmtId="0">
      <sharedItems containsSemiMixedTypes="0" containsString="0" containsNumber="1" containsInteger="1" minValue="160212" maxValue="87470970"/>
    </cacheField>
    <cacheField name="Компания отправителя" numFmtId="0">
      <sharedItems/>
    </cacheField>
    <cacheField name="Холдинг отправителя" numFmtId="0">
      <sharedItems/>
    </cacheField>
    <cacheField name="Объем перевозок (тн)" numFmtId="3">
      <sharedItems containsSemiMixedTypes="0" containsString="0" containsNumber="1" containsInteger="1" minValue="37568" maxValue="4534534"/>
    </cacheField>
    <cacheField name="Грузооборот, ткм" numFmtId="3">
      <sharedItems containsSemiMixedTypes="0" containsString="0" containsNumber="1" containsInteger="1" minValue="168392405" maxValue="16151426937"/>
    </cacheField>
    <cacheField name="Кол-во вагонов" numFmtId="3">
      <sharedItems containsSemiMixedTypes="0" containsString="0" containsNumber="1" containsInteger="1" minValue="543" maxValue="60744"/>
    </cacheField>
    <cacheField name="Кол-во контейнеров" numFmtId="3">
      <sharedItems containsNonDate="0" containsString="0" containsBlank="1"/>
    </cacheField>
    <cacheField name="Провозная плата, руб" numFmtId="3">
      <sharedItems containsSemiMixedTypes="0" containsString="0" containsNumber="1" containsInteger="1" minValue="74433738" maxValue="6992355439"/>
    </cacheField>
    <cacheField name="Загрузка вагона" numFmtId="0">
      <sharedItems containsSemiMixedTypes="0" containsString="0" containsNumber="1" containsInteger="1" minValue="69" maxValue="75"/>
    </cacheField>
    <cacheField name="Категория отправки" numFmtId="0">
      <sharedItems/>
    </cacheField>
    <cacheField name="Груженый рейс, дней" numFmtId="0">
      <sharedItems containsSemiMixedTypes="0" containsString="0" containsNumber="1" containsInteger="1" minValue="6" maxValue="14"/>
    </cacheField>
    <cacheField name="Порожний рейс, дней" numFmtId="0">
      <sharedItems containsSemiMixedTypes="0" containsString="0" containsNumber="1" containsInteger="1" minValue="6" maxValue="14"/>
    </cacheField>
    <cacheField name="Погрузка-разгрузка, дней" numFmtId="0">
      <sharedItems containsSemiMixedTypes="0" containsString="0" containsNumber="1" containsInteger="1" minValue="4" maxValue="4"/>
    </cacheField>
    <cacheField name="Расходы по оплате услуг ОАО 'РЖД', руб. за тонну гружёный рейс" numFmtId="3">
      <sharedItems containsSemiMixedTypes="0" containsString="0" containsNumber="1" minValue="808.81" maxValue="2564.59"/>
    </cacheField>
    <cacheField name="Расходы по оплате услуг ОАО 'РЖД', руб. за тонну порожний рейс" numFmtId="3">
      <sharedItems containsSemiMixedTypes="0" containsString="0" containsNumber="1" minValue="406.26" maxValue="1120.5700000000002"/>
    </cacheField>
    <cacheField name="Расходы по оплате услуг ОАО 'РЖД', руб. за тонну общая стоимость (тарифные условия 2026 года)" numFmtId="3">
      <sharedItems containsSemiMixedTypes="0" containsString="0" containsNumber="1" minValue="1215.07" maxValue="3685.16"/>
    </cacheField>
    <cacheField name="Расходы по оплате услуг операторов, руб. за тонну" numFmtId="3">
      <sharedItems containsSemiMixedTypes="0" containsString="0" containsNumber="1" minValue="213.33333333333334" maxValue="413.33333333333331"/>
    </cacheField>
    <cacheField name="Расходы на перевалку, руб. за тонну" numFmtId="3">
      <sharedItems containsString="0" containsBlank="1" containsNumber="1" minValue="610.44399999999996" maxValue="991.97149999999988"/>
    </cacheField>
    <cacheField name="Акциз/пошлина" numFmtId="3">
      <sharedItems containsNonDate="0" containsString="0" containsBlank="1"/>
    </cacheField>
    <cacheField name="Себестоимость добычи/производства, руб. т." numFmtId="3">
      <sharedItems containsSemiMixedTypes="0" containsString="0" containsNumber="1" containsInteger="1" minValue="586" maxValue="5018"/>
    </cacheField>
    <cacheField name="Стоимость 1 тонны на рынке, руб./т." numFmtId="3">
      <sharedItems containsSemiMixedTypes="0" containsString="0" containsNumber="1" minValue="6485.9674999999997" maxValue="10911.6865"/>
    </cacheField>
    <cacheField name="Стоимость 1 тонны на рынке, $/т." numFmtId="3">
      <sharedItems containsSemiMixedTypes="0" containsString="0" containsNumber="1" minValue="85" maxValue="143"/>
    </cacheField>
    <cacheField name="Общие транспортные расходы, руб. за тонну " numFmtId="3">
      <sharedItems containsSemiMixedTypes="0" containsString="0" containsNumber="1" minValue="2218.125" maxValue="4848.2150000000001"/>
    </cacheField>
    <cacheField name="Нетбэк, руб. за тонну " numFmtId="3">
      <sharedItems containsSemiMixedTypes="0" containsString="0" containsNumber="1" minValue="2323.9255289855073" maxValue="6328.0910000000003"/>
    </cacheField>
    <cacheField name="Общие расходы, руб. за тонну" numFmtId="3">
      <sharedItems containsSemiMixedTypes="0" containsString="0" containsNumber="1" minValue="4118.5076811594199" maxValue="9133.0716666666667"/>
    </cacheField>
    <cacheField name="Маржинальность в текущих условиях" numFmtId="170">
      <sharedItems containsSemiMixedTypes="0" containsString="0" containsNumber="1" minValue="-0.31846389917926654" maxValue="0.51808991474596244"/>
    </cacheField>
    <cacheField name="Транспортная составляющая в цене %" numFmtId="170">
      <sharedItems containsSemiMixedTypes="0" containsString="0" containsNumber="1" minValue="0.25954469206020536" maxValue="0.64798108586564507"/>
    </cacheField>
    <cacheField name="Инфраструктурная составляющая в цене %" numFmtId="170">
      <sharedItems containsSemiMixedTypes="0" containsString="0" containsNumber="1" minValue="0.14217637373078329" maxValue="0.50378605813242205"/>
    </cacheField>
    <cacheField name="Инфраструктурная составляющая в транспортных затратах" numFmtId="170">
      <sharedItems containsSemiMixedTypes="0" containsString="0" containsNumber="1" minValue="0.54779149056072129" maxValue="0.90809993623202268"/>
    </cacheField>
    <cacheField name="Коэффициент сохранения базы В РАСЧЕТ" numFmtId="167">
      <sharedItems containsSemiMixedTypes="0" containsString="0" containsNumber="1" minValue="0.80100000000000005" maxValue="1"/>
    </cacheField>
    <cacheField name="объем*_x000a_коэфф" numFmtId="3">
      <sharedItems containsSemiMixedTypes="0" containsString="0" containsNumber="1" minValue="31632.255999999998" maxValue="4534534"/>
    </cacheField>
    <cacheField name="Средний коэфф сохранения базы" numFmtId="0" formula="'объем*_x000a_коэфф'/'Объем перевозок (тн)'" databaseField="0"/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4">
  <r>
    <s v="Уголь каменный"/>
    <n v="16111"/>
    <s v="УГОЛЬ Г"/>
    <x v="0"/>
    <s v="ДВС"/>
    <s v="ДВС"/>
    <s v="ЧЕГДОМЫН"/>
    <s v="ВАНИНО-ЭКСП"/>
    <n v="971"/>
    <s v="полувагон"/>
    <s v="Экспорт"/>
    <s v="неконтейнерная"/>
    <x v="0"/>
    <n v="54657469"/>
    <s v="ООО &quot;КАРБОНПРО&quot;"/>
    <s v="АО &quot;СУЭК&quot;"/>
    <n v="4534534"/>
    <n v="4403034520"/>
    <n v="60744"/>
    <m/>
    <n v="3250215610"/>
    <n v="75"/>
    <s v="группа вагонов"/>
    <n v="7"/>
    <n v="7"/>
    <n v="4"/>
    <n v="808.81"/>
    <n v="406.26"/>
    <n v="1215.07"/>
    <n v="240"/>
    <n v="763.05499999999995"/>
    <m/>
    <n v="5018"/>
    <n v="8546.2160000000003"/>
    <n v="112.00000000000001"/>
    <n v="2218.125"/>
    <n v="6328.0910000000003"/>
    <n v="7236.125"/>
    <n v="0.15329486172593815"/>
    <n v="0.25954469206020536"/>
    <n v="0.14217637373078329"/>
    <n v="0.54779149056072129"/>
    <n v="1"/>
    <n v="4534534"/>
  </r>
  <r>
    <s v="Уголь каменный"/>
    <n v="16112"/>
    <s v="УГОЛЬ Д"/>
    <x v="0"/>
    <s v="КРС"/>
    <s v="ОКТ"/>
    <s v="ЧЕРНОГ.КОПИ"/>
    <s v="МУРМАНСК-ЭКС"/>
    <n v="5356"/>
    <s v="полувагон"/>
    <s v="Экспорт"/>
    <s v="неконтейнерная"/>
    <x v="1"/>
    <n v="54657469"/>
    <s v="ООО &quot;КАРБОНПРО&quot;"/>
    <s v="АО &quot;СУЭК&quot;"/>
    <n v="2180783"/>
    <n v="11680408007"/>
    <n v="29661"/>
    <m/>
    <n v="4360383957"/>
    <n v="75"/>
    <s v="маршрутная"/>
    <n v="12"/>
    <n v="12"/>
    <n v="4"/>
    <n v="2152.64"/>
    <n v="1013.71"/>
    <n v="3166.35"/>
    <n v="373.33333333333331"/>
    <n v="610.44399999999996"/>
    <m/>
    <n v="2020"/>
    <n v="6485.9674999999997"/>
    <n v="85"/>
    <n v="4150.1273333333338"/>
    <n v="2335.8401666666659"/>
    <n v="6170.1273333333338"/>
    <n v="4.8695921875443554E-2"/>
    <n v="0.63986249288688757"/>
    <n v="0.48818468486004596"/>
    <n v="0.76295249414837218"/>
    <n v="1"/>
    <n v="2180783"/>
  </r>
  <r>
    <s v="Уголь каменный"/>
    <n v="16112"/>
    <s v="УГОЛЬ Д"/>
    <x v="0"/>
    <s v="КРС"/>
    <s v="СКВ"/>
    <s v="ЧЕРНОГ.КОПИ"/>
    <s v="АЗОВ-ЭКСПОРТ"/>
    <n v="4832"/>
    <s v="полувагон"/>
    <s v="Экспорт"/>
    <s v="неконтейнерная"/>
    <x v="2"/>
    <n v="54657469"/>
    <s v="ООО &quot;КАРБОНПРО&quot;"/>
    <s v="АО &quot;СУЭК&quot;"/>
    <n v="399916"/>
    <n v="1932276609"/>
    <n v="5484"/>
    <m/>
    <n v="750324310"/>
    <n v="75"/>
    <s v="маршрутная"/>
    <n v="11"/>
    <n v="11"/>
    <n v="4"/>
    <n v="1990.61"/>
    <n v="928.22"/>
    <n v="2918.83"/>
    <n v="346.66666666666669"/>
    <n v="991.97149999999988"/>
    <m/>
    <n v="2020"/>
    <n v="7249.0224999999991"/>
    <n v="95"/>
    <n v="4257.4681666666665"/>
    <n v="2991.5543333333326"/>
    <n v="6277.4681666666656"/>
    <n v="0.13402556459623813"/>
    <n v="0.58731617492795296"/>
    <n v="0.4026515299131711"/>
    <n v="0.68557881955586353"/>
    <n v="1"/>
    <n v="399916"/>
  </r>
  <r>
    <s v="Уголь каменный"/>
    <n v="16112"/>
    <s v="УГОЛЬ Д"/>
    <x v="0"/>
    <s v="КРС"/>
    <s v="ИФР"/>
    <s v="КАМЫШТА"/>
    <s v="МИХ-СЕМ-Э"/>
    <n v="4678"/>
    <s v="полувагон"/>
    <s v="Экспорт"/>
    <s v="неконтейнерная"/>
    <x v="0"/>
    <n v="1869326"/>
    <s v="ООО &quot;УГОЛЬ ПЛЮС&quot;"/>
    <s v="АО &quot;Русский уголь&quot;"/>
    <n v="200545"/>
    <n v="938250119"/>
    <n v="2877"/>
    <m/>
    <n v="485116824"/>
    <n v="69"/>
    <s v="маршрутная"/>
    <n v="14"/>
    <n v="14"/>
    <n v="4"/>
    <n v="2198.94"/>
    <n v="1008.9299999999998"/>
    <n v="3207.87"/>
    <n v="324.63768115942031"/>
    <m/>
    <m/>
    <n v="586"/>
    <n v="8546.2160000000003"/>
    <n v="112.00000000000001"/>
    <n v="3532.5076811594204"/>
    <n v="5013.7083188405795"/>
    <n v="4118.5076811594199"/>
    <n v="0.51808991474596244"/>
    <n v="0.41334172704731781"/>
    <n v="0.37535559597370344"/>
    <n v="0.90809993623202268"/>
    <n v="1"/>
    <n v="200545"/>
  </r>
  <r>
    <s v="Уголь каменный"/>
    <n v="16111"/>
    <s v="УГОЛЬ Г"/>
    <x v="0"/>
    <s v="КРС"/>
    <s v="ОКТ"/>
    <s v="КРАВЧЕНКО"/>
    <s v="ЛУЖСКАЯ-ЭКСП"/>
    <n v="4972"/>
    <s v="полувагон"/>
    <s v="Экспорт"/>
    <s v="неконтейнерная"/>
    <x v="1"/>
    <n v="78465421"/>
    <s v="АО &quot;РУССКИЙ УГОЛЬ&quot;"/>
    <s v="АО &quot;Русский уголь&quot;"/>
    <n v="55119"/>
    <n v="274033646"/>
    <n v="786"/>
    <m/>
    <n v="109968398"/>
    <n v="69"/>
    <s v="маршрутная"/>
    <n v="12"/>
    <n v="12"/>
    <n v="4"/>
    <n v="2243.1"/>
    <n v="1024.44"/>
    <n v="3267.54"/>
    <n v="284.05797101449275"/>
    <n v="610.44399999999996"/>
    <m/>
    <n v="586"/>
    <n v="6485.9674999999997"/>
    <n v="85"/>
    <n v="4162.0419710144924"/>
    <n v="2323.9255289855073"/>
    <n v="4748.0419710144924"/>
    <n v="0.26795162463973299"/>
    <n v="0.64169947984082443"/>
    <n v="0.50378605813242205"/>
    <n v="0.78508098254558001"/>
    <n v="1"/>
    <n v="55119"/>
  </r>
  <r>
    <s v="Уголь каменный"/>
    <n v="16111"/>
    <s v="УГОЛЬ Г"/>
    <x v="0"/>
    <s v="КРС"/>
    <s v="СКВ"/>
    <s v="КРАВЧЕНКО"/>
    <s v="ВЫШСТБЛ-ЭКС"/>
    <n v="5362"/>
    <s v="полувагон"/>
    <s v="Экспорт"/>
    <s v="неконтейнерная"/>
    <x v="2"/>
    <n v="78465421"/>
    <s v="АО &quot;РУССКИЙ УГОЛЬ&quot;"/>
    <s v="АО &quot;Русский уголь&quot;"/>
    <n v="744502"/>
    <n v="3991785157"/>
    <n v="10404"/>
    <m/>
    <n v="1516719886"/>
    <n v="69"/>
    <s v="маршрутная"/>
    <n v="12"/>
    <n v="12"/>
    <n v="4"/>
    <n v="2334.86"/>
    <n v="1086.3399999999997"/>
    <n v="3421.2"/>
    <n v="284.05797101449275"/>
    <n v="991.97149999999988"/>
    <m/>
    <n v="586"/>
    <n v="7249.0224999999991"/>
    <n v="95"/>
    <n v="4697.2294710144924"/>
    <n v="2551.7930289855067"/>
    <n v="5283.2294710144924"/>
    <n v="0.27118042866959052"/>
    <n v="0.64798108586564507"/>
    <n v="0.47195328749496918"/>
    <n v="0.72834423378960456"/>
    <n v="1"/>
    <n v="744502"/>
  </r>
  <r>
    <s v="Уголь каменный"/>
    <n v="16118"/>
    <s v="УГОЛЬ Т"/>
    <x v="0"/>
    <s v="ЗСБ"/>
    <s v="ДВС"/>
    <s v="САРБАЛА"/>
    <s v="НАХОДКА-В-ЭК"/>
    <n v="5976"/>
    <s v="полувагон"/>
    <s v="Экспорт"/>
    <s v="неконтейнерная"/>
    <x v="0"/>
    <n v="82365518"/>
    <s v="АО &quot;АТРИУМ&quot;"/>
    <s v="ООО &quot;УГМК-Холдинг&quot;"/>
    <n v="1782028"/>
    <n v="10648684516"/>
    <n v="23883"/>
    <m/>
    <n v="3937998980"/>
    <n v="75"/>
    <s v="маршрутная"/>
    <n v="13"/>
    <n v="14"/>
    <n v="4"/>
    <n v="2442.4699999999998"/>
    <n v="1120.5700000000002"/>
    <n v="3563.04"/>
    <n v="413.33333333333331"/>
    <n v="763.05499999999995"/>
    <m/>
    <n v="2736"/>
    <n v="8546.2160000000003"/>
    <n v="112.00000000000001"/>
    <n v="4739.4283333333333"/>
    <n v="3806.7876666666671"/>
    <n v="7475.4283333333333"/>
    <n v="0.12529377524119062"/>
    <n v="0.5545645386605409"/>
    <n v="0.41691433963288543"/>
    <n v="0.75178687162340607"/>
    <n v="1"/>
    <n v="1782028"/>
  </r>
  <r>
    <s v="Уголь каменный"/>
    <n v="16117"/>
    <s v="УГОЛЬ СС"/>
    <x v="0"/>
    <s v="ЗСБ"/>
    <s v="ОКТ"/>
    <s v="БОЧАТЫ"/>
    <s v="ЛУЖСКАЯ-ЭКСП"/>
    <n v="4156"/>
    <s v="полувагон"/>
    <s v="Экспорт"/>
    <s v="неконтейнерная"/>
    <x v="1"/>
    <n v="82365518"/>
    <s v="АО &quot;АТРИУМ&quot;"/>
    <s v="ООО &quot;УГМК-Холдинг&quot;"/>
    <n v="1822456"/>
    <n v="7574874184"/>
    <n v="25338"/>
    <m/>
    <n v="3281208376"/>
    <n v="69"/>
    <s v="маршрутная"/>
    <n v="11"/>
    <n v="12"/>
    <n v="4"/>
    <n v="2082.23"/>
    <n v="928.75999999999976"/>
    <n v="3010.99"/>
    <n v="273.91304347826087"/>
    <n v="610.44399999999996"/>
    <m/>
    <n v="2736"/>
    <n v="6485.9674999999997"/>
    <n v="85"/>
    <n v="3895.3470434782607"/>
    <n v="2590.620456521739"/>
    <n v="6631.3470434782612"/>
    <n v="-2.2414473010890272E-2"/>
    <n v="0.60058072191670109"/>
    <n v="0.46423143501721215"/>
    <n v="0.77297092310199023"/>
    <n v="0.97"/>
    <n v="1767782.32"/>
  </r>
  <r>
    <s v="Уголь каменный"/>
    <n v="16112"/>
    <s v="УГОЛЬ Д"/>
    <x v="0"/>
    <s v="ЗСБ"/>
    <s v="СКВ"/>
    <s v="ЕРУНАКОВО"/>
    <s v="ТУАПСЕ-СОР-Э"/>
    <n v="4637"/>
    <s v="полувагон"/>
    <s v="Экспорт"/>
    <s v="неконтейнерная"/>
    <x v="2"/>
    <n v="82365518"/>
    <s v="АО &quot;АТРИУМ&quot;"/>
    <s v="ООО &quot;УГМК-Холдинг&quot;"/>
    <n v="1389317"/>
    <n v="6442749019"/>
    <n v="19610"/>
    <m/>
    <n v="2689139106"/>
    <n v="69"/>
    <s v="маршрутная"/>
    <n v="11"/>
    <n v="12"/>
    <n v="4"/>
    <n v="2198.94"/>
    <n v="1008.9299999999998"/>
    <n v="3207.87"/>
    <n v="273.91304347826087"/>
    <n v="991.97149999999988"/>
    <m/>
    <n v="2736"/>
    <n v="7249.0224999999991"/>
    <n v="95"/>
    <n v="4473.7545434782605"/>
    <n v="2775.2679565217386"/>
    <n v="7209.7545434782605"/>
    <n v="5.4170002261323654E-3"/>
    <n v="0.61715280142643525"/>
    <n v="0.44252449209531358"/>
    <n v="0.71704202115343163"/>
    <n v="0.98499999999999999"/>
    <n v="1368477.2449999999"/>
  </r>
  <r>
    <s v="Уголь каменный"/>
    <n v="16111"/>
    <s v="УГОЛЬ Г"/>
    <x v="0"/>
    <s v="ДВС"/>
    <s v="ДВС"/>
    <s v="УЛАК"/>
    <s v="СТРЕЛКОВАЯ-Э"/>
    <n v="2421"/>
    <s v="полувагон"/>
    <s v="Экспорт"/>
    <s v="неконтейнерная"/>
    <x v="0"/>
    <n v="50029397"/>
    <s v="АО &quot;НОВЫЙ МИР&quot;"/>
    <s v="ООО &quot;УК &quot;Эльга&quot;"/>
    <n v="3770445"/>
    <n v="9130041724"/>
    <n v="50798"/>
    <m/>
    <n v="4501908298"/>
    <n v="75"/>
    <s v="маршрутная"/>
    <n v="6"/>
    <n v="6"/>
    <n v="4"/>
    <n v="1199.8699999999999"/>
    <n v="560.68000000000006"/>
    <n v="1760.55"/>
    <n v="213.33333333333334"/>
    <n v="763.05499999999995"/>
    <m/>
    <n v="3240"/>
    <n v="8546.2160000000003"/>
    <n v="112.00000000000001"/>
    <n v="2736.938333333333"/>
    <n v="5809.2776666666668"/>
    <n v="5976.9383333333335"/>
    <n v="0.30063336413058911"/>
    <n v="0.32025148127935604"/>
    <n v="0.20600345228812375"/>
    <n v="0.64325526759523877"/>
    <n v="1"/>
    <n v="3770445"/>
  </r>
  <r>
    <s v="Уголь каменный"/>
    <n v="16104"/>
    <s v="КОНЦЕНТР УГОЛЬН"/>
    <x v="1"/>
    <s v="ЗСБ"/>
    <s v="ДВС"/>
    <n v="0"/>
    <s v="НАХОДКА-ЭКС"/>
    <n v="5820"/>
    <s v="полувагон"/>
    <s v="Экспорт"/>
    <s v="неконтейнерная"/>
    <x v="0"/>
    <n v="57775656"/>
    <s v="ООО &quot;КУБЕЙРА ТРЕЙДИНГ&quot;"/>
    <s v="ООО &quot;ЕвразХолдинг&quot;"/>
    <n v="1434447"/>
    <n v="8349124223"/>
    <n v="19225"/>
    <m/>
    <n v="3205086675"/>
    <n v="75"/>
    <s v="маршрутная"/>
    <n v="13"/>
    <n v="14"/>
    <n v="4"/>
    <n v="2483.44"/>
    <n v="1092.0900000000001"/>
    <n v="3575.53"/>
    <n v="413.33333333333331"/>
    <n v="763.05499999999995"/>
    <m/>
    <n v="3876"/>
    <n v="10911.6865"/>
    <n v="143"/>
    <n v="4751.918333333334"/>
    <n v="6159.7681666666658"/>
    <n v="8627.9183333333331"/>
    <n v="0.20929561774586053"/>
    <n v="0.43548889837820526"/>
    <n v="0.32767895228661492"/>
    <n v="0.75243927803192456"/>
    <n v="1"/>
    <n v="1434447"/>
  </r>
  <r>
    <s v="Уголь каменный"/>
    <n v="16104"/>
    <s v="КОНЦЕНТР УГОЛЬН"/>
    <x v="1"/>
    <s v="ЗСБ"/>
    <s v="ОКТ"/>
    <s v="ОБНОРСКАЯ"/>
    <s v="ЛУЖСКАЯ-ЭКСП"/>
    <n v="4245"/>
    <s v="полувагон"/>
    <s v="Экспорт"/>
    <s v="неконтейнерная"/>
    <x v="1"/>
    <n v="57775656"/>
    <s v="ООО &quot;КУБЕЙРА ТРЕЙДИНГ&quot;"/>
    <s v="ООО &quot;ЕвразХолдинг&quot;"/>
    <n v="51530"/>
    <n v="218745519"/>
    <n v="725"/>
    <m/>
    <n v="99074483"/>
    <n v="69"/>
    <s v="маршрутная"/>
    <n v="11"/>
    <n v="12"/>
    <n v="4"/>
    <n v="2093.25"/>
    <n v="945.01000000000022"/>
    <n v="3038.26"/>
    <n v="273.91304347826087"/>
    <n v="610.44399999999996"/>
    <m/>
    <n v="3876"/>
    <n v="8431.7577499999989"/>
    <n v="110.49999999999999"/>
    <n v="3922.6170434782612"/>
    <n v="4509.1407065217372"/>
    <n v="7798.6170434782607"/>
    <n v="7.5090002024991553E-2"/>
    <n v="0.46521937178262285"/>
    <n v="0.36033530493686217"/>
    <n v="0.77454922729492748"/>
    <n v="1"/>
    <n v="51530"/>
  </r>
  <r>
    <s v="Уголь каменный"/>
    <n v="16104"/>
    <s v="КОНЦЕНТР УГОЛЬН"/>
    <x v="1"/>
    <s v="ЗСБ"/>
    <s v="СКВ"/>
    <s v="МЕЖДУРЕЧЕНСК"/>
    <s v="ВЫШСТБЛ-ЭКС"/>
    <n v="4677"/>
    <s v="полувагон"/>
    <s v="Экспорт"/>
    <s v="неконтейнерная"/>
    <x v="2"/>
    <n v="57775656"/>
    <s v="ООО &quot;КУБЕЙРА ТРЕЙДИНГ&quot;"/>
    <s v="ООО &quot;ЕвразХолдинг&quot;"/>
    <n v="595825"/>
    <n v="2786924496"/>
    <n v="8202"/>
    <m/>
    <n v="1167689593"/>
    <n v="75"/>
    <s v="маршрутная"/>
    <n v="11"/>
    <n v="12"/>
    <n v="4"/>
    <n v="2090.15"/>
    <n v="928.21"/>
    <n v="3018.36"/>
    <n v="360"/>
    <n v="991.97149999999988"/>
    <m/>
    <n v="3876"/>
    <n v="9080.3544999999995"/>
    <n v="119"/>
    <n v="4370.3315000000002"/>
    <n v="4710.0229999999992"/>
    <n v="8246.3315000000002"/>
    <n v="9.184916734253043E-2"/>
    <n v="0.48129525119311151"/>
    <n v="0.33240552447594424"/>
    <n v="0.69064783758394532"/>
    <n v="1"/>
    <n v="595825"/>
  </r>
  <r>
    <s v="Уголь каменный"/>
    <n v="16101"/>
    <s v="АНТРАЦИТ"/>
    <x v="2"/>
    <s v="ЗСБ"/>
    <s v="ДВС"/>
    <s v="ЕВСИНО"/>
    <s v="СМОЛЯНИНОВ-Э"/>
    <n v="6011"/>
    <s v="полувагон"/>
    <s v="Экспорт"/>
    <s v="неконтейнерная"/>
    <x v="0"/>
    <n v="53037061"/>
    <s v="ООО &quot;СИБСЛК&quot;"/>
    <s v="ООО &quot;Башкирский промышленный холдинг&quot;"/>
    <n v="2022773"/>
    <n v="12158690787"/>
    <n v="27327"/>
    <m/>
    <n v="4731039707"/>
    <n v="75"/>
    <s v="маршрутная"/>
    <n v="13"/>
    <n v="13"/>
    <n v="4"/>
    <n v="2564.59"/>
    <n v="1120.5699999999997"/>
    <n v="3685.16"/>
    <n v="400"/>
    <n v="763.05499999999995"/>
    <m/>
    <n v="2771"/>
    <n v="10072.325999999999"/>
    <n v="132"/>
    <n v="4848.2150000000001"/>
    <n v="5224.110999999999"/>
    <n v="7619.2150000000001"/>
    <n v="0.2435496031403272"/>
    <n v="0.48134015916482453"/>
    <n v="0.36586981001210644"/>
    <n v="0.76010655468043387"/>
    <n v="1"/>
    <n v="2022773"/>
  </r>
  <r>
    <s v="Уголь каменный"/>
    <n v="16118"/>
    <s v="УГОЛЬ Т"/>
    <x v="0"/>
    <s v="ЗСБ"/>
    <s v="ОКТ"/>
    <s v="МЫСКИ"/>
    <s v="ЛУЖСКАЯ-ЭКСП"/>
    <n v="4305"/>
    <s v="полувагон"/>
    <s v="Экспорт"/>
    <s v="неконтейнерная"/>
    <x v="1"/>
    <n v="53037061"/>
    <s v="ООО &quot;СИБСЛК&quot;"/>
    <s v="ООО &quot;Башкирский промышленный холдинг&quot;"/>
    <n v="1764884"/>
    <n v="7596988312"/>
    <n v="25207"/>
    <m/>
    <n v="3294467080"/>
    <n v="69"/>
    <s v="маршрутная"/>
    <n v="11"/>
    <n v="12"/>
    <n v="4"/>
    <n v="2093.25"/>
    <n v="945.01000000000022"/>
    <n v="3038.26"/>
    <n v="273.91304347826087"/>
    <n v="610.44399999999996"/>
    <m/>
    <n v="2800"/>
    <n v="6485.9674999999997"/>
    <n v="85"/>
    <n v="3922.6170434782612"/>
    <n v="2563.3504565217386"/>
    <n v="6722.6170434782616"/>
    <n v="-3.6486390577544811E-2"/>
    <n v="0.60478518331740971"/>
    <n v="0.46843589641792072"/>
    <n v="0.77454922729492748"/>
    <n v="0.96"/>
    <n v="1694288.64"/>
  </r>
  <r>
    <s v="Уголь каменный"/>
    <n v="16118"/>
    <s v="УГОЛЬ Т"/>
    <x v="0"/>
    <s v="ЗСБ"/>
    <s v="СКВ"/>
    <s v="МЫСКИ"/>
    <s v="ВЕСЕЛОЕ-ЭКСП"/>
    <n v="4838"/>
    <s v="полувагон"/>
    <s v="Экспорт"/>
    <s v="неконтейнерная"/>
    <x v="2"/>
    <n v="53037061"/>
    <s v="ООО &quot;СИБСЛК&quot;"/>
    <s v="ООО &quot;Башкирский промышленный холдинг&quot;"/>
    <n v="76356"/>
    <n v="369416028"/>
    <n v="1098"/>
    <m/>
    <n v="153835830"/>
    <n v="69"/>
    <s v="маршрутная"/>
    <n v="11"/>
    <n v="12"/>
    <n v="4"/>
    <n v="2247.13"/>
    <n v="1039.8800000000001"/>
    <n v="3287.01"/>
    <n v="273.91304347826087"/>
    <n v="991.97149999999988"/>
    <m/>
    <n v="2800"/>
    <n v="7249.0224999999991"/>
    <n v="95"/>
    <n v="4552.8945434782609"/>
    <n v="2696.1279565217383"/>
    <n v="7352.8945434782609"/>
    <n v="-1.4329110370158424E-2"/>
    <n v="0.62807013545319545"/>
    <n v="0.45344182612207379"/>
    <n v="0.72196049537506601"/>
    <n v="0.97499999999999998"/>
    <n v="74447.099999999991"/>
  </r>
  <r>
    <s v="Уголь каменный"/>
    <n v="16112"/>
    <s v="УГОЛЬ Д"/>
    <x v="0"/>
    <s v="ВСБ"/>
    <s v="ИФР"/>
    <s v="КАСЬЯНОВКА"/>
    <s v="МИХ-СЕМ-Э"/>
    <n v="3414"/>
    <s v="полувагон"/>
    <s v="Экспорт"/>
    <s v="неконтейнерная"/>
    <x v="0"/>
    <n v="55565060"/>
    <s v="ООО &quot;ЭН+ УГОЛЬ&quot;"/>
    <s v="ООО &quot;Компания &quot;Востсибуголь&quot;"/>
    <n v="49324"/>
    <n v="168392405"/>
    <n v="709"/>
    <m/>
    <n v="108707726"/>
    <n v="69"/>
    <s v="группа вагонов"/>
    <n v="14"/>
    <n v="14"/>
    <n v="4"/>
    <n v="1941.75"/>
    <n v="866.40999999999985"/>
    <n v="2808.16"/>
    <n v="324.63768115942031"/>
    <m/>
    <m/>
    <n v="1637"/>
    <n v="8546.2160000000003"/>
    <n v="112.00000000000001"/>
    <n v="3132.7976811594203"/>
    <n v="5413.4183188405805"/>
    <n v="4769.7976811594199"/>
    <n v="0.44188191813085231"/>
    <n v="0.36657132012102434"/>
    <n v="0.32858518904740996"/>
    <n v="0.8963745143480587"/>
    <n v="1"/>
    <n v="49324"/>
  </r>
  <r>
    <s v="Уголь каменный"/>
    <n v="16118"/>
    <s v="УГОЛЬ Т"/>
    <x v="0"/>
    <s v="ЗСБ"/>
    <s v="ДВС"/>
    <s v="СПИЧЕНКОВО"/>
    <s v="ДЮАНКА-Э"/>
    <n v="5804"/>
    <s v="полувагон"/>
    <s v="Экспорт"/>
    <s v="неконтейнерная"/>
    <x v="0"/>
    <n v="160212"/>
    <s v="АО &quot;ЦЕНТРАЛЬНОЕ&quot;"/>
    <s v="АО &quot;Стройсервис&quot;"/>
    <n v="1133165"/>
    <n v="6576368768"/>
    <n v="15452"/>
    <m/>
    <n v="2258203125"/>
    <n v="75"/>
    <s v="маршрутная"/>
    <n v="12"/>
    <n v="13"/>
    <n v="4"/>
    <n v="2152.64"/>
    <n v="1013.71"/>
    <n v="3166.35"/>
    <n v="386.66666666666669"/>
    <n v="763.05499999999995"/>
    <m/>
    <n v="4817"/>
    <n v="8546.2160000000003"/>
    <n v="112.00000000000001"/>
    <n v="4316.0716666666667"/>
    <n v="4230.1443333333336"/>
    <n v="9133.0716666666667"/>
    <n v="-6.8668480490858913E-2"/>
    <n v="0.50502721516360771"/>
    <n v="0.370497305474142"/>
    <n v="0.73361849490450992"/>
    <n v="0.95"/>
    <n v="1076506.75"/>
  </r>
  <r>
    <s v="Уголь каменный"/>
    <n v="16118"/>
    <s v="УГОЛЬ Т"/>
    <x v="0"/>
    <s v="ЗСБ"/>
    <s v="ОКТ"/>
    <s v="СПИЧЕНКОВО"/>
    <s v="ЛУЖСКАЯ-ЭКСП"/>
    <n v="4233"/>
    <s v="полувагон"/>
    <s v="Экспорт"/>
    <s v="неконтейнерная"/>
    <x v="1"/>
    <n v="160212"/>
    <s v="АО &quot;ЦЕНТРАЛЬНОЕ&quot;"/>
    <s v="АО &quot;Стройсервис&quot;"/>
    <n v="593128"/>
    <n v="2511003743"/>
    <n v="8372"/>
    <m/>
    <n v="1086193757"/>
    <n v="75"/>
    <s v="маршрутная"/>
    <n v="11"/>
    <n v="12"/>
    <n v="4"/>
    <n v="1894.65"/>
    <n v="869.42000000000007"/>
    <n v="2764.07"/>
    <n v="360"/>
    <n v="610.44399999999996"/>
    <m/>
    <n v="4817"/>
    <n v="6485.9674999999997"/>
    <n v="85"/>
    <n v="3734.5140000000001"/>
    <n v="2751.4534999999996"/>
    <n v="8551.5139999999992"/>
    <n v="-0.31846389917926654"/>
    <n v="0.57578364368924151"/>
    <n v="0.42616155569697201"/>
    <n v="0.74014182300561737"/>
    <n v="0.80100000000000005"/>
    <n v="475095.52800000005"/>
  </r>
  <r>
    <s v="Уголь каменный"/>
    <n v="16118"/>
    <s v="УГОЛЬ Т"/>
    <x v="0"/>
    <s v="ЗСБ"/>
    <s v="СКВ"/>
    <s v="СПИЧЕНКОВО"/>
    <s v="КАВКАЗ-ЭКСП"/>
    <n v="4645"/>
    <s v="полувагон"/>
    <s v="Экспорт"/>
    <s v="неконтейнерная"/>
    <x v="2"/>
    <n v="160212"/>
    <s v="АО &quot;ЦЕНТРАЛЬНОЕ&quot;"/>
    <s v="АО &quot;Стройсервис&quot;"/>
    <n v="37568"/>
    <n v="174501639"/>
    <n v="543"/>
    <m/>
    <n v="74433738"/>
    <n v="75"/>
    <s v="маршрутная"/>
    <n v="11"/>
    <n v="12"/>
    <n v="4"/>
    <n v="1990.61"/>
    <n v="928.22"/>
    <n v="2918.83"/>
    <n v="360"/>
    <n v="991.97149999999988"/>
    <m/>
    <n v="4817"/>
    <n v="7249.0224999999991"/>
    <n v="95"/>
    <n v="4270.8014999999996"/>
    <n v="2978.2209999999995"/>
    <n v="9087.8014999999996"/>
    <n v="-0.25365888987101376"/>
    <n v="0.58915550337993849"/>
    <n v="0.4026515299131711"/>
    <n v="0.68343845997056996"/>
    <n v="0.84199999999999997"/>
    <n v="31632.255999999998"/>
  </r>
  <r>
    <s v="Уголь каменный"/>
    <n v="16111"/>
    <s v="УГОЛЬ Г"/>
    <x v="0"/>
    <s v="ЗСБ"/>
    <s v="ДВС"/>
    <s v="ЕРУНАКОВО"/>
    <s v="НАХОДКА-В-ЭК"/>
    <n v="6064"/>
    <s v="полувагон"/>
    <s v="Экспорт"/>
    <s v="неконтейнерная"/>
    <x v="0"/>
    <n v="54998897"/>
    <s v="ООО &quot;ПРОМУГОЛЬСЕРВИС&quot;"/>
    <s v="ООО &quot;Промугольсервис&quot;"/>
    <n v="756416"/>
    <n v="4586950336"/>
    <n v="10137"/>
    <m/>
    <n v="1667958938"/>
    <n v="75"/>
    <s v="маршрутная"/>
    <n v="13"/>
    <n v="14"/>
    <n v="4"/>
    <n v="2442.4699999999998"/>
    <n v="1120.5700000000002"/>
    <n v="3563.04"/>
    <n v="413.33333333333331"/>
    <n v="763.05499999999995"/>
    <m/>
    <n v="2338"/>
    <n v="8546.2160000000003"/>
    <n v="112.00000000000001"/>
    <n v="4739.4283333333333"/>
    <n v="3806.7876666666671"/>
    <n v="7077.4283333333333"/>
    <n v="0.17186409361367264"/>
    <n v="0.5545645386605409"/>
    <n v="0.41691433963288543"/>
    <n v="0.75178687162340607"/>
    <n v="1"/>
    <n v="756416"/>
  </r>
  <r>
    <s v="Уголь каменный"/>
    <n v="16112"/>
    <s v="УГОЛЬ Д"/>
    <x v="0"/>
    <s v="ЗСБ"/>
    <s v="ОКТ"/>
    <s v="ЕРУНАКОВО"/>
    <s v="ЛУЖСКАЯ-ЭКСП"/>
    <n v="4229"/>
    <s v="полувагон"/>
    <s v="Экспорт"/>
    <s v="неконтейнерная"/>
    <x v="1"/>
    <n v="87470970"/>
    <s v="ООО &quot;РЕСУРС&quot;"/>
    <s v="ООО &quot;Промугольсервис&quot;"/>
    <n v="3819419"/>
    <n v="16151426937"/>
    <n v="53944"/>
    <m/>
    <n v="6992355439"/>
    <n v="69"/>
    <s v="маршрутная"/>
    <n v="11"/>
    <n v="12"/>
    <n v="4"/>
    <n v="2082.23"/>
    <n v="928.75999999999976"/>
    <n v="3010.99"/>
    <n v="273.91304347826087"/>
    <n v="610.44399999999996"/>
    <m/>
    <n v="2338"/>
    <n v="6485.9674999999997"/>
    <n v="85"/>
    <n v="3895.3470434782607"/>
    <n v="2590.620456521739"/>
    <n v="6233.3470434782612"/>
    <n v="3.8948770021086071E-2"/>
    <n v="0.60058072191670109"/>
    <n v="0.46423143501721215"/>
    <n v="0.77297092310199023"/>
    <n v="1"/>
    <n v="3819419"/>
  </r>
  <r>
    <s v="Уголь каменный"/>
    <n v="16112"/>
    <s v="УГОЛЬ Д"/>
    <x v="0"/>
    <s v="ЗСБ"/>
    <s v="СКВ"/>
    <s v="ЕРУНАКОВО"/>
    <s v="ВЫШСТБЛ-ЭКС"/>
    <n v="4598"/>
    <s v="полувагон"/>
    <s v="Экспорт"/>
    <s v="неконтейнерная"/>
    <x v="2"/>
    <n v="87470970"/>
    <s v="ООО &quot;РЕСУРС&quot;"/>
    <s v="ООО &quot;Промугольсервис&quot;"/>
    <n v="505459"/>
    <n v="2324319541"/>
    <n v="6990"/>
    <m/>
    <n v="965306586"/>
    <n v="69"/>
    <s v="маршрутная"/>
    <n v="11"/>
    <n v="12"/>
    <n v="4"/>
    <n v="2192.58"/>
    <n v="993.42000000000007"/>
    <n v="3186"/>
    <n v="273.91304347826087"/>
    <n v="991.97149999999988"/>
    <m/>
    <n v="2338"/>
    <n v="7249.0224999999991"/>
    <n v="95"/>
    <n v="4451.8845434782606"/>
    <n v="2797.1379565217385"/>
    <n v="6789.8845434782606"/>
    <n v="6.3337913011269939E-2"/>
    <n v="0.614135842933066"/>
    <n v="0.43950753360194433"/>
    <n v="0.71565198263447682"/>
    <n v="1"/>
    <n v="505459"/>
  </r>
  <r>
    <s v="Уголь каменный"/>
    <n v="16122"/>
    <s v="ШИХТА УГОЛЬН"/>
    <x v="0"/>
    <s v="ДВС"/>
    <s v="ДВС"/>
    <s v="НЕРЮНГРИ-ГР"/>
    <s v="ПОСЬЕТ-ЭКСП"/>
    <n v="2546"/>
    <s v="полувагон"/>
    <s v="Экспорт"/>
    <s v="неконтейнерная"/>
    <x v="0"/>
    <n v="161878"/>
    <s v="АО ХК &quot;ЯКУТУГОЛЬ&quot;"/>
    <s v="ПАО &quot;Мечел&quot;"/>
    <n v="1252273"/>
    <n v="3188538444"/>
    <n v="18092"/>
    <m/>
    <n v="1753178025"/>
    <n v="69"/>
    <s v="маршрутная"/>
    <n v="11"/>
    <n v="11"/>
    <n v="4"/>
    <n v="1537.42"/>
    <n v="682.23"/>
    <n v="2219.65"/>
    <n v="263.768115942029"/>
    <n v="763.05499999999995"/>
    <m/>
    <n v="4037"/>
    <n v="8546.2160000000003"/>
    <n v="112.00000000000001"/>
    <n v="3246.4731159420289"/>
    <n v="5299.7428840579714"/>
    <n v="7283.4731159420298"/>
    <n v="0.14775461842503987"/>
    <n v="0.37987257938975905"/>
    <n v="0.2597231336067331"/>
    <n v="0.68371119079971943"/>
    <n v="1"/>
    <n v="125227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Таблица3" cacheId="16" applyNumberFormats="0" applyBorderFormats="0" applyFontFormats="0" applyPatternFormats="0" applyAlignmentFormats="0" applyWidthHeightFormats="1" dataCaption="Значения" updatedVersion="3" minRefreshableVersion="3" showCalcMbrs="0" useAutoFormatting="1" itemPrintTitles="1" createdVersion="3" indent="0" outline="1" outlineData="1" multipleFieldFilters="0">
  <location ref="G3:J8" firstHeaderRow="1" firstDataRow="2" firstDataCol="1"/>
  <pivotFields count="4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dataField="1"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numFmtId="3" showAll="0"/>
    <pivotField numFmtId="3" showAll="0"/>
    <pivotField numFmtId="3" showAll="0" defaultSubtotal="0"/>
    <pivotField numFmtId="3" showAll="0"/>
    <pivotField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170" showAll="0" defaultSubtotal="0"/>
    <pivotField numFmtId="170" showAll="0"/>
    <pivotField numFmtId="170" showAll="0"/>
    <pivotField numFmtId="170" showAll="0"/>
    <pivotField numFmtId="167" showAll="0" defaultSubtotal="0"/>
    <pivotField dataField="1" numFmtId="3" showAll="0" defaultSubtotal="0"/>
    <pivotField dataField="1" dragToRow="0" dragToCol="0" dragToPage="0" showAll="0" defaultSubtotal="0"/>
  </pivotFields>
  <rowFields count="1">
    <field x="12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Сумма по полю Объем перевозок (тн)" fld="16" baseField="0" baseItem="0"/>
    <dataField name="Сумма по полю объем*_x000a_коэфф" fld="43" baseField="0" baseItem="0"/>
    <dataField name="Сумма по полю Средний коэфф сохранения базы" fld="44" baseField="0" baseItem="0" numFmtId="173"/>
  </dataFields>
  <formats count="9">
    <format dxfId="8">
      <pivotArea outline="0" collapsedLevelsAreSubtotals="1" fieldPosition="0"/>
    </format>
    <format dxfId="7">
      <pivotArea field="12" type="button" dataOnly="0" labelOnly="1" outline="0" axis="axisRow" fieldPosition="0"/>
    </format>
    <format dxfId="6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0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СводнаяТаблица1" cacheId="16" applyNumberFormats="0" applyBorderFormats="0" applyFontFormats="0" applyPatternFormats="0" applyAlignmentFormats="0" applyWidthHeightFormats="1" dataCaption="Значения" updatedVersion="3" minRefreshableVersion="3" showCalcMbrs="0" useAutoFormatting="1" itemPrintTitles="1" createdVersion="3" indent="0" compact="0" compactData="0" multipleFieldFilters="0">
  <location ref="A3:E15" firstHeaderRow="1" firstDataRow="2" firstDataCol="2"/>
  <pivotFields count="45">
    <pivotField compact="0" outline="0" subtotalTop="0" showAll="0"/>
    <pivotField compact="0" outline="0" subtotalTop="0" showAll="0"/>
    <pivotField compact="0" outline="0" subtotalTop="0" showAll="0"/>
    <pivotField axis="axisRow" compact="0" outline="0" subtotalTop="0" showAll="0">
      <items count="4">
        <item x="2"/>
        <item x="1"/>
        <item x="0"/>
        <item t="default"/>
      </items>
    </pivotField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axis="axisRow" compact="0" outline="0" subtotalTop="0" showAll="0">
      <items count="4">
        <item x="0"/>
        <item x="1"/>
        <item x="2"/>
        <item t="default"/>
      </items>
    </pivotField>
    <pivotField compact="0" outline="0" subtotalTop="0" showAll="0"/>
    <pivotField compact="0" outline="0" subtotalTop="0" showAll="0"/>
    <pivotField compact="0" outline="0" subtotalTop="0" showAll="0"/>
    <pivotField dataField="1" compact="0" numFmtId="3" outline="0" subtotalTop="0" showAll="0"/>
    <pivotField compact="0" numFmtId="3" outline="0" subtotalTop="0" showAll="0"/>
    <pivotField compact="0" numFmtId="3" outline="0" subtotalTop="0" showAll="0"/>
    <pivotField compact="0" outline="0" subtotalTop="0" showAll="0"/>
    <pivotField compact="0" numFmtId="3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numFmtId="3" outline="0" subtotalTop="0" showAll="0"/>
    <pivotField compact="0" numFmtId="3" outline="0" subtotalTop="0" showAll="0"/>
    <pivotField compact="0" numFmtId="3" outline="0" showAll="0" defaultSubtotal="0"/>
    <pivotField compact="0" numFmtId="3" outline="0" subtotalTop="0" showAll="0"/>
    <pivotField compact="0" outline="0" subtotalTop="0" showAll="0"/>
    <pivotField compact="0" outline="0" subtotalTop="0" showAll="0"/>
    <pivotField compact="0" numFmtId="3" outline="0" subtotalTop="0" showAll="0"/>
    <pivotField compact="0" numFmtId="3" outline="0" subtotalTop="0" showAll="0"/>
    <pivotField compact="0" numFmtId="3" outline="0" subtotalTop="0" showAll="0"/>
    <pivotField compact="0" numFmtId="3" outline="0" subtotalTop="0" showAll="0"/>
    <pivotField compact="0" numFmtId="3" outline="0" subtotalTop="0" showAll="0"/>
    <pivotField compact="0" numFmtId="3" outline="0" subtotalTop="0" showAll="0"/>
    <pivotField compact="0" numFmtId="170" outline="0" showAll="0" defaultSubtotal="0"/>
    <pivotField compact="0" numFmtId="170" outline="0" subtotalTop="0" showAll="0"/>
    <pivotField compact="0" numFmtId="170" outline="0" subtotalTop="0" showAll="0"/>
    <pivotField compact="0" numFmtId="170" outline="0" subtotalTop="0" showAll="0"/>
    <pivotField compact="0" numFmtId="167" outline="0" showAll="0" defaultSubtotal="0"/>
    <pivotField dataField="1" compact="0" numFmtId="3" outline="0" showAll="0" defaultSubtotal="0"/>
    <pivotField dataField="1" compact="0" outline="0" subtotalTop="0" dragToRow="0" dragToCol="0" dragToPage="0" showAll="0"/>
  </pivotFields>
  <rowFields count="2">
    <field x="3"/>
    <field x="12"/>
  </rowFields>
  <rowItems count="11">
    <i>
      <x/>
      <x/>
    </i>
    <i t="default">
      <x/>
    </i>
    <i>
      <x v="1"/>
      <x/>
    </i>
    <i r="1">
      <x v="1"/>
    </i>
    <i r="1">
      <x v="2"/>
    </i>
    <i t="default">
      <x v="1"/>
    </i>
    <i>
      <x v="2"/>
      <x/>
    </i>
    <i r="1">
      <x v="1"/>
    </i>
    <i r="1">
      <x v="2"/>
    </i>
    <i t="default"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Сумма по полю Объем перевозок (тн)" fld="16" baseField="0" baseItem="0"/>
    <dataField name="Сумма по полю объем*_x000a_коэфф" fld="43" baseField="0" baseItem="0"/>
    <dataField name="Сумма по полю Средний коэфф сохранения базы" fld="44" baseField="0" baseItem="0" numFmtId="173"/>
  </dataFields>
  <formats count="18">
    <format dxfId="26">
      <pivotArea outline="0" collapsedLevelsAreSubtotals="1" fieldPosition="0"/>
    </format>
    <format dxfId="2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4">
      <pivotArea outline="0" collapsedLevelsAreSubtotals="1" fieldPosition="0">
        <references count="1">
          <reference field="3" count="1" selected="0" defaultSubtotal="1">
            <x v="0"/>
          </reference>
        </references>
      </pivotArea>
    </format>
    <format dxfId="23">
      <pivotArea dataOnly="0" labelOnly="1" outline="0" fieldPosition="0">
        <references count="1">
          <reference field="3" count="1" defaultSubtotal="1">
            <x v="0"/>
          </reference>
        </references>
      </pivotArea>
    </format>
    <format dxfId="22">
      <pivotArea outline="0" collapsedLevelsAreSubtotals="1" fieldPosition="0">
        <references count="1">
          <reference field="3" count="1" selected="0" defaultSubtotal="1">
            <x v="1"/>
          </reference>
        </references>
      </pivotArea>
    </format>
    <format dxfId="21">
      <pivotArea dataOnly="0" labelOnly="1" outline="0" fieldPosition="0">
        <references count="1">
          <reference field="3" count="1" defaultSubtotal="1">
            <x v="1"/>
          </reference>
        </references>
      </pivotArea>
    </format>
    <format dxfId="20">
      <pivotArea outline="0" collapsedLevelsAreSubtotals="1" fieldPosition="0">
        <references count="1">
          <reference field="3" count="1" selected="0" defaultSubtotal="1">
            <x v="2"/>
          </reference>
        </references>
      </pivotArea>
    </format>
    <format dxfId="19">
      <pivotArea dataOnly="0" labelOnly="1" outline="0" fieldPosition="0">
        <references count="1">
          <reference field="3" count="1" defaultSubtotal="1">
            <x v="2"/>
          </reference>
        </references>
      </pivotArea>
    </format>
    <format dxfId="18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7">
      <pivotArea field="3" type="button" dataOnly="0" labelOnly="1" outline="0" axis="axisRow" fieldPosition="0"/>
    </format>
    <format dxfId="16">
      <pivotArea field="12" type="button" dataOnly="0" labelOnly="1" outline="0" axis="axisRow" fieldPosition="1"/>
    </format>
    <format dxfId="1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2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1">
      <pivotArea outline="0" collapsedLevelsAreSubtotals="1" fieldPosition="0">
        <references count="3">
          <reference field="4294967294" count="1" selected="0">
            <x v="2"/>
          </reference>
          <reference field="3" count="1" selected="0">
            <x v="2"/>
          </reference>
          <reference field="12" count="0" selected="0"/>
        </references>
      </pivotArea>
    </format>
    <format dxfId="10">
      <pivotArea outline="0" collapsedLevelsAreSubtotals="1" fieldPosition="0">
        <references count="3">
          <reference field="4294967294" count="1" selected="0">
            <x v="2"/>
          </reference>
          <reference field="3" count="1" selected="0">
            <x v="1"/>
          </reference>
          <reference field="12" count="0" selected="0"/>
        </references>
      </pivotArea>
    </format>
    <format dxfId="9">
      <pivotArea outline="0" collapsedLevelsAreSubtotals="1" fieldPosition="0">
        <references count="3">
          <reference field="4294967294" count="1" selected="0">
            <x v="2"/>
          </reference>
          <reference field="3" count="1" selected="0">
            <x v="0"/>
          </reference>
          <reference field="12" count="1" selected="0">
            <x v="0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https://ru.myfin.by/currency/cb-rf-archive/202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2:X51"/>
  <sheetViews>
    <sheetView tabSelected="1" zoomScale="85" zoomScaleNormal="85" workbookViewId="0">
      <selection activeCell="C17" sqref="C17"/>
    </sheetView>
  </sheetViews>
  <sheetFormatPr defaultRowHeight="14.6"/>
  <cols>
    <col min="1" max="1" width="40.07421875" bestFit="1" customWidth="1"/>
    <col min="2" max="2" width="15.921875" customWidth="1"/>
    <col min="3" max="3" width="16.4609375" customWidth="1"/>
    <col min="4" max="4" width="14.53515625" customWidth="1"/>
    <col min="5" max="5" width="15.84375" customWidth="1"/>
    <col min="6" max="6" width="11" customWidth="1"/>
    <col min="7" max="7" width="17" bestFit="1" customWidth="1"/>
    <col min="8" max="8" width="16.4609375" customWidth="1"/>
    <col min="9" max="9" width="14.53515625" customWidth="1"/>
    <col min="10" max="10" width="15.84375" customWidth="1"/>
  </cols>
  <sheetData>
    <row r="2" spans="1:14" ht="18.45">
      <c r="A2" s="177" t="s">
        <v>260</v>
      </c>
      <c r="G2" t="s">
        <v>321</v>
      </c>
    </row>
    <row r="3" spans="1:14">
      <c r="C3" s="171" t="s">
        <v>254</v>
      </c>
      <c r="H3" s="171" t="s">
        <v>254</v>
      </c>
      <c r="M3" s="174"/>
    </row>
    <row r="4" spans="1:14" ht="58.3">
      <c r="A4" s="178" t="s">
        <v>4</v>
      </c>
      <c r="B4" s="178" t="s">
        <v>12</v>
      </c>
      <c r="C4" s="179" t="s">
        <v>316</v>
      </c>
      <c r="D4" s="33" t="s">
        <v>318</v>
      </c>
      <c r="E4" s="179" t="s">
        <v>255</v>
      </c>
      <c r="G4" s="348" t="s">
        <v>252</v>
      </c>
      <c r="H4" s="179" t="s">
        <v>316</v>
      </c>
      <c r="I4" s="179" t="s">
        <v>318</v>
      </c>
      <c r="J4" s="179" t="s">
        <v>255</v>
      </c>
    </row>
    <row r="5" spans="1:14">
      <c r="A5" t="s">
        <v>99</v>
      </c>
      <c r="B5" t="s">
        <v>25</v>
      </c>
      <c r="C5" s="18">
        <v>2022773</v>
      </c>
      <c r="D5" s="18">
        <v>2022773</v>
      </c>
      <c r="E5" s="395">
        <v>1</v>
      </c>
      <c r="G5" s="59" t="s">
        <v>25</v>
      </c>
      <c r="H5" s="18">
        <v>16935950</v>
      </c>
      <c r="I5" s="18">
        <v>16879291.75</v>
      </c>
      <c r="J5" s="174">
        <v>0.99665455731742236</v>
      </c>
    </row>
    <row r="6" spans="1:14">
      <c r="A6" s="28" t="s">
        <v>257</v>
      </c>
      <c r="B6" s="28"/>
      <c r="C6" s="175">
        <v>2022773</v>
      </c>
      <c r="D6" s="175">
        <v>2022773</v>
      </c>
      <c r="E6" s="176">
        <v>1</v>
      </c>
      <c r="G6" s="59" t="s">
        <v>33</v>
      </c>
      <c r="H6" s="18">
        <v>10287319</v>
      </c>
      <c r="I6" s="18">
        <v>10044017.488</v>
      </c>
      <c r="J6" s="174">
        <v>0.97634937615913342</v>
      </c>
      <c r="N6" s="399"/>
    </row>
    <row r="7" spans="1:14">
      <c r="A7" t="s">
        <v>78</v>
      </c>
      <c r="B7" t="s">
        <v>25</v>
      </c>
      <c r="C7" s="18">
        <v>1434447</v>
      </c>
      <c r="D7" s="18">
        <v>1434447</v>
      </c>
      <c r="E7" s="395">
        <v>1</v>
      </c>
      <c r="G7" s="59" t="s">
        <v>36</v>
      </c>
      <c r="H7" s="18">
        <v>3748943</v>
      </c>
      <c r="I7" s="18">
        <v>3720258.6010000003</v>
      </c>
      <c r="J7" s="174">
        <v>0.99234867027852924</v>
      </c>
    </row>
    <row r="8" spans="1:14">
      <c r="B8" t="s">
        <v>33</v>
      </c>
      <c r="C8" s="18">
        <v>51530</v>
      </c>
      <c r="D8" s="18">
        <v>51530</v>
      </c>
      <c r="E8" s="395">
        <v>1</v>
      </c>
      <c r="G8" s="59" t="s">
        <v>253</v>
      </c>
      <c r="H8" s="18">
        <v>30972212</v>
      </c>
      <c r="I8" s="18">
        <v>30643567.838999998</v>
      </c>
      <c r="J8" s="174">
        <v>0.98938906394544912</v>
      </c>
    </row>
    <row r="9" spans="1:14">
      <c r="B9" t="s">
        <v>36</v>
      </c>
      <c r="C9" s="18">
        <v>595825</v>
      </c>
      <c r="D9" s="18">
        <v>595825</v>
      </c>
      <c r="E9" s="395">
        <v>1</v>
      </c>
    </row>
    <row r="10" spans="1:14">
      <c r="A10" s="28" t="s">
        <v>258</v>
      </c>
      <c r="B10" s="28"/>
      <c r="C10" s="175">
        <v>2081802</v>
      </c>
      <c r="D10" s="175">
        <v>2081802</v>
      </c>
      <c r="E10" s="176">
        <v>1</v>
      </c>
      <c r="G10" s="409" t="s">
        <v>328</v>
      </c>
      <c r="H10" s="410"/>
      <c r="I10" s="410"/>
      <c r="J10" s="411"/>
    </row>
    <row r="11" spans="1:14">
      <c r="A11" t="s">
        <v>18</v>
      </c>
      <c r="B11" t="s">
        <v>25</v>
      </c>
      <c r="C11" s="18">
        <v>13478730</v>
      </c>
      <c r="D11" s="18">
        <v>13422071.75</v>
      </c>
      <c r="E11" s="395">
        <v>0.99579646969707092</v>
      </c>
      <c r="G11" s="392" t="b">
        <v>1</v>
      </c>
      <c r="H11" s="401" t="b">
        <v>1</v>
      </c>
      <c r="I11" s="390"/>
      <c r="J11" s="393" t="b">
        <v>0</v>
      </c>
    </row>
    <row r="12" spans="1:14">
      <c r="B12" t="s">
        <v>33</v>
      </c>
      <c r="C12" s="18">
        <v>10235789</v>
      </c>
      <c r="D12" s="18">
        <v>9992487.4879999999</v>
      </c>
      <c r="E12" s="395">
        <v>0.97623031189877008</v>
      </c>
      <c r="G12" s="412" t="s">
        <v>330</v>
      </c>
      <c r="H12" s="413"/>
      <c r="I12" s="414" t="s">
        <v>331</v>
      </c>
      <c r="J12" s="415"/>
      <c r="M12" s="400"/>
    </row>
    <row r="13" spans="1:14">
      <c r="B13" t="s">
        <v>36</v>
      </c>
      <c r="C13" s="18">
        <v>3153118</v>
      </c>
      <c r="D13" s="18">
        <v>3124433.6010000003</v>
      </c>
      <c r="E13" s="395">
        <v>0.99090284632544678</v>
      </c>
      <c r="G13" s="406" t="s">
        <v>326</v>
      </c>
      <c r="H13" s="407"/>
      <c r="I13" s="407"/>
      <c r="J13" s="408"/>
    </row>
    <row r="14" spans="1:14">
      <c r="A14" s="28" t="s">
        <v>259</v>
      </c>
      <c r="B14" s="28"/>
      <c r="C14" s="175">
        <v>26867637</v>
      </c>
      <c r="D14" s="175">
        <v>26538992.838999998</v>
      </c>
      <c r="E14" s="176">
        <v>0.98776802883707282</v>
      </c>
      <c r="G14" s="382"/>
      <c r="H14" s="165"/>
      <c r="I14" s="391">
        <v>120</v>
      </c>
      <c r="J14" s="402">
        <f>I14/1000</f>
        <v>0.12</v>
      </c>
    </row>
    <row r="15" spans="1:14">
      <c r="A15" t="s">
        <v>253</v>
      </c>
      <c r="C15" s="18">
        <v>30972212</v>
      </c>
      <c r="D15" s="18">
        <v>30643567.838999998</v>
      </c>
      <c r="E15" s="174">
        <v>0.98938906394544912</v>
      </c>
      <c r="G15" s="406"/>
      <c r="H15" s="407"/>
      <c r="I15" s="407"/>
      <c r="J15" s="408"/>
    </row>
    <row r="16" spans="1:14">
      <c r="G16" s="406" t="s">
        <v>327</v>
      </c>
      <c r="H16" s="407"/>
      <c r="I16" s="407"/>
      <c r="J16" s="408"/>
    </row>
    <row r="17" spans="1:24">
      <c r="G17" s="382"/>
      <c r="H17" s="165"/>
      <c r="I17" s="165">
        <v>0</v>
      </c>
      <c r="J17" s="394">
        <f>-(I17/1000)</f>
        <v>0</v>
      </c>
    </row>
    <row r="18" spans="1:24">
      <c r="G18" s="406"/>
      <c r="H18" s="407"/>
      <c r="I18" s="407"/>
      <c r="J18" s="408"/>
    </row>
    <row r="19" spans="1:24">
      <c r="G19" s="406"/>
      <c r="H19" s="407"/>
      <c r="I19" s="407"/>
      <c r="J19" s="408"/>
    </row>
    <row r="20" spans="1:24">
      <c r="G20" s="406"/>
      <c r="H20" s="407"/>
      <c r="I20" s="407"/>
      <c r="J20" s="408"/>
    </row>
    <row r="21" spans="1:24">
      <c r="G21" s="165"/>
      <c r="H21" s="165"/>
      <c r="I21" s="165"/>
      <c r="J21" s="165"/>
    </row>
    <row r="23" spans="1:24" s="70" customFormat="1"/>
    <row r="24" spans="1:24">
      <c r="A24" s="372" t="s">
        <v>310</v>
      </c>
      <c r="B24" s="418">
        <v>2025</v>
      </c>
      <c r="C24" s="419"/>
      <c r="D24" s="416">
        <v>2026</v>
      </c>
      <c r="E24" s="417"/>
      <c r="F24" s="417"/>
      <c r="G24" s="420"/>
      <c r="H24" s="418">
        <v>2027</v>
      </c>
      <c r="I24" s="421"/>
      <c r="J24" s="421"/>
      <c r="K24" s="419"/>
      <c r="L24" s="416">
        <v>2028</v>
      </c>
      <c r="M24" s="417"/>
      <c r="N24" s="417"/>
      <c r="O24" s="420"/>
      <c r="P24" s="418">
        <v>2029</v>
      </c>
      <c r="Q24" s="421"/>
      <c r="R24" s="421"/>
      <c r="S24" s="421"/>
      <c r="T24" s="416">
        <v>2030</v>
      </c>
      <c r="U24" s="417"/>
      <c r="V24" s="417"/>
      <c r="W24" s="417"/>
      <c r="X24" s="382"/>
    </row>
    <row r="25" spans="1:24" ht="43.75">
      <c r="A25" s="373"/>
      <c r="B25" s="374" t="s">
        <v>309</v>
      </c>
      <c r="C25" s="375" t="s">
        <v>308</v>
      </c>
      <c r="D25" s="380" t="s">
        <v>263</v>
      </c>
      <c r="E25" s="381" t="s">
        <v>264</v>
      </c>
      <c r="F25" s="378" t="s">
        <v>265</v>
      </c>
      <c r="G25" s="379" t="s">
        <v>266</v>
      </c>
      <c r="H25" s="376" t="s">
        <v>263</v>
      </c>
      <c r="I25" s="377" t="s">
        <v>264</v>
      </c>
      <c r="J25" s="378" t="s">
        <v>265</v>
      </c>
      <c r="K25" s="379" t="s">
        <v>266</v>
      </c>
      <c r="L25" s="376" t="s">
        <v>263</v>
      </c>
      <c r="M25" s="377" t="s">
        <v>264</v>
      </c>
      <c r="N25" s="378" t="s">
        <v>265</v>
      </c>
      <c r="O25" s="379" t="s">
        <v>266</v>
      </c>
      <c r="P25" s="376" t="s">
        <v>263</v>
      </c>
      <c r="Q25" s="377" t="s">
        <v>264</v>
      </c>
      <c r="R25" s="378" t="s">
        <v>265</v>
      </c>
      <c r="S25" s="379" t="s">
        <v>266</v>
      </c>
      <c r="T25" s="376" t="s">
        <v>263</v>
      </c>
      <c r="U25" s="377" t="s">
        <v>264</v>
      </c>
      <c r="V25" s="378" t="s">
        <v>265</v>
      </c>
      <c r="W25" s="379" t="s">
        <v>266</v>
      </c>
    </row>
    <row r="26" spans="1:24">
      <c r="A26" s="180" t="s">
        <v>261</v>
      </c>
      <c r="B26" s="361">
        <f>B27+B28</f>
        <v>327.53616799999998</v>
      </c>
      <c r="C26" s="354">
        <f>C27+C28</f>
        <v>324.46634000000006</v>
      </c>
      <c r="D26" s="366">
        <f>D27+D28</f>
        <v>328.24059</v>
      </c>
      <c r="E26" s="367">
        <f>E27+E28</f>
        <v>326.91281946942416</v>
      </c>
      <c r="F26" s="383">
        <f>E26-D26</f>
        <v>-1.3277705305758332</v>
      </c>
      <c r="G26" s="368">
        <f>F26/D26</f>
        <v>-4.0451137702860974E-3</v>
      </c>
      <c r="H26" s="366">
        <f>H27+H28</f>
        <v>326.22648272962857</v>
      </c>
      <c r="I26" s="367">
        <f>I27+I28</f>
        <v>324.90425394738907</v>
      </c>
      <c r="J26" s="367">
        <f>I26-H26</f>
        <v>-1.322228782239506</v>
      </c>
      <c r="K26" s="368">
        <f>J26/H26</f>
        <v>-4.0531006899747887E-3</v>
      </c>
      <c r="L26" s="366">
        <f>L27+L28</f>
        <v>326.72499999999997</v>
      </c>
      <c r="M26" s="367">
        <f>M27+M28</f>
        <v>325.3952162271753</v>
      </c>
      <c r="N26" s="367">
        <f>M26-L26</f>
        <v>-1.3297837728246691</v>
      </c>
      <c r="O26" s="368">
        <f>N26/L26</f>
        <v>-4.0700398586721838E-3</v>
      </c>
      <c r="P26" s="366">
        <f>P27+P28</f>
        <v>327.51099999999997</v>
      </c>
      <c r="Q26" s="367">
        <f>Q27+Q28</f>
        <v>326.14686762956387</v>
      </c>
      <c r="R26" s="367">
        <f>Q26-P26</f>
        <v>-1.3641323704360957</v>
      </c>
      <c r="S26" s="368">
        <f>R26/P26</f>
        <v>-4.1651497825602674E-3</v>
      </c>
      <c r="T26" s="366">
        <f>T27+T28</f>
        <v>328.9</v>
      </c>
      <c r="U26" s="367">
        <f>U27+U28</f>
        <v>327.49566496985585</v>
      </c>
      <c r="V26" s="367">
        <f>U26-T26</f>
        <v>-1.4043350301441251</v>
      </c>
      <c r="W26" s="368">
        <f>V26/T26</f>
        <v>-4.2697933418793712E-3</v>
      </c>
    </row>
    <row r="27" spans="1:24">
      <c r="A27" t="s">
        <v>262</v>
      </c>
      <c r="B27" s="362">
        <v>148.39864499999999</v>
      </c>
      <c r="C27" s="355">
        <f>'План погрузки'!G20</f>
        <v>147.43839200000002</v>
      </c>
      <c r="D27" s="364">
        <f>'План погрузки'!H20</f>
        <v>143.42277100000001</v>
      </c>
      <c r="E27" s="358">
        <f>D27</f>
        <v>143.42277100000001</v>
      </c>
      <c r="F27" s="358"/>
      <c r="G27" s="369"/>
      <c r="H27" s="364">
        <f>'План погрузки'!I20</f>
        <v>143.53899999999999</v>
      </c>
      <c r="I27" s="358">
        <f>H27</f>
        <v>143.53899999999999</v>
      </c>
      <c r="J27" s="358"/>
      <c r="K27" s="369"/>
      <c r="L27" s="364">
        <f>'План погрузки'!J20</f>
        <v>143.52499999999998</v>
      </c>
      <c r="M27" s="358">
        <f>L27</f>
        <v>143.52499999999998</v>
      </c>
      <c r="N27" s="358"/>
      <c r="O27" s="369"/>
      <c r="P27" s="172">
        <f>'План погрузки'!K20</f>
        <v>143.81100000000001</v>
      </c>
      <c r="Q27" s="358">
        <f>P27</f>
        <v>143.81100000000001</v>
      </c>
      <c r="R27" s="358"/>
      <c r="S27" s="369"/>
      <c r="T27" s="172">
        <f>'План погрузки'!L20</f>
        <v>144.4</v>
      </c>
      <c r="U27" s="358">
        <f>T27</f>
        <v>144.4</v>
      </c>
      <c r="V27" s="358"/>
      <c r="W27" s="369"/>
    </row>
    <row r="28" spans="1:24">
      <c r="A28" s="352" t="s">
        <v>23</v>
      </c>
      <c r="B28" s="363">
        <f>B33+B37+B41</f>
        <v>179.13752300000002</v>
      </c>
      <c r="C28" s="357">
        <f>SUM(C29:C31)</f>
        <v>177.02794800000001</v>
      </c>
      <c r="D28" s="363">
        <f t="shared" ref="D28" si="0">SUM(D29:D31)</f>
        <v>184.81781899999999</v>
      </c>
      <c r="E28" s="356">
        <f>E33+E37+E41</f>
        <v>183.49004846942415</v>
      </c>
      <c r="F28" s="356">
        <f t="shared" ref="F28:F44" si="1">E28-D28</f>
        <v>-1.3277705305758332</v>
      </c>
      <c r="G28" s="370">
        <f t="shared" ref="G28:G44" si="2">F28/D28</f>
        <v>-7.1842127439878146E-3</v>
      </c>
      <c r="H28" s="363">
        <f>SUM(H29:H31)</f>
        <v>182.68748272962858</v>
      </c>
      <c r="I28" s="356">
        <f>I33+I37+I41</f>
        <v>181.36525394738908</v>
      </c>
      <c r="J28" s="356">
        <f t="shared" ref="J28:J31" si="3">I28-H28</f>
        <v>-1.322228782239506</v>
      </c>
      <c r="K28" s="370">
        <f t="shared" ref="K28:K31" si="4">J28/H28</f>
        <v>-7.2376539568195855E-3</v>
      </c>
      <c r="L28" s="363">
        <f>SUM(L29:L31)</f>
        <v>183.2</v>
      </c>
      <c r="M28" s="356">
        <f>M33+M37+M41</f>
        <v>181.87021622717535</v>
      </c>
      <c r="N28" s="356">
        <f t="shared" ref="N28:N31" si="5">M28-L28</f>
        <v>-1.3297837728246407</v>
      </c>
      <c r="O28" s="370">
        <f t="shared" ref="O28:O31" si="6">N28/L28</f>
        <v>-7.2586450481694365E-3</v>
      </c>
      <c r="P28" s="353">
        <f>SUM(P29:P31)</f>
        <v>183.7</v>
      </c>
      <c r="Q28" s="356">
        <f>Q33+Q37+Q41</f>
        <v>182.33586762956386</v>
      </c>
      <c r="R28" s="356">
        <f t="shared" ref="R28:R31" si="7">Q28-P28</f>
        <v>-1.3641323704361241</v>
      </c>
      <c r="S28" s="370">
        <f t="shared" ref="S28:S31" si="8">R28/P28</f>
        <v>-7.4258702800006765E-3</v>
      </c>
      <c r="T28" s="353">
        <f>SUM(T29:T31)</f>
        <v>184.5</v>
      </c>
      <c r="U28" s="356">
        <f>U33+U37+U41</f>
        <v>183.09566496985585</v>
      </c>
      <c r="V28" s="356">
        <f t="shared" ref="V28:V31" si="9">U28-T28</f>
        <v>-1.4043350301441535</v>
      </c>
      <c r="W28" s="370">
        <f t="shared" ref="W28:W31" si="10">V28/T28</f>
        <v>-7.6115719791011033E-3</v>
      </c>
    </row>
    <row r="29" spans="1:24">
      <c r="A29" s="349" t="s">
        <v>25</v>
      </c>
      <c r="B29" s="364">
        <f>B34+B38+B42</f>
        <v>118.718935</v>
      </c>
      <c r="C29" s="355">
        <f>'План погрузки'!G72</f>
        <v>118.196771</v>
      </c>
      <c r="D29" s="364">
        <f>'План погрузки'!H72</f>
        <v>119.965789</v>
      </c>
      <c r="E29" s="358">
        <f>E34+E38+E42</f>
        <v>119.62133152388475</v>
      </c>
      <c r="F29" s="358">
        <f t="shared" si="1"/>
        <v>-0.34445747611525235</v>
      </c>
      <c r="G29" s="369">
        <f t="shared" si="2"/>
        <v>-2.8712975506313084E-3</v>
      </c>
      <c r="H29" s="364">
        <f>'План погрузки'!I72</f>
        <v>117.70699999999999</v>
      </c>
      <c r="I29" s="358">
        <f>I34+I38+I42</f>
        <v>117.36902817920782</v>
      </c>
      <c r="J29" s="358">
        <f t="shared" si="3"/>
        <v>-0.33797182079217691</v>
      </c>
      <c r="K29" s="369">
        <f t="shared" si="4"/>
        <v>-2.8712975506314572E-3</v>
      </c>
      <c r="L29" s="364">
        <f>'План погрузки'!J72</f>
        <v>117.70699999999999</v>
      </c>
      <c r="M29" s="358">
        <f>M34+M38+M42</f>
        <v>117.36902817920782</v>
      </c>
      <c r="N29" s="358">
        <f t="shared" si="5"/>
        <v>-0.33797182079217691</v>
      </c>
      <c r="O29" s="369">
        <f t="shared" si="6"/>
        <v>-2.8712975506314572E-3</v>
      </c>
      <c r="P29" s="172">
        <f>'План погрузки'!K72</f>
        <v>116.197</v>
      </c>
      <c r="Q29" s="358">
        <f>Q34+Q38+Q42</f>
        <v>115.8633638385093</v>
      </c>
      <c r="R29" s="358">
        <f t="shared" si="7"/>
        <v>-0.33363616149070197</v>
      </c>
      <c r="S29" s="369">
        <f t="shared" si="8"/>
        <v>-2.8712975506312724E-3</v>
      </c>
      <c r="T29" s="172">
        <f>'План погрузки'!L72</f>
        <v>114.70699999999999</v>
      </c>
      <c r="U29" s="358">
        <f>U34+U38+U42</f>
        <v>114.37764207185974</v>
      </c>
      <c r="V29" s="358">
        <f t="shared" si="9"/>
        <v>-0.32935792814025433</v>
      </c>
      <c r="W29" s="369">
        <f t="shared" si="10"/>
        <v>-2.8712975506312113E-3</v>
      </c>
    </row>
    <row r="30" spans="1:24">
      <c r="A30" s="349" t="s">
        <v>33</v>
      </c>
      <c r="B30" s="364">
        <f t="shared" ref="B30:B31" si="11">B35+B39+B43</f>
        <v>39.259006999999997</v>
      </c>
      <c r="C30" s="355">
        <f>'План погрузки'!G46</f>
        <v>38.307818000000005</v>
      </c>
      <c r="D30" s="364">
        <f>'План погрузки'!H46</f>
        <v>37.677301</v>
      </c>
      <c r="E30" s="358">
        <f t="shared" ref="E30:E31" si="12">E35+E39+E43</f>
        <v>36.893675539890481</v>
      </c>
      <c r="F30" s="358">
        <f t="shared" si="1"/>
        <v>-0.78362546010951917</v>
      </c>
      <c r="G30" s="369">
        <f t="shared" si="2"/>
        <v>-2.0798343812087793E-2</v>
      </c>
      <c r="H30" s="364">
        <f>'План погрузки'!I46</f>
        <v>37.677301</v>
      </c>
      <c r="I30" s="358">
        <f t="shared" ref="I30:I31" si="13">I35+I39+I43</f>
        <v>36.893675539890481</v>
      </c>
      <c r="J30" s="358">
        <f t="shared" si="3"/>
        <v>-0.78362546010951917</v>
      </c>
      <c r="K30" s="369">
        <f t="shared" si="4"/>
        <v>-2.0798343812087793E-2</v>
      </c>
      <c r="L30" s="364">
        <f>'План погрузки'!J46</f>
        <v>37.958999999999996</v>
      </c>
      <c r="M30" s="358">
        <f t="shared" ref="M30:M31" si="14">M35+M39+M43</f>
        <v>37.169515667236965</v>
      </c>
      <c r="N30" s="358">
        <f t="shared" si="5"/>
        <v>-0.7894843327630312</v>
      </c>
      <c r="O30" s="369">
        <f t="shared" si="6"/>
        <v>-2.079834381208755E-2</v>
      </c>
      <c r="P30" s="172">
        <f>'План погрузки'!K46</f>
        <v>39.737000000000002</v>
      </c>
      <c r="Q30" s="358">
        <f t="shared" ref="Q30:Q31" si="15">Q35+Q39+Q43</f>
        <v>38.910536211939075</v>
      </c>
      <c r="R30" s="358">
        <f t="shared" si="7"/>
        <v>-0.82646378806092713</v>
      </c>
      <c r="S30" s="369">
        <f t="shared" si="8"/>
        <v>-2.0798343812087654E-2</v>
      </c>
      <c r="T30" s="172">
        <f>'План погрузки'!L46</f>
        <v>41.792999999999999</v>
      </c>
      <c r="U30" s="358">
        <f t="shared" ref="U30:U31" si="16">U35+U39+U43</f>
        <v>40.923774817061414</v>
      </c>
      <c r="V30" s="358">
        <f t="shared" si="9"/>
        <v>-0.86922518293858531</v>
      </c>
      <c r="W30" s="369">
        <f t="shared" si="10"/>
        <v>-2.0798343812087797E-2</v>
      </c>
    </row>
    <row r="31" spans="1:24">
      <c r="A31" s="349" t="s">
        <v>36</v>
      </c>
      <c r="B31" s="364">
        <f t="shared" si="11"/>
        <v>21.159581000000003</v>
      </c>
      <c r="C31" s="355">
        <f>'План погрузки'!G59</f>
        <v>20.523358999999999</v>
      </c>
      <c r="D31" s="364">
        <f>'План погрузки'!H59</f>
        <v>27.174728999999999</v>
      </c>
      <c r="E31" s="358">
        <f t="shared" si="12"/>
        <v>26.975041405648948</v>
      </c>
      <c r="F31" s="358">
        <f t="shared" si="1"/>
        <v>-0.19968759435105099</v>
      </c>
      <c r="G31" s="369">
        <f t="shared" si="2"/>
        <v>-7.348282823760671E-3</v>
      </c>
      <c r="H31" s="364">
        <f>'План погрузки'!I59</f>
        <v>27.303181729628601</v>
      </c>
      <c r="I31" s="358">
        <f t="shared" si="13"/>
        <v>27.10255022829076</v>
      </c>
      <c r="J31" s="358">
        <f t="shared" si="3"/>
        <v>-0.20063150133784191</v>
      </c>
      <c r="K31" s="369">
        <f t="shared" si="4"/>
        <v>-7.3482828237605201E-3</v>
      </c>
      <c r="L31" s="364">
        <f>'План погрузки'!J59</f>
        <v>27.533999999999999</v>
      </c>
      <c r="M31" s="358">
        <f t="shared" si="14"/>
        <v>27.331672380730573</v>
      </c>
      <c r="N31" s="358">
        <f t="shared" si="5"/>
        <v>-0.20232761926942544</v>
      </c>
      <c r="O31" s="369">
        <f t="shared" si="6"/>
        <v>-7.3482828237606398E-3</v>
      </c>
      <c r="P31" s="172">
        <f>'План погрузки'!K59</f>
        <v>27.765999999999998</v>
      </c>
      <c r="Q31" s="358">
        <f t="shared" si="15"/>
        <v>27.561967579115461</v>
      </c>
      <c r="R31" s="358">
        <f t="shared" si="7"/>
        <v>-0.20403242088453766</v>
      </c>
      <c r="S31" s="369">
        <f t="shared" si="8"/>
        <v>-7.3482828237606303E-3</v>
      </c>
      <c r="T31" s="172">
        <f>'План погрузки'!L59</f>
        <v>28</v>
      </c>
      <c r="U31" s="358">
        <f t="shared" si="16"/>
        <v>27.7942480809347</v>
      </c>
      <c r="V31" s="358">
        <f t="shared" si="9"/>
        <v>-0.20575191906529966</v>
      </c>
      <c r="W31" s="369">
        <f t="shared" si="10"/>
        <v>-7.3482828237607023E-3</v>
      </c>
    </row>
    <row r="32" spans="1:24">
      <c r="A32" s="59" t="s">
        <v>311</v>
      </c>
      <c r="B32" s="364"/>
      <c r="C32" s="355"/>
      <c r="D32" s="364"/>
      <c r="E32" s="358"/>
      <c r="F32" s="358"/>
      <c r="G32" s="369"/>
      <c r="H32" s="364"/>
      <c r="I32" s="358"/>
      <c r="J32" s="358"/>
      <c r="K32" s="369"/>
      <c r="L32" s="364"/>
      <c r="M32" s="358"/>
      <c r="N32" s="358"/>
      <c r="O32" s="369"/>
      <c r="Q32" s="358"/>
      <c r="R32" s="358"/>
      <c r="S32" s="369"/>
      <c r="U32" s="358"/>
      <c r="V32" s="358"/>
      <c r="W32" s="369"/>
    </row>
    <row r="33" spans="1:23">
      <c r="A33" s="350" t="s">
        <v>18</v>
      </c>
      <c r="B33" s="365">
        <f>B34+B35+B36</f>
        <v>132.536315</v>
      </c>
      <c r="C33" s="360"/>
      <c r="D33" s="365">
        <f>SUM(D34:D36)</f>
        <v>136.86279078754535</v>
      </c>
      <c r="E33" s="359">
        <f>SUM(E34:E36)</f>
        <v>135.53502025696952</v>
      </c>
      <c r="F33" s="359">
        <f t="shared" si="1"/>
        <v>-1.3277705305758332</v>
      </c>
      <c r="G33" s="371">
        <f t="shared" si="2"/>
        <v>-9.7014719847190317E-3</v>
      </c>
      <c r="H33" s="365">
        <f>SUM(H34:H36)</f>
        <v>135.42364252327036</v>
      </c>
      <c r="I33" s="359">
        <f>SUM(I34:I36)</f>
        <v>134.10141374103085</v>
      </c>
      <c r="J33" s="359">
        <f t="shared" ref="J33:J44" si="17">I33-H33</f>
        <v>-1.322228782239506</v>
      </c>
      <c r="K33" s="371">
        <f t="shared" ref="K33:K44" si="18">J33/H33</f>
        <v>-9.7636480425661448E-3</v>
      </c>
      <c r="L33" s="365">
        <f>SUM(L34:L36)</f>
        <v>135.85657247147282</v>
      </c>
      <c r="M33" s="359">
        <f>SUM(M34:M36)</f>
        <v>134.5267886986482</v>
      </c>
      <c r="N33" s="359">
        <f t="shared" ref="N33:N44" si="19">M33-L33</f>
        <v>-1.3297837728246122</v>
      </c>
      <c r="O33" s="371">
        <f t="shared" ref="O33:O44" si="20">N33/L33</f>
        <v>-9.78814457507266E-3</v>
      </c>
      <c r="P33" s="365">
        <f>SUM(P34:P36)</f>
        <v>136.56827908990812</v>
      </c>
      <c r="Q33" s="359">
        <f>SUM(Q34:Q36)</f>
        <v>135.20414671947196</v>
      </c>
      <c r="R33" s="359">
        <f t="shared" ref="R33:R44" si="21">Q33-P33</f>
        <v>-1.3641323704361525</v>
      </c>
      <c r="S33" s="371">
        <f t="shared" ref="S33:S44" si="22">R33/P33</f>
        <v>-9.9886472871060488E-3</v>
      </c>
      <c r="T33" s="365">
        <f>SUM(T34:T36)</f>
        <v>137.53851102456207</v>
      </c>
      <c r="U33" s="359">
        <f>SUM(U34:U36)</f>
        <v>136.13417599441792</v>
      </c>
      <c r="V33" s="359">
        <f t="shared" ref="V33:V44" si="23">U33-T33</f>
        <v>-1.4043350301441535</v>
      </c>
      <c r="W33" s="371">
        <f t="shared" ref="W33:W44" si="24">V33/T33</f>
        <v>-1.0210485919055521E-2</v>
      </c>
    </row>
    <row r="34" spans="1:23">
      <c r="A34" s="349" t="s">
        <v>25</v>
      </c>
      <c r="B34" s="364">
        <v>81.093119999999999</v>
      </c>
      <c r="C34" s="355"/>
      <c r="D34" s="364">
        <f>$D$29*$B$34/$B$29</f>
        <v>81.944806220437201</v>
      </c>
      <c r="E34" s="358">
        <f>$E$11*D34</f>
        <v>81.600348744321948</v>
      </c>
      <c r="F34" s="358">
        <f t="shared" si="1"/>
        <v>-0.34445747611525235</v>
      </c>
      <c r="G34" s="369">
        <f t="shared" si="2"/>
        <v>-4.2035303029289975E-3</v>
      </c>
      <c r="H34" s="364">
        <f>$H$29*$B$34/$B$29</f>
        <v>80.401899459761822</v>
      </c>
      <c r="I34" s="358">
        <f>$E$11*H34</f>
        <v>80.063927638969659</v>
      </c>
      <c r="J34" s="358">
        <f t="shared" si="17"/>
        <v>-0.3379718207921627</v>
      </c>
      <c r="K34" s="369">
        <f t="shared" si="18"/>
        <v>-4.2035303029290382E-3</v>
      </c>
      <c r="L34" s="364">
        <f>$L$29*$B$34/$B$29</f>
        <v>80.401899459761822</v>
      </c>
      <c r="M34" s="358">
        <f>$E$11*L34</f>
        <v>80.063927638969659</v>
      </c>
      <c r="N34" s="358">
        <f t="shared" si="19"/>
        <v>-0.3379718207921627</v>
      </c>
      <c r="O34" s="369">
        <f t="shared" si="20"/>
        <v>-4.2035303029290382E-3</v>
      </c>
      <c r="P34" s="364">
        <f>$P$29*$B$34/$B$29</f>
        <v>79.370466595240273</v>
      </c>
      <c r="Q34" s="358">
        <f>$E$11*P34</f>
        <v>79.036830433749557</v>
      </c>
      <c r="R34" s="358">
        <f t="shared" si="21"/>
        <v>-0.33363616149071618</v>
      </c>
      <c r="S34" s="369">
        <f t="shared" si="22"/>
        <v>-4.2035303029291232E-3</v>
      </c>
      <c r="T34" s="364">
        <f>$T$29*$B$34/$B$29</f>
        <v>78.352695093162694</v>
      </c>
      <c r="U34" s="358">
        <f>$E$11*T34</f>
        <v>78.023337165022426</v>
      </c>
      <c r="V34" s="358">
        <f t="shared" si="23"/>
        <v>-0.32935792814026854</v>
      </c>
      <c r="W34" s="369">
        <f t="shared" si="24"/>
        <v>-4.2035303029290356E-3</v>
      </c>
    </row>
    <row r="35" spans="1:23">
      <c r="A35" s="349" t="s">
        <v>33</v>
      </c>
      <c r="B35" s="364">
        <v>34.351410999999999</v>
      </c>
      <c r="C35" s="355"/>
      <c r="D35" s="364">
        <f>$D$30*$B$35/$B$30</f>
        <v>32.967427118615383</v>
      </c>
      <c r="E35" s="358">
        <f>$E$12*D35</f>
        <v>32.183801658505864</v>
      </c>
      <c r="F35" s="358">
        <f t="shared" si="1"/>
        <v>-0.78362546010951917</v>
      </c>
      <c r="G35" s="369">
        <f t="shared" si="2"/>
        <v>-2.3769688101229997E-2</v>
      </c>
      <c r="H35" s="364">
        <f>$H$30*$B$35/$B$30</f>
        <v>32.967427118615383</v>
      </c>
      <c r="I35" s="358">
        <f>$E$12*H35</f>
        <v>32.183801658505864</v>
      </c>
      <c r="J35" s="358">
        <f t="shared" si="17"/>
        <v>-0.78362546010951917</v>
      </c>
      <c r="K35" s="369">
        <f t="shared" si="18"/>
        <v>-2.3769688101229997E-2</v>
      </c>
      <c r="L35" s="364">
        <f>$L$30*$B$35/$B$30</f>
        <v>33.213912164130896</v>
      </c>
      <c r="M35" s="358">
        <f>$E$12*L35</f>
        <v>32.424427831367858</v>
      </c>
      <c r="N35" s="358">
        <f t="shared" si="19"/>
        <v>-0.78948433276303831</v>
      </c>
      <c r="O35" s="369">
        <f t="shared" si="20"/>
        <v>-2.3769688101229935E-2</v>
      </c>
      <c r="P35" s="364">
        <f>$P$30*$B$35/$B$30</f>
        <v>34.769652194896324</v>
      </c>
      <c r="Q35" s="358">
        <f>$E$12*P35</f>
        <v>33.943188406835397</v>
      </c>
      <c r="R35" s="358">
        <f t="shared" si="21"/>
        <v>-0.82646378806092713</v>
      </c>
      <c r="S35" s="369">
        <f t="shared" si="22"/>
        <v>-2.3769688101229841E-2</v>
      </c>
      <c r="T35" s="364">
        <f>$T$30*$B$35/$B$30</f>
        <v>36.568640666917531</v>
      </c>
      <c r="U35" s="358">
        <f>$E$12*T35</f>
        <v>35.699415483978946</v>
      </c>
      <c r="V35" s="358">
        <f t="shared" si="23"/>
        <v>-0.86922518293858531</v>
      </c>
      <c r="W35" s="369">
        <f t="shared" si="24"/>
        <v>-2.3769688101230004E-2</v>
      </c>
    </row>
    <row r="36" spans="1:23">
      <c r="A36" s="349" t="s">
        <v>36</v>
      </c>
      <c r="B36" s="364">
        <v>17.091784000000001</v>
      </c>
      <c r="C36" s="355"/>
      <c r="D36" s="364">
        <f>$D$31*$B$36/$B$31</f>
        <v>21.950557448492763</v>
      </c>
      <c r="E36" s="358">
        <f>$E$13*D36</f>
        <v>21.750869854141715</v>
      </c>
      <c r="F36" s="358">
        <f t="shared" si="1"/>
        <v>-0.19968759435104744</v>
      </c>
      <c r="G36" s="369">
        <f t="shared" si="2"/>
        <v>-9.0971536745532173E-3</v>
      </c>
      <c r="H36" s="364">
        <f>$H$31*$B$36/$B$31</f>
        <v>22.054315944893162</v>
      </c>
      <c r="I36" s="358">
        <f>$E$13*H36</f>
        <v>21.85368444355532</v>
      </c>
      <c r="J36" s="358">
        <f t="shared" si="17"/>
        <v>-0.20063150133784191</v>
      </c>
      <c r="K36" s="369">
        <f t="shared" si="18"/>
        <v>-9.097153674553193E-3</v>
      </c>
      <c r="L36" s="364">
        <f>$L$31*$B$36/$B$31</f>
        <v>22.240760847580109</v>
      </c>
      <c r="M36" s="358">
        <f>$E$13*L36</f>
        <v>22.038433228310687</v>
      </c>
      <c r="N36" s="358">
        <f t="shared" si="19"/>
        <v>-0.20232761926942189</v>
      </c>
      <c r="O36" s="369">
        <f t="shared" si="20"/>
        <v>-9.0971536745531809E-3</v>
      </c>
      <c r="P36" s="364">
        <f>$P$31*$B$36/$B$31</f>
        <v>22.428160299771527</v>
      </c>
      <c r="Q36" s="358">
        <f>$E$13*P36</f>
        <v>22.224127878886993</v>
      </c>
      <c r="R36" s="358">
        <f t="shared" si="21"/>
        <v>-0.2040324208845341</v>
      </c>
      <c r="S36" s="369">
        <f t="shared" si="22"/>
        <v>-9.0971536745531722E-3</v>
      </c>
      <c r="T36" s="364">
        <f>$T$31*$B$36/$B$31</f>
        <v>22.61717526448184</v>
      </c>
      <c r="U36" s="358">
        <f>$E$13*T36</f>
        <v>22.411423345416544</v>
      </c>
      <c r="V36" s="358">
        <f t="shared" si="23"/>
        <v>-0.20575191906529611</v>
      </c>
      <c r="W36" s="369">
        <f t="shared" si="24"/>
        <v>-9.0971536745532607E-3</v>
      </c>
    </row>
    <row r="37" spans="1:23">
      <c r="A37" s="350" t="s">
        <v>78</v>
      </c>
      <c r="B37" s="365">
        <f>B38+B39+B40</f>
        <v>32.077955000000003</v>
      </c>
      <c r="C37" s="360"/>
      <c r="D37" s="365">
        <f>SUM(D38:D40)</f>
        <v>32.896365023144952</v>
      </c>
      <c r="E37" s="359">
        <f>SUM(E38:E40)</f>
        <v>32.896365023144952</v>
      </c>
      <c r="F37" s="359">
        <f t="shared" si="1"/>
        <v>0</v>
      </c>
      <c r="G37" s="371">
        <f t="shared" si="2"/>
        <v>0</v>
      </c>
      <c r="H37" s="365">
        <f>SUM(H38:H40)</f>
        <v>32.38570847535302</v>
      </c>
      <c r="I37" s="359">
        <f>SUM(I38:I40)</f>
        <v>32.38570847535302</v>
      </c>
      <c r="J37" s="359">
        <f t="shared" si="17"/>
        <v>0</v>
      </c>
      <c r="K37" s="371">
        <f t="shared" si="18"/>
        <v>0</v>
      </c>
      <c r="L37" s="365">
        <f>SUM(L38:L40)</f>
        <v>32.426464034112158</v>
      </c>
      <c r="M37" s="359">
        <f>SUM(M38:M40)</f>
        <v>32.426464034112158</v>
      </c>
      <c r="N37" s="359">
        <f t="shared" si="19"/>
        <v>0</v>
      </c>
      <c r="O37" s="371">
        <f t="shared" si="20"/>
        <v>0</v>
      </c>
      <c r="P37" s="365">
        <f>SUM(P38:P40)</f>
        <v>32.206432524182674</v>
      </c>
      <c r="Q37" s="359">
        <f>SUM(Q38:Q40)</f>
        <v>32.206432524182674</v>
      </c>
      <c r="R37" s="359">
        <f t="shared" si="21"/>
        <v>0</v>
      </c>
      <c r="S37" s="371">
        <f t="shared" si="22"/>
        <v>0</v>
      </c>
      <c r="T37" s="365">
        <f>SUM(T38:T40)</f>
        <v>32.007851461283025</v>
      </c>
      <c r="U37" s="359">
        <f>SUM(U38:U40)</f>
        <v>32.007851461283025</v>
      </c>
      <c r="V37" s="359">
        <f t="shared" si="23"/>
        <v>0</v>
      </c>
      <c r="W37" s="371">
        <f t="shared" si="24"/>
        <v>0</v>
      </c>
    </row>
    <row r="38" spans="1:23">
      <c r="A38" s="349" t="s">
        <v>25</v>
      </c>
      <c r="B38" s="364">
        <v>27.539394000000001</v>
      </c>
      <c r="C38" s="355"/>
      <c r="D38" s="364">
        <f>$D$29*$B$38/$B$29</f>
        <v>27.828628430602631</v>
      </c>
      <c r="E38" s="358">
        <f>$E$7*D38</f>
        <v>27.828628430602631</v>
      </c>
      <c r="F38" s="358">
        <f t="shared" si="1"/>
        <v>0</v>
      </c>
      <c r="G38" s="369">
        <f t="shared" si="2"/>
        <v>0</v>
      </c>
      <c r="H38" s="364">
        <f>$H$29*$B$38/$B$29</f>
        <v>27.304654051672546</v>
      </c>
      <c r="I38" s="358">
        <f>$E$7*H38</f>
        <v>27.304654051672546</v>
      </c>
      <c r="J38" s="358">
        <f t="shared" si="17"/>
        <v>0</v>
      </c>
      <c r="K38" s="369">
        <f t="shared" si="18"/>
        <v>0</v>
      </c>
      <c r="L38" s="364">
        <f>$L$29*$B$38/$B$29</f>
        <v>27.304654051672546</v>
      </c>
      <c r="M38" s="358">
        <f>$E$7*L38</f>
        <v>27.304654051672546</v>
      </c>
      <c r="N38" s="358">
        <f t="shared" si="19"/>
        <v>0</v>
      </c>
      <c r="O38" s="369">
        <f t="shared" si="20"/>
        <v>0</v>
      </c>
      <c r="P38" s="364">
        <f>$P$29*$B$38/$B$29</f>
        <v>26.954377282933006</v>
      </c>
      <c r="Q38" s="358">
        <f>$E$7*P38</f>
        <v>26.954377282933006</v>
      </c>
      <c r="R38" s="358">
        <f t="shared" si="21"/>
        <v>0</v>
      </c>
      <c r="S38" s="369">
        <f t="shared" si="22"/>
        <v>0</v>
      </c>
      <c r="T38" s="364">
        <f>$T$29*$B$38/$B$29</f>
        <v>26.608739941593985</v>
      </c>
      <c r="U38" s="358">
        <f>$E$7*T38</f>
        <v>26.608739941593985</v>
      </c>
      <c r="V38" s="358">
        <f t="shared" si="23"/>
        <v>0</v>
      </c>
      <c r="W38" s="369">
        <f t="shared" si="24"/>
        <v>0</v>
      </c>
    </row>
    <row r="39" spans="1:23">
      <c r="A39" s="349" t="s">
        <v>33</v>
      </c>
      <c r="B39" s="364">
        <v>2.34476</v>
      </c>
      <c r="C39" s="355"/>
      <c r="D39" s="364">
        <f>$D$30*$B$39/$B$30</f>
        <v>2.2502919723048525</v>
      </c>
      <c r="E39" s="358">
        <f>$E$8*D39</f>
        <v>2.2502919723048525</v>
      </c>
      <c r="F39" s="358">
        <f t="shared" si="1"/>
        <v>0</v>
      </c>
      <c r="G39" s="369">
        <f t="shared" si="2"/>
        <v>0</v>
      </c>
      <c r="H39" s="364">
        <f>$H$30*$B$39/$B$30</f>
        <v>2.2502919723048525</v>
      </c>
      <c r="I39" s="358">
        <f>$E$8*H39</f>
        <v>2.2502919723048525</v>
      </c>
      <c r="J39" s="358">
        <f t="shared" si="17"/>
        <v>0</v>
      </c>
      <c r="K39" s="369">
        <f t="shared" si="18"/>
        <v>0</v>
      </c>
      <c r="L39" s="364">
        <f>$L$30*$B$39/$B$30</f>
        <v>2.2671165585008302</v>
      </c>
      <c r="M39" s="358">
        <f>$E$8*L39</f>
        <v>2.2671165585008302</v>
      </c>
      <c r="N39" s="358">
        <f t="shared" si="19"/>
        <v>0</v>
      </c>
      <c r="O39" s="369">
        <f t="shared" si="20"/>
        <v>0</v>
      </c>
      <c r="P39" s="364">
        <f>$P$30*$B$39/$B$30</f>
        <v>2.3733083243801865</v>
      </c>
      <c r="Q39" s="358">
        <f>$E$8*P39</f>
        <v>2.3733083243801865</v>
      </c>
      <c r="R39" s="358">
        <f t="shared" si="21"/>
        <v>0</v>
      </c>
      <c r="S39" s="369">
        <f t="shared" si="22"/>
        <v>0</v>
      </c>
      <c r="T39" s="364">
        <f>$T$30*$B$39/$B$30</f>
        <v>2.4961037521911851</v>
      </c>
      <c r="U39" s="358">
        <f>$E$8*T39</f>
        <v>2.4961037521911851</v>
      </c>
      <c r="V39" s="358">
        <f t="shared" si="23"/>
        <v>0</v>
      </c>
      <c r="W39" s="369">
        <f t="shared" si="24"/>
        <v>0</v>
      </c>
    </row>
    <row r="40" spans="1:23">
      <c r="A40" s="349" t="s">
        <v>36</v>
      </c>
      <c r="B40" s="364">
        <v>2.1938010000000001</v>
      </c>
      <c r="C40" s="355"/>
      <c r="D40" s="364">
        <f>$D$31*$B$40/$B$31</f>
        <v>2.8174446202374703</v>
      </c>
      <c r="E40" s="358">
        <f>$E$9*D40</f>
        <v>2.8174446202374703</v>
      </c>
      <c r="F40" s="358">
        <f t="shared" si="1"/>
        <v>0</v>
      </c>
      <c r="G40" s="369">
        <f t="shared" si="2"/>
        <v>0</v>
      </c>
      <c r="H40" s="364">
        <f>$H$31*$B$40/$B$31</f>
        <v>2.8307624513756182</v>
      </c>
      <c r="I40" s="358">
        <f>$E$9*H40</f>
        <v>2.8307624513756182</v>
      </c>
      <c r="J40" s="358">
        <f t="shared" si="17"/>
        <v>0</v>
      </c>
      <c r="K40" s="369">
        <f t="shared" si="18"/>
        <v>0</v>
      </c>
      <c r="L40" s="364">
        <f>$L$31*$B$40/$B$31</f>
        <v>2.8546934239387816</v>
      </c>
      <c r="M40" s="358">
        <f>$E$9*L40</f>
        <v>2.8546934239387816</v>
      </c>
      <c r="N40" s="358">
        <f t="shared" si="19"/>
        <v>0</v>
      </c>
      <c r="O40" s="369">
        <f t="shared" si="20"/>
        <v>0</v>
      </c>
      <c r="P40" s="364">
        <f>$P$31*$B$40/$B$31</f>
        <v>2.8787469168694781</v>
      </c>
      <c r="Q40" s="358">
        <f>$E$9*P40</f>
        <v>2.8787469168694781</v>
      </c>
      <c r="R40" s="358">
        <f t="shared" si="21"/>
        <v>0</v>
      </c>
      <c r="S40" s="369">
        <f t="shared" si="22"/>
        <v>0</v>
      </c>
      <c r="T40" s="364">
        <f>$T$31*$B$40/$B$31</f>
        <v>2.9030077674978534</v>
      </c>
      <c r="U40" s="358">
        <f>$E$9*T40</f>
        <v>2.9030077674978534</v>
      </c>
      <c r="V40" s="358">
        <f t="shared" si="23"/>
        <v>0</v>
      </c>
      <c r="W40" s="369">
        <f t="shared" si="24"/>
        <v>0</v>
      </c>
    </row>
    <row r="41" spans="1:23">
      <c r="A41" s="351" t="s">
        <v>99</v>
      </c>
      <c r="B41" s="365">
        <f>B42+B43+B44</f>
        <v>14.523252999999999</v>
      </c>
      <c r="C41" s="360"/>
      <c r="D41" s="365">
        <f>SUM(D42:D44)</f>
        <v>15.058663189309694</v>
      </c>
      <c r="E41" s="359">
        <f>SUM(E42:E44)</f>
        <v>15.058663189309694</v>
      </c>
      <c r="F41" s="359">
        <f t="shared" si="1"/>
        <v>0</v>
      </c>
      <c r="G41" s="371">
        <f t="shared" si="2"/>
        <v>0</v>
      </c>
      <c r="H41" s="365">
        <f>SUM(H42:H44)</f>
        <v>14.878131731005206</v>
      </c>
      <c r="I41" s="359">
        <f>SUM(I42:I44)</f>
        <v>14.878131731005206</v>
      </c>
      <c r="J41" s="359">
        <f t="shared" si="17"/>
        <v>0</v>
      </c>
      <c r="K41" s="371">
        <f t="shared" si="18"/>
        <v>0</v>
      </c>
      <c r="L41" s="365">
        <f>SUM(L42:L44)</f>
        <v>14.916963494415</v>
      </c>
      <c r="M41" s="359">
        <f>SUM(M42:M44)</f>
        <v>14.916963494415</v>
      </c>
      <c r="N41" s="359">
        <f t="shared" si="19"/>
        <v>0</v>
      </c>
      <c r="O41" s="371">
        <f t="shared" si="20"/>
        <v>0</v>
      </c>
      <c r="P41" s="365">
        <f>SUM(P42:P44)</f>
        <v>14.925288385909216</v>
      </c>
      <c r="Q41" s="359">
        <f>SUM(Q42:Q44)</f>
        <v>14.925288385909216</v>
      </c>
      <c r="R41" s="359">
        <f t="shared" si="21"/>
        <v>0</v>
      </c>
      <c r="S41" s="371">
        <f t="shared" si="22"/>
        <v>0</v>
      </c>
      <c r="T41" s="365">
        <f>SUM(T42:T44)</f>
        <v>14.953637514154913</v>
      </c>
      <c r="U41" s="359">
        <f>SUM(U42:U44)</f>
        <v>14.953637514154913</v>
      </c>
      <c r="V41" s="359">
        <f t="shared" si="23"/>
        <v>0</v>
      </c>
      <c r="W41" s="371">
        <f t="shared" si="24"/>
        <v>0</v>
      </c>
    </row>
    <row r="42" spans="1:23">
      <c r="A42" s="349" t="s">
        <v>25</v>
      </c>
      <c r="B42" s="364">
        <v>10.086421</v>
      </c>
      <c r="C42" s="355"/>
      <c r="D42" s="364">
        <f>$D$29*$B$42/$B$29</f>
        <v>10.192354348960162</v>
      </c>
      <c r="E42" s="358">
        <f>$E$5*D42</f>
        <v>10.192354348960162</v>
      </c>
      <c r="F42" s="358">
        <f t="shared" si="1"/>
        <v>0</v>
      </c>
      <c r="G42" s="369">
        <f t="shared" si="2"/>
        <v>0</v>
      </c>
      <c r="H42" s="364">
        <f>$H$29*$B$42/$B$29</f>
        <v>10.000446488565618</v>
      </c>
      <c r="I42" s="358">
        <f>$E$5*H42</f>
        <v>10.000446488565618</v>
      </c>
      <c r="J42" s="358">
        <f t="shared" si="17"/>
        <v>0</v>
      </c>
      <c r="K42" s="369">
        <f t="shared" si="18"/>
        <v>0</v>
      </c>
      <c r="L42" s="364">
        <f>$L$29*$B$42/$B$29</f>
        <v>10.000446488565618</v>
      </c>
      <c r="M42" s="358">
        <f>$E$5*L42</f>
        <v>10.000446488565618</v>
      </c>
      <c r="N42" s="358">
        <f t="shared" si="19"/>
        <v>0</v>
      </c>
      <c r="O42" s="369">
        <f t="shared" si="20"/>
        <v>0</v>
      </c>
      <c r="P42" s="364">
        <f>$P$29*$B$42/$B$29</f>
        <v>9.8721561218267322</v>
      </c>
      <c r="Q42" s="358">
        <f>$E$5*P42</f>
        <v>9.8721561218267322</v>
      </c>
      <c r="R42" s="358">
        <f t="shared" si="21"/>
        <v>0</v>
      </c>
      <c r="S42" s="369">
        <f t="shared" si="22"/>
        <v>0</v>
      </c>
      <c r="T42" s="364">
        <f>$T$29*$B$42/$B$29</f>
        <v>9.7455649652433269</v>
      </c>
      <c r="U42" s="358">
        <f>$E$5*T42</f>
        <v>9.7455649652433269</v>
      </c>
      <c r="V42" s="358">
        <f t="shared" si="23"/>
        <v>0</v>
      </c>
      <c r="W42" s="369">
        <f t="shared" si="24"/>
        <v>0</v>
      </c>
    </row>
    <row r="43" spans="1:23">
      <c r="A43" s="349" t="s">
        <v>33</v>
      </c>
      <c r="B43" s="364">
        <v>2.5628359999999999</v>
      </c>
      <c r="C43" s="355"/>
      <c r="D43" s="364">
        <f>$D$30*$B$43/$B$30</f>
        <v>2.4595819090797688</v>
      </c>
      <c r="E43" s="358">
        <f t="shared" ref="E43:E44" si="25">$E$5*D43</f>
        <v>2.4595819090797688</v>
      </c>
      <c r="F43" s="358">
        <f t="shared" si="1"/>
        <v>0</v>
      </c>
      <c r="G43" s="369">
        <f t="shared" si="2"/>
        <v>0</v>
      </c>
      <c r="H43" s="364">
        <f>$H$30*$B$43/$B$30</f>
        <v>2.4595819090797688</v>
      </c>
      <c r="I43" s="358">
        <f t="shared" ref="I43:I44" si="26">$E$5*H43</f>
        <v>2.4595819090797688</v>
      </c>
      <c r="J43" s="358">
        <f t="shared" si="17"/>
        <v>0</v>
      </c>
      <c r="K43" s="369">
        <f t="shared" si="18"/>
        <v>0</v>
      </c>
      <c r="L43" s="364">
        <f>$L$30*$B$43/$B$30</f>
        <v>2.4779712773682738</v>
      </c>
      <c r="M43" s="358">
        <f>$E$5*L43</f>
        <v>2.4779712773682738</v>
      </c>
      <c r="N43" s="358">
        <f t="shared" si="19"/>
        <v>0</v>
      </c>
      <c r="O43" s="369">
        <f t="shared" si="20"/>
        <v>0</v>
      </c>
      <c r="P43" s="364">
        <f>$P$30*$B$43/$B$30</f>
        <v>2.5940394807234939</v>
      </c>
      <c r="Q43" s="358">
        <f>$E$5*P43</f>
        <v>2.5940394807234939</v>
      </c>
      <c r="R43" s="358">
        <f t="shared" si="21"/>
        <v>0</v>
      </c>
      <c r="S43" s="369">
        <f t="shared" si="22"/>
        <v>0</v>
      </c>
      <c r="T43" s="364">
        <f>$T$30*$B$43/$B$30</f>
        <v>2.7282555808912843</v>
      </c>
      <c r="U43" s="358">
        <f>$E$5*T43</f>
        <v>2.7282555808912843</v>
      </c>
      <c r="V43" s="358">
        <f t="shared" si="23"/>
        <v>0</v>
      </c>
      <c r="W43" s="369">
        <f t="shared" si="24"/>
        <v>0</v>
      </c>
    </row>
    <row r="44" spans="1:23">
      <c r="A44" s="349" t="s">
        <v>36</v>
      </c>
      <c r="B44" s="362">
        <v>1.873996</v>
      </c>
      <c r="C44" s="355"/>
      <c r="D44" s="364">
        <f>$D$31*$B$44/$B$31</f>
        <v>2.4067269312697634</v>
      </c>
      <c r="E44" s="358">
        <f t="shared" si="25"/>
        <v>2.4067269312697634</v>
      </c>
      <c r="F44" s="358">
        <f t="shared" si="1"/>
        <v>0</v>
      </c>
      <c r="G44" s="369">
        <f t="shared" si="2"/>
        <v>0</v>
      </c>
      <c r="H44" s="364">
        <f>$H$31*$B$44/$B$31</f>
        <v>2.4181033333598183</v>
      </c>
      <c r="I44" s="358">
        <f t="shared" si="26"/>
        <v>2.4181033333598183</v>
      </c>
      <c r="J44" s="358">
        <f t="shared" si="17"/>
        <v>0</v>
      </c>
      <c r="K44" s="369">
        <f t="shared" si="18"/>
        <v>0</v>
      </c>
      <c r="L44" s="364">
        <f>$L$31*$B$44/$B$31</f>
        <v>2.438545728481107</v>
      </c>
      <c r="M44" s="358">
        <f>$E$5*L44</f>
        <v>2.438545728481107</v>
      </c>
      <c r="N44" s="358">
        <f t="shared" si="19"/>
        <v>0</v>
      </c>
      <c r="O44" s="369">
        <f t="shared" si="20"/>
        <v>0</v>
      </c>
      <c r="P44" s="364">
        <f>$P$31*$B$44/$B$31</f>
        <v>2.4590927833589897</v>
      </c>
      <c r="Q44" s="358">
        <f>$E$5*P44</f>
        <v>2.4590927833589897</v>
      </c>
      <c r="R44" s="358">
        <f t="shared" si="21"/>
        <v>0</v>
      </c>
      <c r="S44" s="369">
        <f t="shared" si="22"/>
        <v>0</v>
      </c>
      <c r="T44" s="364">
        <f>$T$31*$B$44/$B$31</f>
        <v>2.4798169680203022</v>
      </c>
      <c r="U44" s="358">
        <f>$E$5*T44</f>
        <v>2.4798169680203022</v>
      </c>
      <c r="V44" s="358">
        <f t="shared" si="23"/>
        <v>0</v>
      </c>
      <c r="W44" s="369">
        <f t="shared" si="24"/>
        <v>0</v>
      </c>
    </row>
    <row r="45" spans="1:23">
      <c r="D45" s="174"/>
      <c r="E45" s="172"/>
      <c r="I45" s="172"/>
      <c r="N45" s="172"/>
    </row>
    <row r="46" spans="1:23">
      <c r="D46" s="174"/>
      <c r="E46" s="172"/>
      <c r="I46" s="172"/>
      <c r="N46" s="172"/>
    </row>
    <row r="47" spans="1:23">
      <c r="D47" s="174"/>
      <c r="E47" s="172"/>
      <c r="I47" s="172"/>
      <c r="N47" s="172"/>
    </row>
    <row r="48" spans="1:23">
      <c r="D48" s="174"/>
      <c r="E48" s="172"/>
      <c r="I48" s="172"/>
      <c r="N48" s="172"/>
    </row>
    <row r="49" spans="9:14">
      <c r="I49" s="172"/>
      <c r="N49" s="172"/>
    </row>
    <row r="50" spans="9:14">
      <c r="N50" s="172"/>
    </row>
    <row r="51" spans="9:14">
      <c r="N51" s="172"/>
    </row>
  </sheetData>
  <mergeCells count="13">
    <mergeCell ref="T24:W24"/>
    <mergeCell ref="B24:C24"/>
    <mergeCell ref="D24:G24"/>
    <mergeCell ref="H24:K24"/>
    <mergeCell ref="L24:O24"/>
    <mergeCell ref="P24:S24"/>
    <mergeCell ref="G18:J20"/>
    <mergeCell ref="G13:J13"/>
    <mergeCell ref="G16:J16"/>
    <mergeCell ref="G15:J15"/>
    <mergeCell ref="G10:J10"/>
    <mergeCell ref="G12:H12"/>
    <mergeCell ref="I12:J12"/>
  </mergeCells>
  <pageMargins left="0.7" right="0.7" top="0.75" bottom="0.75" header="0.3" footer="0.3"/>
  <pageSetup paperSize="9" orientation="portrait" horizontalDpi="300" verticalDpi="300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>
    <pageSetUpPr fitToPage="1"/>
  </sheetPr>
  <dimension ref="A1:JF39"/>
  <sheetViews>
    <sheetView zoomScale="55" zoomScaleNormal="5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IT4" sqref="IT4"/>
    </sheetView>
  </sheetViews>
  <sheetFormatPr defaultRowHeight="14.6" outlineLevelCol="1"/>
  <cols>
    <col min="1" max="1" width="49.53515625" hidden="1" customWidth="1" outlineLevel="1"/>
    <col min="2" max="2" width="8.84375" customWidth="1" collapsed="1"/>
    <col min="3" max="3" width="20.69140625" customWidth="1"/>
    <col min="4" max="4" width="10.3828125" customWidth="1"/>
    <col min="5" max="5" width="19" customWidth="1"/>
    <col min="6" max="6" width="38.84375" customWidth="1"/>
    <col min="7" max="7" width="11.921875" customWidth="1"/>
    <col min="8" max="8" width="9.15234375" customWidth="1"/>
    <col min="9" max="10" width="24.3828125" customWidth="1"/>
    <col min="11" max="11" width="16.3046875" customWidth="1"/>
    <col min="12" max="12" width="11.3046875" customWidth="1"/>
    <col min="13" max="13" width="11.3828125" customWidth="1"/>
    <col min="14" max="14" width="18.53515625" customWidth="1"/>
    <col min="15" max="15" width="17.69140625" customWidth="1"/>
    <col min="16" max="16" width="15.3828125" style="6" customWidth="1"/>
    <col min="17" max="17" width="30.15234375" customWidth="1"/>
    <col min="18" max="23" width="27.3046875" customWidth="1"/>
    <col min="24" max="24" width="16.3828125" customWidth="1"/>
    <col min="25" max="28" width="20.53515625" customWidth="1"/>
    <col min="29" max="29" width="28.53515625" customWidth="1"/>
    <col min="30" max="30" width="16.15234375" customWidth="1"/>
    <col min="31" max="31" width="23.53515625" customWidth="1"/>
    <col min="32" max="32" width="16.3828125" customWidth="1"/>
    <col min="33" max="33" width="14.69140625" customWidth="1"/>
    <col min="34" max="34" width="12.84375" customWidth="1"/>
    <col min="35" max="35" width="19.15234375" customWidth="1"/>
    <col min="36" max="37" width="22" customWidth="1"/>
    <col min="38" max="38" width="25.84375" customWidth="1"/>
    <col min="39" max="39" width="18.84375" customWidth="1"/>
    <col min="40" max="40" width="22.3046875" customWidth="1"/>
    <col min="41" max="41" width="21.15234375" customWidth="1"/>
    <col min="42" max="42" width="19.3828125" customWidth="1"/>
    <col min="43" max="43" width="19.69140625" customWidth="1"/>
    <col min="44" max="44" width="21.69140625" customWidth="1"/>
    <col min="45" max="45" width="14.53515625" customWidth="1"/>
    <col min="46" max="46" width="14.4609375" style="33" customWidth="1"/>
    <col min="47" max="51" width="18.53515625" customWidth="1"/>
    <col min="52" max="101" width="9.23046875" customWidth="1"/>
    <col min="102" max="252" width="9.23046875" customWidth="1" outlineLevel="1"/>
    <col min="253" max="253" width="22.3828125" customWidth="1"/>
    <col min="254" max="254" width="22.69140625" customWidth="1"/>
    <col min="255" max="255" width="18.61328125" customWidth="1"/>
    <col min="256" max="256" width="16.23046875" customWidth="1"/>
    <col min="257" max="257" width="54" customWidth="1"/>
  </cols>
  <sheetData>
    <row r="1" spans="1:266" ht="35.6" customHeight="1">
      <c r="AO1" s="109"/>
      <c r="IS1" s="422" t="s">
        <v>251</v>
      </c>
      <c r="IT1" s="422"/>
      <c r="IU1" s="404" t="s">
        <v>333</v>
      </c>
      <c r="IV1" s="387">
        <f>1+(IX1/1000)</f>
        <v>1</v>
      </c>
      <c r="IW1" s="389" t="s">
        <v>315</v>
      </c>
      <c r="IX1" s="403">
        <v>0</v>
      </c>
      <c r="IY1" s="384"/>
      <c r="IZ1" s="384"/>
      <c r="JA1" s="384"/>
      <c r="JB1" s="384"/>
      <c r="JC1" s="384"/>
      <c r="JD1" s="384"/>
      <c r="JE1" s="384"/>
      <c r="JF1" s="384"/>
    </row>
    <row r="2" spans="1:266" ht="34" customHeight="1">
      <c r="B2" s="425" t="s">
        <v>159</v>
      </c>
      <c r="C2" s="426"/>
      <c r="D2" s="426"/>
      <c r="E2" s="426"/>
      <c r="F2" s="426"/>
      <c r="G2" s="426"/>
      <c r="H2" s="426"/>
      <c r="I2" s="426"/>
      <c r="J2" s="426"/>
      <c r="K2" s="426"/>
      <c r="L2" s="426"/>
      <c r="M2" s="426"/>
      <c r="N2" s="426"/>
      <c r="O2" s="426"/>
      <c r="P2" s="426"/>
      <c r="Q2" s="426"/>
      <c r="R2" s="426"/>
      <c r="S2" s="426"/>
      <c r="T2" s="426"/>
      <c r="U2" s="426"/>
      <c r="V2" s="426"/>
      <c r="W2" s="427"/>
      <c r="X2" s="428" t="s">
        <v>205</v>
      </c>
      <c r="Y2" s="429"/>
      <c r="Z2" s="429"/>
      <c r="AA2" s="429"/>
      <c r="AB2" s="430"/>
      <c r="AC2" s="431" t="s">
        <v>323</v>
      </c>
      <c r="AD2" s="432"/>
      <c r="AE2" s="432"/>
      <c r="AF2" s="432"/>
      <c r="AG2" s="432"/>
      <c r="AH2" s="432"/>
      <c r="AI2" s="432"/>
      <c r="AJ2" s="432"/>
      <c r="AK2" s="432"/>
      <c r="AL2" s="432"/>
      <c r="AM2" s="432"/>
      <c r="AN2" s="432"/>
      <c r="AO2" s="432"/>
      <c r="AP2" s="432"/>
      <c r="AQ2" s="432"/>
      <c r="AR2" s="432"/>
      <c r="AS2" s="433"/>
      <c r="AT2" s="168" t="s">
        <v>250</v>
      </c>
      <c r="AU2" s="423" t="s">
        <v>201</v>
      </c>
      <c r="AV2" s="434" t="s">
        <v>322</v>
      </c>
      <c r="AW2" s="435"/>
      <c r="AX2" s="435"/>
      <c r="AY2" s="436"/>
      <c r="AZ2" s="437" t="s">
        <v>186</v>
      </c>
      <c r="BA2" s="438"/>
      <c r="BB2" s="438"/>
      <c r="BC2" s="438"/>
      <c r="BD2" s="438"/>
      <c r="BE2" s="438"/>
      <c r="BF2" s="438"/>
      <c r="BG2" s="438"/>
      <c r="BH2" s="438"/>
      <c r="BI2" s="438"/>
      <c r="BJ2" s="438"/>
      <c r="BK2" s="438"/>
      <c r="BL2" s="438"/>
      <c r="BM2" s="438"/>
      <c r="BN2" s="438"/>
      <c r="BO2" s="438"/>
      <c r="BP2" s="438"/>
      <c r="BQ2" s="438"/>
      <c r="BR2" s="438"/>
      <c r="BS2" s="438"/>
      <c r="BT2" s="438"/>
      <c r="BU2" s="438"/>
      <c r="BV2" s="438"/>
      <c r="BW2" s="438"/>
      <c r="BX2" s="438"/>
      <c r="BY2" s="438"/>
      <c r="BZ2" s="438"/>
      <c r="CA2" s="438"/>
      <c r="CB2" s="438"/>
      <c r="CC2" s="438"/>
      <c r="CD2" s="438"/>
      <c r="CE2" s="438"/>
      <c r="CF2" s="438"/>
      <c r="CG2" s="438"/>
      <c r="CH2" s="438"/>
      <c r="CI2" s="438"/>
      <c r="CJ2" s="438"/>
      <c r="CK2" s="438"/>
      <c r="CL2" s="438"/>
      <c r="CM2" s="438"/>
      <c r="CN2" s="438"/>
      <c r="CO2" s="438"/>
      <c r="CP2" s="438"/>
      <c r="CQ2" s="438"/>
      <c r="CR2" s="438"/>
      <c r="CS2" s="438"/>
      <c r="CT2" s="438"/>
      <c r="CU2" s="438"/>
      <c r="CV2" s="438"/>
      <c r="CW2" s="438"/>
      <c r="CX2" s="438"/>
      <c r="CY2" s="438"/>
      <c r="CZ2" s="438"/>
      <c r="DA2" s="438"/>
      <c r="DB2" s="438"/>
      <c r="DC2" s="438"/>
      <c r="DD2" s="438"/>
      <c r="DE2" s="438"/>
      <c r="DF2" s="438"/>
      <c r="DG2" s="438"/>
      <c r="DH2" s="438"/>
      <c r="DI2" s="438"/>
      <c r="DJ2" s="438"/>
      <c r="DK2" s="438"/>
      <c r="DL2" s="438"/>
      <c r="DM2" s="438"/>
      <c r="DN2" s="438"/>
      <c r="DO2" s="438"/>
      <c r="DP2" s="438"/>
      <c r="DQ2" s="438"/>
      <c r="DR2" s="438"/>
      <c r="DS2" s="438"/>
      <c r="DT2" s="438"/>
      <c r="DU2" s="438"/>
      <c r="DV2" s="438"/>
      <c r="DW2" s="438"/>
      <c r="DX2" s="438"/>
      <c r="DY2" s="438"/>
      <c r="DZ2" s="438"/>
      <c r="EA2" s="438"/>
      <c r="EB2" s="438"/>
      <c r="EC2" s="438"/>
      <c r="ED2" s="438"/>
      <c r="EE2" s="438"/>
      <c r="EF2" s="438"/>
      <c r="EG2" s="438"/>
      <c r="EH2" s="438"/>
      <c r="EI2" s="438"/>
      <c r="EJ2" s="438"/>
      <c r="EK2" s="438"/>
      <c r="EL2" s="438"/>
      <c r="EM2" s="438"/>
      <c r="EN2" s="438"/>
      <c r="EO2" s="438"/>
      <c r="EP2" s="438"/>
      <c r="EQ2" s="438"/>
      <c r="ER2" s="438"/>
      <c r="ES2" s="438"/>
      <c r="ET2" s="438"/>
      <c r="EU2" s="438"/>
      <c r="EV2" s="438"/>
      <c r="EW2" s="438"/>
      <c r="EX2" s="438"/>
      <c r="EY2" s="438"/>
      <c r="EZ2" s="438"/>
      <c r="FA2" s="438"/>
      <c r="FB2" s="438"/>
      <c r="FC2" s="438"/>
      <c r="FD2" s="438"/>
      <c r="FE2" s="438"/>
      <c r="FF2" s="438"/>
      <c r="FG2" s="438"/>
      <c r="FH2" s="438"/>
      <c r="FI2" s="438"/>
      <c r="FJ2" s="438"/>
      <c r="FK2" s="438"/>
      <c r="FL2" s="438"/>
      <c r="FM2" s="438"/>
      <c r="FN2" s="438"/>
      <c r="FO2" s="438"/>
      <c r="FP2" s="438"/>
      <c r="FQ2" s="438"/>
      <c r="FR2" s="438"/>
      <c r="FS2" s="438"/>
      <c r="FT2" s="438"/>
      <c r="FU2" s="438"/>
      <c r="FV2" s="438"/>
      <c r="FW2" s="438"/>
      <c r="FX2" s="438"/>
      <c r="FY2" s="438"/>
      <c r="FZ2" s="438"/>
      <c r="GA2" s="438"/>
      <c r="GB2" s="438"/>
      <c r="GC2" s="438"/>
      <c r="GD2" s="438"/>
      <c r="GE2" s="438"/>
      <c r="GF2" s="438"/>
      <c r="GG2" s="438"/>
      <c r="GH2" s="438"/>
      <c r="GI2" s="438"/>
      <c r="GJ2" s="438"/>
      <c r="GK2" s="438"/>
      <c r="GL2" s="438"/>
      <c r="GM2" s="438"/>
      <c r="GN2" s="438"/>
      <c r="GO2" s="438"/>
      <c r="GP2" s="438"/>
      <c r="GQ2" s="438"/>
      <c r="GR2" s="438"/>
      <c r="GS2" s="438"/>
      <c r="GT2" s="438"/>
      <c r="GU2" s="438"/>
      <c r="GV2" s="438"/>
      <c r="GW2" s="438"/>
      <c r="GX2" s="438"/>
      <c r="GY2" s="438"/>
      <c r="GZ2" s="438"/>
      <c r="HA2" s="438"/>
      <c r="HB2" s="438"/>
      <c r="HC2" s="438"/>
      <c r="HD2" s="438"/>
      <c r="HE2" s="438"/>
      <c r="HF2" s="438"/>
      <c r="HG2" s="438"/>
      <c r="HH2" s="438"/>
      <c r="HI2" s="438"/>
      <c r="HJ2" s="438"/>
      <c r="HK2" s="438"/>
      <c r="HL2" s="438"/>
      <c r="HM2" s="438"/>
      <c r="HN2" s="438"/>
      <c r="HO2" s="438"/>
      <c r="HP2" s="438"/>
      <c r="HQ2" s="438"/>
      <c r="HR2" s="438"/>
      <c r="HS2" s="438"/>
      <c r="HT2" s="438"/>
      <c r="HU2" s="438"/>
      <c r="HV2" s="438"/>
      <c r="HW2" s="438"/>
      <c r="HX2" s="438"/>
      <c r="HY2" s="438"/>
      <c r="HZ2" s="438"/>
      <c r="IA2" s="438"/>
      <c r="IB2" s="438"/>
      <c r="IC2" s="438"/>
      <c r="ID2" s="438"/>
      <c r="IE2" s="438"/>
      <c r="IF2" s="438"/>
      <c r="IG2" s="438"/>
      <c r="IH2" s="438"/>
      <c r="II2" s="438"/>
      <c r="IJ2" s="438"/>
      <c r="IK2" s="438"/>
      <c r="IL2" s="438"/>
      <c r="IM2" s="438"/>
      <c r="IN2" s="438"/>
      <c r="IO2" s="438"/>
      <c r="IP2" s="438"/>
      <c r="IQ2" s="438"/>
      <c r="IR2" s="439"/>
      <c r="IS2" s="166">
        <f>ROUND(IU2,2)</f>
        <v>0.12</v>
      </c>
      <c r="IT2" s="386" t="str">
        <f>IF(IS2&lt;0,"скидка","индексация")</f>
        <v>индексация</v>
      </c>
      <c r="IU2" s="396">
        <f>IF(AND('Выпадение всего'!G11=TRUE,'Выпадение всего'!J11=FALSE),'Выпадение всего'!J14,IF(AND('Выпадение всего'!G11=FALSE,'Выпадение всего'!J11=TRUE),'Выпадение всего'!J17))</f>
        <v>0.12</v>
      </c>
      <c r="IV2" s="388">
        <v>1</v>
      </c>
      <c r="IW2" s="385" t="s">
        <v>319</v>
      </c>
    </row>
    <row r="3" spans="1:266" ht="116.7" customHeight="1">
      <c r="A3" t="s">
        <v>236</v>
      </c>
      <c r="B3" s="30" t="s">
        <v>0</v>
      </c>
      <c r="C3" s="31" t="s">
        <v>1</v>
      </c>
      <c r="D3" s="31" t="s">
        <v>2</v>
      </c>
      <c r="E3" s="31" t="s">
        <v>3</v>
      </c>
      <c r="F3" s="31" t="s">
        <v>4</v>
      </c>
      <c r="G3" s="31" t="s">
        <v>5</v>
      </c>
      <c r="H3" s="31" t="s">
        <v>6</v>
      </c>
      <c r="I3" s="31" t="s">
        <v>7</v>
      </c>
      <c r="J3" s="31" t="s">
        <v>8</v>
      </c>
      <c r="K3" s="31" t="s">
        <v>142</v>
      </c>
      <c r="L3" s="31" t="s">
        <v>9</v>
      </c>
      <c r="M3" s="31" t="s">
        <v>10</v>
      </c>
      <c r="N3" s="31" t="s">
        <v>11</v>
      </c>
      <c r="O3" s="31" t="s">
        <v>12</v>
      </c>
      <c r="P3" s="31" t="s">
        <v>13</v>
      </c>
      <c r="Q3" s="31" t="s">
        <v>14</v>
      </c>
      <c r="R3" s="48" t="s">
        <v>15</v>
      </c>
      <c r="S3" s="52" t="s">
        <v>209</v>
      </c>
      <c r="T3" s="53" t="s">
        <v>210</v>
      </c>
      <c r="U3" s="52" t="s">
        <v>211</v>
      </c>
      <c r="V3" s="54" t="s">
        <v>212</v>
      </c>
      <c r="W3" s="53" t="s">
        <v>213</v>
      </c>
      <c r="X3" s="37" t="s">
        <v>160</v>
      </c>
      <c r="Y3" s="37" t="s">
        <v>162</v>
      </c>
      <c r="Z3" s="38" t="s">
        <v>164</v>
      </c>
      <c r="AA3" s="38" t="s">
        <v>165</v>
      </c>
      <c r="AB3" s="38" t="s">
        <v>206</v>
      </c>
      <c r="AC3" s="39" t="s">
        <v>143</v>
      </c>
      <c r="AD3" s="39" t="s">
        <v>144</v>
      </c>
      <c r="AE3" s="39" t="s">
        <v>332</v>
      </c>
      <c r="AF3" s="40" t="s">
        <v>146</v>
      </c>
      <c r="AG3" s="41" t="s">
        <v>147</v>
      </c>
      <c r="AH3" s="32" t="s">
        <v>148</v>
      </c>
      <c r="AI3" s="43" t="s">
        <v>149</v>
      </c>
      <c r="AJ3" s="42" t="s">
        <v>150</v>
      </c>
      <c r="AK3" s="32" t="s">
        <v>151</v>
      </c>
      <c r="AL3" s="32" t="s">
        <v>152</v>
      </c>
      <c r="AM3" s="32" t="s">
        <v>153</v>
      </c>
      <c r="AN3" s="32" t="s">
        <v>154</v>
      </c>
      <c r="AO3" s="44" t="s">
        <v>325</v>
      </c>
      <c r="AP3" s="32" t="s">
        <v>156</v>
      </c>
      <c r="AQ3" s="32" t="s">
        <v>157</v>
      </c>
      <c r="AR3" s="32" t="s">
        <v>158</v>
      </c>
      <c r="AS3" s="169" t="s">
        <v>314</v>
      </c>
      <c r="AT3" s="170" t="s">
        <v>317</v>
      </c>
      <c r="AU3" s="423"/>
      <c r="AV3" s="44" t="s">
        <v>324</v>
      </c>
      <c r="AW3" s="32" t="s">
        <v>156</v>
      </c>
      <c r="AX3" s="32" t="s">
        <v>157</v>
      </c>
      <c r="AY3" s="32" t="s">
        <v>158</v>
      </c>
      <c r="AZ3" s="398">
        <f t="shared" ref="AZ3" si="0">ROUND(BA3-0.5%,3)</f>
        <v>-0.5</v>
      </c>
      <c r="BA3" s="398">
        <f t="shared" ref="BA3" si="1">ROUND(BB3-0.5%,3)</f>
        <v>-0.495</v>
      </c>
      <c r="BB3" s="398">
        <f t="shared" ref="BB3:BM3" si="2">ROUND(BC3-0.5%,3)</f>
        <v>-0.49</v>
      </c>
      <c r="BC3" s="398">
        <f t="shared" si="2"/>
        <v>-0.48499999999999999</v>
      </c>
      <c r="BD3" s="398">
        <f t="shared" si="2"/>
        <v>-0.48</v>
      </c>
      <c r="BE3" s="398">
        <f t="shared" si="2"/>
        <v>-0.47499999999999998</v>
      </c>
      <c r="BF3" s="398">
        <f t="shared" si="2"/>
        <v>-0.47</v>
      </c>
      <c r="BG3" s="398">
        <f t="shared" si="2"/>
        <v>-0.46500000000000002</v>
      </c>
      <c r="BH3" s="398">
        <f t="shared" si="2"/>
        <v>-0.46</v>
      </c>
      <c r="BI3" s="398">
        <f t="shared" si="2"/>
        <v>-0.45500000000000002</v>
      </c>
      <c r="BJ3" s="398">
        <f t="shared" si="2"/>
        <v>-0.45</v>
      </c>
      <c r="BK3" s="398">
        <f t="shared" si="2"/>
        <v>-0.44500000000000001</v>
      </c>
      <c r="BL3" s="398">
        <f t="shared" si="2"/>
        <v>-0.44</v>
      </c>
      <c r="BM3" s="398">
        <f t="shared" si="2"/>
        <v>-0.435</v>
      </c>
      <c r="BN3" s="398">
        <f t="shared" ref="BN3:CD3" si="3">ROUND(BO3-0.5%,3)</f>
        <v>-0.43</v>
      </c>
      <c r="BO3" s="398">
        <f t="shared" si="3"/>
        <v>-0.42499999999999999</v>
      </c>
      <c r="BP3" s="398">
        <f t="shared" si="3"/>
        <v>-0.42</v>
      </c>
      <c r="BQ3" s="398">
        <f t="shared" si="3"/>
        <v>-0.41499999999999998</v>
      </c>
      <c r="BR3" s="398">
        <f t="shared" si="3"/>
        <v>-0.41</v>
      </c>
      <c r="BS3" s="398">
        <f t="shared" si="3"/>
        <v>-0.40500000000000003</v>
      </c>
      <c r="BT3" s="398">
        <f t="shared" si="3"/>
        <v>-0.4</v>
      </c>
      <c r="BU3" s="398">
        <f t="shared" si="3"/>
        <v>-0.39500000000000002</v>
      </c>
      <c r="BV3" s="398">
        <f t="shared" si="3"/>
        <v>-0.39</v>
      </c>
      <c r="BW3" s="398">
        <f t="shared" si="3"/>
        <v>-0.38500000000000001</v>
      </c>
      <c r="BX3" s="398">
        <f t="shared" si="3"/>
        <v>-0.38</v>
      </c>
      <c r="BY3" s="398">
        <f t="shared" si="3"/>
        <v>-0.375</v>
      </c>
      <c r="BZ3" s="398">
        <f t="shared" si="3"/>
        <v>-0.37</v>
      </c>
      <c r="CA3" s="398">
        <f t="shared" si="3"/>
        <v>-0.36499999999999999</v>
      </c>
      <c r="CB3" s="398">
        <f t="shared" si="3"/>
        <v>-0.36</v>
      </c>
      <c r="CC3" s="398">
        <f t="shared" si="3"/>
        <v>-0.35499999999999998</v>
      </c>
      <c r="CD3" s="398">
        <f t="shared" si="3"/>
        <v>-0.35</v>
      </c>
      <c r="CE3" s="398">
        <f t="shared" ref="CE3:CT3" si="4">ROUND(CF3-0.5%,3)</f>
        <v>-0.34499999999999997</v>
      </c>
      <c r="CF3" s="398">
        <f t="shared" si="4"/>
        <v>-0.34</v>
      </c>
      <c r="CG3" s="398">
        <f t="shared" si="4"/>
        <v>-0.33500000000000002</v>
      </c>
      <c r="CH3" s="398">
        <f t="shared" si="4"/>
        <v>-0.33</v>
      </c>
      <c r="CI3" s="398">
        <f t="shared" si="4"/>
        <v>-0.32500000000000001</v>
      </c>
      <c r="CJ3" s="398">
        <f t="shared" si="4"/>
        <v>-0.32</v>
      </c>
      <c r="CK3" s="398">
        <f t="shared" si="4"/>
        <v>-0.315</v>
      </c>
      <c r="CL3" s="398">
        <f t="shared" si="4"/>
        <v>-0.31</v>
      </c>
      <c r="CM3" s="398">
        <f t="shared" si="4"/>
        <v>-0.30499999999999999</v>
      </c>
      <c r="CN3" s="398">
        <f t="shared" si="4"/>
        <v>-0.3</v>
      </c>
      <c r="CO3" s="398">
        <f t="shared" si="4"/>
        <v>-0.29499999999999998</v>
      </c>
      <c r="CP3" s="398">
        <f t="shared" si="4"/>
        <v>-0.28999999999999998</v>
      </c>
      <c r="CQ3" s="398">
        <f t="shared" si="4"/>
        <v>-0.28499999999999998</v>
      </c>
      <c r="CR3" s="398">
        <f t="shared" si="4"/>
        <v>-0.28000000000000003</v>
      </c>
      <c r="CS3" s="398">
        <f t="shared" si="4"/>
        <v>-0.27500000000000002</v>
      </c>
      <c r="CT3" s="398">
        <f t="shared" si="4"/>
        <v>-0.27</v>
      </c>
      <c r="CU3" s="398">
        <f>ROUND(CV3-0.5%,3)</f>
        <v>-0.26500000000000001</v>
      </c>
      <c r="CV3" s="398">
        <f>ROUND(CW3-0.5%,3)</f>
        <v>-0.26</v>
      </c>
      <c r="CW3" s="398">
        <f>ROUND(CX3-0.5%,3)</f>
        <v>-0.255</v>
      </c>
      <c r="CX3" s="17">
        <v>-0.25</v>
      </c>
      <c r="CY3" s="17">
        <v>-0.245</v>
      </c>
      <c r="CZ3" s="17">
        <v>-0.24</v>
      </c>
      <c r="DA3" s="17">
        <v>-0.23499999999999999</v>
      </c>
      <c r="DB3" s="17">
        <v>-0.23</v>
      </c>
      <c r="DC3" s="17">
        <v>-0.22500000000000001</v>
      </c>
      <c r="DD3" s="17">
        <v>-0.22</v>
      </c>
      <c r="DE3" s="17">
        <v>-0.215</v>
      </c>
      <c r="DF3" s="17">
        <v>-0.21</v>
      </c>
      <c r="DG3" s="17">
        <v>-0.20499999999999999</v>
      </c>
      <c r="DH3" s="17">
        <v>-0.2</v>
      </c>
      <c r="DI3" s="17">
        <v>-0.19500000000000001</v>
      </c>
      <c r="DJ3" s="17">
        <v>-0.19</v>
      </c>
      <c r="DK3" s="17">
        <v>-0.185</v>
      </c>
      <c r="DL3" s="17">
        <v>-0.18</v>
      </c>
      <c r="DM3" s="17">
        <v>-0.17499999999999999</v>
      </c>
      <c r="DN3" s="17">
        <v>-0.17</v>
      </c>
      <c r="DO3" s="17">
        <v>-0.16500000000000001</v>
      </c>
      <c r="DP3" s="17">
        <v>-0.16</v>
      </c>
      <c r="DQ3" s="17">
        <v>-0.155</v>
      </c>
      <c r="DR3" s="17">
        <v>-0.15</v>
      </c>
      <c r="DS3" s="17">
        <v>-0.14499999999999999</v>
      </c>
      <c r="DT3" s="17">
        <v>-0.14000000000000001</v>
      </c>
      <c r="DU3" s="17">
        <v>-0.13500000000000001</v>
      </c>
      <c r="DV3" s="17">
        <v>-0.13</v>
      </c>
      <c r="DW3" s="17">
        <v>-0.125</v>
      </c>
      <c r="DX3" s="17">
        <v>-0.12</v>
      </c>
      <c r="DY3" s="17">
        <v>-0.115</v>
      </c>
      <c r="DZ3" s="17">
        <v>-0.11</v>
      </c>
      <c r="EA3" s="17">
        <v>-0.105</v>
      </c>
      <c r="EB3" s="17">
        <v>-0.1</v>
      </c>
      <c r="EC3" s="17">
        <v>-9.5000000000000001E-2</v>
      </c>
      <c r="ED3" s="17">
        <v>-0.09</v>
      </c>
      <c r="EE3" s="17">
        <v>-8.5000000000000006E-2</v>
      </c>
      <c r="EF3" s="17">
        <v>-0.08</v>
      </c>
      <c r="EG3" s="17">
        <v>-7.4999999999999997E-2</v>
      </c>
      <c r="EH3" s="17">
        <v>-7.0000000000000007E-2</v>
      </c>
      <c r="EI3" s="17">
        <v>-6.5000000000000002E-2</v>
      </c>
      <c r="EJ3" s="17">
        <v>-0.06</v>
      </c>
      <c r="EK3" s="17">
        <v>-5.5E-2</v>
      </c>
      <c r="EL3" s="17">
        <v>-0.05</v>
      </c>
      <c r="EM3" s="17">
        <v>-4.4999999999999998E-2</v>
      </c>
      <c r="EN3" s="17">
        <v>-0.04</v>
      </c>
      <c r="EO3" s="17">
        <v>-3.5000000000000003E-2</v>
      </c>
      <c r="EP3" s="17">
        <v>-0.03</v>
      </c>
      <c r="EQ3" s="17">
        <v>-2.5000000000000001E-2</v>
      </c>
      <c r="ER3" s="17">
        <v>-0.02</v>
      </c>
      <c r="ES3" s="17">
        <v>-1.4999999999999999E-2</v>
      </c>
      <c r="ET3" s="17">
        <v>-0.01</v>
      </c>
      <c r="EU3" s="17">
        <v>-5.0000000000000001E-3</v>
      </c>
      <c r="EV3" s="21">
        <v>0</v>
      </c>
      <c r="EW3" s="17">
        <v>5.0000000000000001E-3</v>
      </c>
      <c r="EX3" s="17">
        <v>0.01</v>
      </c>
      <c r="EY3" s="17">
        <v>1.4999999999999999E-2</v>
      </c>
      <c r="EZ3" s="17">
        <v>0.02</v>
      </c>
      <c r="FA3" s="17">
        <v>2.5000000000000001E-2</v>
      </c>
      <c r="FB3" s="17">
        <v>0.03</v>
      </c>
      <c r="FC3" s="17">
        <v>3.5000000000000003E-2</v>
      </c>
      <c r="FD3" s="17">
        <v>0.04</v>
      </c>
      <c r="FE3" s="17">
        <v>4.4999999999999998E-2</v>
      </c>
      <c r="FF3" s="17">
        <v>0.05</v>
      </c>
      <c r="FG3" s="17">
        <v>5.5E-2</v>
      </c>
      <c r="FH3" s="17">
        <v>0.06</v>
      </c>
      <c r="FI3" s="17">
        <v>6.5000000000000002E-2</v>
      </c>
      <c r="FJ3" s="17">
        <v>7.0000000000000007E-2</v>
      </c>
      <c r="FK3" s="17">
        <v>7.4999999999999997E-2</v>
      </c>
      <c r="FL3" s="17">
        <v>0.08</v>
      </c>
      <c r="FM3" s="17">
        <v>8.5000000000000006E-2</v>
      </c>
      <c r="FN3" s="17">
        <v>0.09</v>
      </c>
      <c r="FO3" s="17">
        <v>9.5000000000000001E-2</v>
      </c>
      <c r="FP3" s="17">
        <v>0.1</v>
      </c>
      <c r="FQ3" s="17">
        <v>0.105</v>
      </c>
      <c r="FR3" s="17">
        <v>0.11</v>
      </c>
      <c r="FS3" s="17">
        <v>0.115</v>
      </c>
      <c r="FT3" s="17">
        <v>0.12</v>
      </c>
      <c r="FU3" s="17">
        <v>0.125</v>
      </c>
      <c r="FV3" s="17">
        <v>0.13</v>
      </c>
      <c r="FW3" s="17">
        <v>0.13500000000000001</v>
      </c>
      <c r="FX3" s="17">
        <v>0.14000000000000001</v>
      </c>
      <c r="FY3" s="17">
        <v>0.14499999999999999</v>
      </c>
      <c r="FZ3" s="17">
        <v>0.15</v>
      </c>
      <c r="GA3" s="17">
        <v>0.155</v>
      </c>
      <c r="GB3" s="17">
        <v>0.16</v>
      </c>
      <c r="GC3" s="17">
        <v>0.16500000000000001</v>
      </c>
      <c r="GD3" s="17">
        <v>0.17</v>
      </c>
      <c r="GE3" s="17">
        <v>0.17499999999999999</v>
      </c>
      <c r="GF3" s="17">
        <v>0.18</v>
      </c>
      <c r="GG3" s="17">
        <v>0.185</v>
      </c>
      <c r="GH3" s="17">
        <v>0.19</v>
      </c>
      <c r="GI3" s="17">
        <v>0.19500000000000001</v>
      </c>
      <c r="GJ3" s="17">
        <v>0.2</v>
      </c>
      <c r="GK3" s="17">
        <v>0.20499999999999999</v>
      </c>
      <c r="GL3" s="17">
        <v>0.21</v>
      </c>
      <c r="GM3" s="17">
        <v>0.215</v>
      </c>
      <c r="GN3" s="17">
        <v>0.22</v>
      </c>
      <c r="GO3" s="17">
        <v>0.22500000000000001</v>
      </c>
      <c r="GP3" s="17">
        <v>0.23</v>
      </c>
      <c r="GQ3" s="17">
        <v>0.23499999999999999</v>
      </c>
      <c r="GR3" s="17">
        <v>0.24</v>
      </c>
      <c r="GS3" s="17">
        <v>0.245</v>
      </c>
      <c r="GT3" s="17">
        <v>0.25</v>
      </c>
      <c r="GU3" s="17">
        <v>0.255</v>
      </c>
      <c r="GV3" s="17">
        <v>0.26</v>
      </c>
      <c r="GW3" s="17">
        <v>0.26500000000000001</v>
      </c>
      <c r="GX3" s="17">
        <v>0.27</v>
      </c>
      <c r="GY3" s="17">
        <v>0.27500000000000002</v>
      </c>
      <c r="GZ3" s="17">
        <v>0.28000000000000003</v>
      </c>
      <c r="HA3" s="17">
        <v>0.28499999999999998</v>
      </c>
      <c r="HB3" s="17">
        <v>0.28999999999999998</v>
      </c>
      <c r="HC3" s="17">
        <v>0.29499999999999998</v>
      </c>
      <c r="HD3" s="17">
        <v>0.3</v>
      </c>
      <c r="HE3" s="17">
        <v>0.30499999999999999</v>
      </c>
      <c r="HF3" s="17">
        <v>0.31</v>
      </c>
      <c r="HG3" s="17">
        <v>0.315</v>
      </c>
      <c r="HH3" s="17">
        <v>0.32</v>
      </c>
      <c r="HI3" s="17">
        <v>0.32500000000000001</v>
      </c>
      <c r="HJ3" s="17">
        <v>0.33</v>
      </c>
      <c r="HK3" s="17">
        <v>0.33500000000000002</v>
      </c>
      <c r="HL3" s="17">
        <v>0.34</v>
      </c>
      <c r="HM3" s="17">
        <v>0.34499999999999997</v>
      </c>
      <c r="HN3" s="17">
        <v>0.35</v>
      </c>
      <c r="HO3" s="17">
        <v>0.35499999999999998</v>
      </c>
      <c r="HP3" s="17">
        <v>0.36</v>
      </c>
      <c r="HQ3" s="17">
        <v>0.36499999999999999</v>
      </c>
      <c r="HR3" s="17">
        <v>0.37</v>
      </c>
      <c r="HS3" s="17">
        <v>0.375</v>
      </c>
      <c r="HT3" s="17">
        <v>0.38</v>
      </c>
      <c r="HU3" s="17">
        <v>0.38500000000000001</v>
      </c>
      <c r="HV3" s="17">
        <v>0.39</v>
      </c>
      <c r="HW3" s="17">
        <v>0.39500000000000002</v>
      </c>
      <c r="HX3" s="17">
        <v>0.4</v>
      </c>
      <c r="HY3" s="17">
        <v>0.40500000000000003</v>
      </c>
      <c r="HZ3" s="17">
        <v>0.41</v>
      </c>
      <c r="IA3" s="17">
        <v>0.41499999999999998</v>
      </c>
      <c r="IB3" s="17">
        <v>0.42</v>
      </c>
      <c r="IC3" s="17">
        <v>0.42499999999999999</v>
      </c>
      <c r="ID3" s="17">
        <v>0.43</v>
      </c>
      <c r="IE3" s="17">
        <v>0.435</v>
      </c>
      <c r="IF3" s="17">
        <v>0.44</v>
      </c>
      <c r="IG3" s="17">
        <v>0.44500000000000001</v>
      </c>
      <c r="IH3" s="17">
        <v>0.45</v>
      </c>
      <c r="II3" s="17">
        <v>0.45500000000000002</v>
      </c>
      <c r="IJ3" s="17">
        <v>0.46</v>
      </c>
      <c r="IK3" s="17">
        <v>0.46500000000000002</v>
      </c>
      <c r="IL3" s="17">
        <v>0.47</v>
      </c>
      <c r="IM3" s="17">
        <v>0.47499999999999998</v>
      </c>
      <c r="IN3" s="17">
        <v>0.48</v>
      </c>
      <c r="IO3" s="17">
        <v>0.48499999999999999</v>
      </c>
      <c r="IP3" s="17">
        <v>0.49</v>
      </c>
      <c r="IQ3" s="17">
        <v>0.495</v>
      </c>
      <c r="IR3" s="17">
        <v>0.5</v>
      </c>
      <c r="IS3" s="169" t="s">
        <v>312</v>
      </c>
      <c r="IT3" s="169" t="s">
        <v>313</v>
      </c>
      <c r="IU3" s="397"/>
      <c r="IV3" s="405"/>
      <c r="IW3" s="385" t="s">
        <v>320</v>
      </c>
    </row>
    <row r="4" spans="1:266" ht="14.6" customHeight="1">
      <c r="A4" s="60" t="s">
        <v>239</v>
      </c>
      <c r="B4" s="111">
        <v>1</v>
      </c>
      <c r="C4" s="112" t="s">
        <v>16</v>
      </c>
      <c r="D4" s="113">
        <v>16111</v>
      </c>
      <c r="E4" s="113" t="s">
        <v>17</v>
      </c>
      <c r="F4" s="112" t="s">
        <v>18</v>
      </c>
      <c r="G4" s="113" t="s">
        <v>19</v>
      </c>
      <c r="H4" s="113" t="s">
        <v>19</v>
      </c>
      <c r="I4" s="113" t="s">
        <v>20</v>
      </c>
      <c r="J4" s="113" t="s">
        <v>21</v>
      </c>
      <c r="K4" s="113">
        <v>971</v>
      </c>
      <c r="L4" s="113" t="s">
        <v>22</v>
      </c>
      <c r="M4" s="113" t="s">
        <v>23</v>
      </c>
      <c r="N4" s="113" t="s">
        <v>24</v>
      </c>
      <c r="O4" s="113" t="s">
        <v>25</v>
      </c>
      <c r="P4" s="114">
        <v>54657469</v>
      </c>
      <c r="Q4" s="114" t="s">
        <v>26</v>
      </c>
      <c r="R4" s="113" t="s">
        <v>27</v>
      </c>
      <c r="S4" s="115">
        <v>4534534</v>
      </c>
      <c r="T4" s="115">
        <v>4403034520</v>
      </c>
      <c r="U4" s="115">
        <v>60744</v>
      </c>
      <c r="V4" s="115"/>
      <c r="W4" s="115">
        <v>3250215610</v>
      </c>
      <c r="X4" s="104">
        <v>75</v>
      </c>
      <c r="Y4" s="104" t="s">
        <v>161</v>
      </c>
      <c r="Z4" s="107">
        <v>7</v>
      </c>
      <c r="AA4" s="107">
        <v>7</v>
      </c>
      <c r="AB4" s="107">
        <v>4</v>
      </c>
      <c r="AC4" s="88">
        <v>808.81</v>
      </c>
      <c r="AD4" s="88">
        <v>406.26</v>
      </c>
      <c r="AE4" s="88">
        <f>AC4+AD4</f>
        <v>1215.07</v>
      </c>
      <c r="AF4" s="89">
        <f>'Цены,перевалка,аренда'!$C$26*SUM(Уголь_эластика_экспорт!Z4+Уголь_эластика_экспорт!AA4+Уголь_эластика_экспорт!AB4)/Уголь_эластика_экспорт!X4</f>
        <v>240</v>
      </c>
      <c r="AG4" s="90">
        <f>SUMIF('Цены,перевалка,аренда'!$A$20:$A$22,Уголь_эластика_экспорт!$O4,'Цены,перевалка,аренда'!$D$20:$D$22)</f>
        <v>763.05499999999995</v>
      </c>
      <c r="AH4" s="47"/>
      <c r="AI4" s="91">
        <v>5018</v>
      </c>
      <c r="AJ4" s="92">
        <f>SUMIF('Цены,перевалка,аренда'!$A$5:$A$17,Уголь_эластика_экспорт!A4,'Цены,перевалка,аренда'!$D$5:$D$17)</f>
        <v>8546.2160000000003</v>
      </c>
      <c r="AK4" s="47">
        <f>AJ4/'Цены,перевалка,аренда'!$C$1</f>
        <v>112.00000000000001</v>
      </c>
      <c r="AL4" s="47">
        <f>AE4+AF4+AG4</f>
        <v>2218.125</v>
      </c>
      <c r="AM4" s="47">
        <f>AJ4-AL4</f>
        <v>6328.0910000000003</v>
      </c>
      <c r="AN4" s="47">
        <f>AI4+AH4+AG4+AF4+AE4</f>
        <v>7236.125</v>
      </c>
      <c r="AO4" s="93">
        <f>(AJ4-AN4)/AJ4</f>
        <v>0.15329486172593815</v>
      </c>
      <c r="AP4" s="94">
        <f>AL4/AJ4</f>
        <v>0.25954469206020536</v>
      </c>
      <c r="AQ4" s="94">
        <f t="shared" ref="AQ4:AQ27" si="5">AE4/AJ4</f>
        <v>0.14217637373078329</v>
      </c>
      <c r="AR4" s="94">
        <f t="shared" ref="AR4:AR27" si="6">AE4/AL4</f>
        <v>0.54779149056072129</v>
      </c>
      <c r="AS4" s="167">
        <f>IT4</f>
        <v>1</v>
      </c>
      <c r="AT4" s="173">
        <f>S4*AS4</f>
        <v>4534534</v>
      </c>
      <c r="AU4" s="96">
        <v>1</v>
      </c>
      <c r="AV4" s="93">
        <f>(AJ4-(AE4*(1+$IS$2)+AF4+AG4+AH4+AI4))/AJ4</f>
        <v>0.13623369687824419</v>
      </c>
      <c r="AW4" s="94">
        <f>(AE4*(1+$IS$2)+AF4+AG4)/AJ4</f>
        <v>0.27660585690789935</v>
      </c>
      <c r="AX4" s="94">
        <f>(AE4*(1+$IS$2))/AJ4</f>
        <v>0.15923753857847731</v>
      </c>
      <c r="AY4" s="94">
        <f>(AE4*(1+$IS$2))/(AE4*(1+$IS$2)+AF4+AG4)</f>
        <v>0.57568390040091655</v>
      </c>
      <c r="AZ4" s="102">
        <f>MIN(IF($AU4=100%,1,1+VLOOKUP(($AJ4-$AI4-$AH4-$AG4-$AF4-$AE4*(1+AZ$3))/$AJ4,Уголь_коэфф!$A:$B,2,1)-VLOOKUP($AO4,Уголь_коэфф!$A:$B,2,1)),1+(1-$AU4))</f>
        <v>1</v>
      </c>
      <c r="BA4" s="102">
        <f>MIN(IF($AU4=100%,1,1+VLOOKUP(($AJ4-$AI4-$AH4-$AG4-$AF4-$AE4*(1+BA$3))/$AJ4,Уголь_коэфф!$A:$B,2,1)-VLOOKUP($AO4,Уголь_коэфф!$A:$B,2,1)),1+(1-$AU4))</f>
        <v>1</v>
      </c>
      <c r="BB4" s="102">
        <f>MIN(IF($AU4=100%,1,1+VLOOKUP(($AJ4-$AI4-$AH4-$AG4-$AF4-$AE4*(1+BB$3))/$AJ4,Уголь_коэфф!$A:$B,2,1)-VLOOKUP($AO4,Уголь_коэфф!$A:$B,2,1)),1+(1-$AU4))</f>
        <v>1</v>
      </c>
      <c r="BC4" s="102">
        <f>MIN(IF($AU4=100%,1,1+VLOOKUP(($AJ4-$AI4-$AH4-$AG4-$AF4-$AE4*(1+BC$3))/$AJ4,Уголь_коэфф!$A:$B,2,1)-VLOOKUP($AO4,Уголь_коэфф!$A:$B,2,1)),1+(1-$AU4))</f>
        <v>1</v>
      </c>
      <c r="BD4" s="102">
        <f>MIN(IF($AU4=100%,1,1+VLOOKUP(($AJ4-$AI4-$AH4-$AG4-$AF4-$AE4*(1+BD$3))/$AJ4,Уголь_коэфф!$A:$B,2,1)-VLOOKUP($AO4,Уголь_коэфф!$A:$B,2,1)),1+(1-$AU4))</f>
        <v>1</v>
      </c>
      <c r="BE4" s="102">
        <f>MIN(IF($AU4=100%,1,1+VLOOKUP(($AJ4-$AI4-$AH4-$AG4-$AF4-$AE4*(1+BE$3))/$AJ4,Уголь_коэфф!$A:$B,2,1)-VLOOKUP($AO4,Уголь_коэфф!$A:$B,2,1)),1+(1-$AU4))</f>
        <v>1</v>
      </c>
      <c r="BF4" s="102">
        <f>MIN(IF($AU4=100%,1,1+VLOOKUP(($AJ4-$AI4-$AH4-$AG4-$AF4-$AE4*(1+BF$3))/$AJ4,Уголь_коэфф!$A:$B,2,1)-VLOOKUP($AO4,Уголь_коэфф!$A:$B,2,1)),1+(1-$AU4))</f>
        <v>1</v>
      </c>
      <c r="BG4" s="102">
        <f>MIN(IF($AU4=100%,1,1+VLOOKUP(($AJ4-$AI4-$AH4-$AG4-$AF4-$AE4*(1+BG$3))/$AJ4,Уголь_коэфф!$A:$B,2,1)-VLOOKUP($AO4,Уголь_коэфф!$A:$B,2,1)),1+(1-$AU4))</f>
        <v>1</v>
      </c>
      <c r="BH4" s="102">
        <f>MIN(IF($AU4=100%,1,1+VLOOKUP(($AJ4-$AI4-$AH4-$AG4-$AF4-$AE4*(1+BH$3))/$AJ4,Уголь_коэфф!$A:$B,2,1)-VLOOKUP($AO4,Уголь_коэфф!$A:$B,2,1)),1+(1-$AU4))</f>
        <v>1</v>
      </c>
      <c r="BI4" s="102">
        <f>MIN(IF($AU4=100%,1,1+VLOOKUP(($AJ4-$AI4-$AH4-$AG4-$AF4-$AE4*(1+BI$3))/$AJ4,Уголь_коэфф!$A:$B,2,1)-VLOOKUP($AO4,Уголь_коэфф!$A:$B,2,1)),1+(1-$AU4))</f>
        <v>1</v>
      </c>
      <c r="BJ4" s="102">
        <f>MIN(IF($AU4=100%,1,1+VLOOKUP(($AJ4-$AI4-$AH4-$AG4-$AF4-$AE4*(1+BJ$3))/$AJ4,Уголь_коэфф!$A:$B,2,1)-VLOOKUP($AO4,Уголь_коэфф!$A:$B,2,1)),1+(1-$AU4))</f>
        <v>1</v>
      </c>
      <c r="BK4" s="102">
        <f>MIN(IF($AU4=100%,1,1+VLOOKUP(($AJ4-$AI4-$AH4-$AG4-$AF4-$AE4*(1+BK$3))/$AJ4,Уголь_коэфф!$A:$B,2,1)-VLOOKUP($AO4,Уголь_коэфф!$A:$B,2,1)),1+(1-$AU4))</f>
        <v>1</v>
      </c>
      <c r="BL4" s="102">
        <f>MIN(IF($AU4=100%,1,1+VLOOKUP(($AJ4-$AI4-$AH4-$AG4-$AF4-$AE4*(1+BL$3))/$AJ4,Уголь_коэфф!$A:$B,2,1)-VLOOKUP($AO4,Уголь_коэфф!$A:$B,2,1)),1+(1-$AU4))</f>
        <v>1</v>
      </c>
      <c r="BM4" s="102">
        <f>MIN(IF($AU4=100%,1,1+VLOOKUP(($AJ4-$AI4-$AH4-$AG4-$AF4-$AE4*(1+BM$3))/$AJ4,Уголь_коэфф!$A:$B,2,1)-VLOOKUP($AO4,Уголь_коэфф!$A:$B,2,1)),1+(1-$AU4))</f>
        <v>1</v>
      </c>
      <c r="BN4" s="102">
        <f>MIN(IF($AU4=100%,1,1+VLOOKUP(($AJ4-$AI4-$AH4-$AG4-$AF4-$AE4*(1+BN$3))/$AJ4,Уголь_коэфф!$A:$B,2,1)-VLOOKUP($AO4,Уголь_коэфф!$A:$B,2,1)),1+(1-$AU4))</f>
        <v>1</v>
      </c>
      <c r="BO4" s="102">
        <f>MIN(IF($AU4=100%,1,1+VLOOKUP(($AJ4-$AI4-$AH4-$AG4-$AF4-$AE4*(1+BO$3))/$AJ4,Уголь_коэфф!$A:$B,2,1)-VLOOKUP($AO4,Уголь_коэфф!$A:$B,2,1)),1+(1-$AU4))</f>
        <v>1</v>
      </c>
      <c r="BP4" s="102">
        <f>MIN(IF($AU4=100%,1,1+VLOOKUP(($AJ4-$AI4-$AH4-$AG4-$AF4-$AE4*(1+BP$3))/$AJ4,Уголь_коэфф!$A:$B,2,1)-VLOOKUP($AO4,Уголь_коэфф!$A:$B,2,1)),1+(1-$AU4))</f>
        <v>1</v>
      </c>
      <c r="BQ4" s="102">
        <f>MIN(IF($AU4=100%,1,1+VLOOKUP(($AJ4-$AI4-$AH4-$AG4-$AF4-$AE4*(1+BQ$3))/$AJ4,Уголь_коэфф!$A:$B,2,1)-VLOOKUP($AO4,Уголь_коэфф!$A:$B,2,1)),1+(1-$AU4))</f>
        <v>1</v>
      </c>
      <c r="BR4" s="102">
        <f>MIN(IF($AU4=100%,1,1+VLOOKUP(($AJ4-$AI4-$AH4-$AG4-$AF4-$AE4*(1+BR$3))/$AJ4,Уголь_коэфф!$A:$B,2,1)-VLOOKUP($AO4,Уголь_коэфф!$A:$B,2,1)),1+(1-$AU4))</f>
        <v>1</v>
      </c>
      <c r="BS4" s="102">
        <f>MIN(IF($AU4=100%,1,1+VLOOKUP(($AJ4-$AI4-$AH4-$AG4-$AF4-$AE4*(1+BS$3))/$AJ4,Уголь_коэфф!$A:$B,2,1)-VLOOKUP($AO4,Уголь_коэфф!$A:$B,2,1)),1+(1-$AU4))</f>
        <v>1</v>
      </c>
      <c r="BT4" s="102">
        <f>MIN(IF($AU4=100%,1,1+VLOOKUP(($AJ4-$AI4-$AH4-$AG4-$AF4-$AE4*(1+BT$3))/$AJ4,Уголь_коэфф!$A:$B,2,1)-VLOOKUP($AO4,Уголь_коэфф!$A:$B,2,1)),1+(1-$AU4))</f>
        <v>1</v>
      </c>
      <c r="BU4" s="102">
        <f>MIN(IF($AU4=100%,1,1+VLOOKUP(($AJ4-$AI4-$AH4-$AG4-$AF4-$AE4*(1+BU$3))/$AJ4,Уголь_коэфф!$A:$B,2,1)-VLOOKUP($AO4,Уголь_коэфф!$A:$B,2,1)),1+(1-$AU4))</f>
        <v>1</v>
      </c>
      <c r="BV4" s="102">
        <f>MIN(IF($AU4=100%,1,1+VLOOKUP(($AJ4-$AI4-$AH4-$AG4-$AF4-$AE4*(1+BV$3))/$AJ4,Уголь_коэфф!$A:$B,2,1)-VLOOKUP($AO4,Уголь_коэфф!$A:$B,2,1)),1+(1-$AU4))</f>
        <v>1</v>
      </c>
      <c r="BW4" s="102">
        <f>MIN(IF($AU4=100%,1,1+VLOOKUP(($AJ4-$AI4-$AH4-$AG4-$AF4-$AE4*(1+BW$3))/$AJ4,Уголь_коэфф!$A:$B,2,1)-VLOOKUP($AO4,Уголь_коэфф!$A:$B,2,1)),1+(1-$AU4))</f>
        <v>1</v>
      </c>
      <c r="BX4" s="102">
        <f>MIN(IF($AU4=100%,1,1+VLOOKUP(($AJ4-$AI4-$AH4-$AG4-$AF4-$AE4*(1+BX$3))/$AJ4,Уголь_коэфф!$A:$B,2,1)-VLOOKUP($AO4,Уголь_коэфф!$A:$B,2,1)),1+(1-$AU4))</f>
        <v>1</v>
      </c>
      <c r="BY4" s="102">
        <f>MIN(IF($AU4=100%,1,1+VLOOKUP(($AJ4-$AI4-$AH4-$AG4-$AF4-$AE4*(1+BY$3))/$AJ4,Уголь_коэфф!$A:$B,2,1)-VLOOKUP($AO4,Уголь_коэфф!$A:$B,2,1)),1+(1-$AU4))</f>
        <v>1</v>
      </c>
      <c r="BZ4" s="102">
        <f>MIN(IF($AU4=100%,1,1+VLOOKUP(($AJ4-$AI4-$AH4-$AG4-$AF4-$AE4*(1+BZ$3))/$AJ4,Уголь_коэфф!$A:$B,2,1)-VLOOKUP($AO4,Уголь_коэфф!$A:$B,2,1)),1+(1-$AU4))</f>
        <v>1</v>
      </c>
      <c r="CA4" s="102">
        <f>MIN(IF($AU4=100%,1,1+VLOOKUP(($AJ4-$AI4-$AH4-$AG4-$AF4-$AE4*(1+CA$3))/$AJ4,Уголь_коэфф!$A:$B,2,1)-VLOOKUP($AO4,Уголь_коэфф!$A:$B,2,1)),1+(1-$AU4))</f>
        <v>1</v>
      </c>
      <c r="CB4" s="102">
        <f>MIN(IF($AU4=100%,1,1+VLOOKUP(($AJ4-$AI4-$AH4-$AG4-$AF4-$AE4*(1+CB$3))/$AJ4,Уголь_коэфф!$A:$B,2,1)-VLOOKUP($AO4,Уголь_коэфф!$A:$B,2,1)),1+(1-$AU4))</f>
        <v>1</v>
      </c>
      <c r="CC4" s="102">
        <f>MIN(IF($AU4=100%,1,1+VLOOKUP(($AJ4-$AI4-$AH4-$AG4-$AF4-$AE4*(1+CC$3))/$AJ4,Уголь_коэфф!$A:$B,2,1)-VLOOKUP($AO4,Уголь_коэфф!$A:$B,2,1)),1+(1-$AU4))</f>
        <v>1</v>
      </c>
      <c r="CD4" s="102">
        <f>MIN(IF($AU4=100%,1,1+VLOOKUP(($AJ4-$AI4-$AH4-$AG4-$AF4-$AE4*(1+CD$3))/$AJ4,Уголь_коэфф!$A:$B,2,1)-VLOOKUP($AO4,Уголь_коэфф!$A:$B,2,1)),1+(1-$AU4))</f>
        <v>1</v>
      </c>
      <c r="CE4" s="102">
        <f>MIN(IF($AU4=100%,1,1+VLOOKUP(($AJ4-$AI4-$AH4-$AG4-$AF4-$AE4*(1+CE$3))/$AJ4,Уголь_коэфф!$A:$B,2,1)-VLOOKUP($AO4,Уголь_коэфф!$A:$B,2,1)),1+(1-$AU4))</f>
        <v>1</v>
      </c>
      <c r="CF4" s="102">
        <f>MIN(IF($AU4=100%,1,1+VLOOKUP(($AJ4-$AI4-$AH4-$AG4-$AF4-$AE4*(1+CF$3))/$AJ4,Уголь_коэфф!$A:$B,2,1)-VLOOKUP($AO4,Уголь_коэфф!$A:$B,2,1)),1+(1-$AU4))</f>
        <v>1</v>
      </c>
      <c r="CG4" s="102">
        <f>MIN(IF($AU4=100%,1,1+VLOOKUP(($AJ4-$AI4-$AH4-$AG4-$AF4-$AE4*(1+CG$3))/$AJ4,Уголь_коэфф!$A:$B,2,1)-VLOOKUP($AO4,Уголь_коэфф!$A:$B,2,1)),1+(1-$AU4))</f>
        <v>1</v>
      </c>
      <c r="CH4" s="102">
        <f>MIN(IF($AU4=100%,1,1+VLOOKUP(($AJ4-$AI4-$AH4-$AG4-$AF4-$AE4*(1+CH$3))/$AJ4,Уголь_коэфф!$A:$B,2,1)-VLOOKUP($AO4,Уголь_коэфф!$A:$B,2,1)),1+(1-$AU4))</f>
        <v>1</v>
      </c>
      <c r="CI4" s="102">
        <f>MIN(IF($AU4=100%,1,1+VLOOKUP(($AJ4-$AI4-$AH4-$AG4-$AF4-$AE4*(1+CI$3))/$AJ4,Уголь_коэфф!$A:$B,2,1)-VLOOKUP($AO4,Уголь_коэфф!$A:$B,2,1)),1+(1-$AU4))</f>
        <v>1</v>
      </c>
      <c r="CJ4" s="102">
        <f>MIN(IF($AU4=100%,1,1+VLOOKUP(($AJ4-$AI4-$AH4-$AG4-$AF4-$AE4*(1+CJ$3))/$AJ4,Уголь_коэфф!$A:$B,2,1)-VLOOKUP($AO4,Уголь_коэфф!$A:$B,2,1)),1+(1-$AU4))</f>
        <v>1</v>
      </c>
      <c r="CK4" s="102">
        <f>MIN(IF($AU4=100%,1,1+VLOOKUP(($AJ4-$AI4-$AH4-$AG4-$AF4-$AE4*(1+CK$3))/$AJ4,Уголь_коэфф!$A:$B,2,1)-VLOOKUP($AO4,Уголь_коэфф!$A:$B,2,1)),1+(1-$AU4))</f>
        <v>1</v>
      </c>
      <c r="CL4" s="102">
        <f>MIN(IF($AU4=100%,1,1+VLOOKUP(($AJ4-$AI4-$AH4-$AG4-$AF4-$AE4*(1+CL$3))/$AJ4,Уголь_коэфф!$A:$B,2,1)-VLOOKUP($AO4,Уголь_коэфф!$A:$B,2,1)),1+(1-$AU4))</f>
        <v>1</v>
      </c>
      <c r="CM4" s="102">
        <f>MIN(IF($AU4=100%,1,1+VLOOKUP(($AJ4-$AI4-$AH4-$AG4-$AF4-$AE4*(1+CM$3))/$AJ4,Уголь_коэфф!$A:$B,2,1)-VLOOKUP($AO4,Уголь_коэфф!$A:$B,2,1)),1+(1-$AU4))</f>
        <v>1</v>
      </c>
      <c r="CN4" s="102">
        <f>MIN(IF($AU4=100%,1,1+VLOOKUP(($AJ4-$AI4-$AH4-$AG4-$AF4-$AE4*(1+CN$3))/$AJ4,Уголь_коэфф!$A:$B,2,1)-VLOOKUP($AO4,Уголь_коэфф!$A:$B,2,1)),1+(1-$AU4))</f>
        <v>1</v>
      </c>
      <c r="CO4" s="102">
        <f>MIN(IF($AU4=100%,1,1+VLOOKUP(($AJ4-$AI4-$AH4-$AG4-$AF4-$AE4*(1+CO$3))/$AJ4,Уголь_коэфф!$A:$B,2,1)-VLOOKUP($AO4,Уголь_коэфф!$A:$B,2,1)),1+(1-$AU4))</f>
        <v>1</v>
      </c>
      <c r="CP4" s="102">
        <f>MIN(IF($AU4=100%,1,1+VLOOKUP(($AJ4-$AI4-$AH4-$AG4-$AF4-$AE4*(1+CP$3))/$AJ4,Уголь_коэфф!$A:$B,2,1)-VLOOKUP($AO4,Уголь_коэфф!$A:$B,2,1)),1+(1-$AU4))</f>
        <v>1</v>
      </c>
      <c r="CQ4" s="102">
        <f>MIN(IF($AU4=100%,1,1+VLOOKUP(($AJ4-$AI4-$AH4-$AG4-$AF4-$AE4*(1+CQ$3))/$AJ4,Уголь_коэфф!$A:$B,2,1)-VLOOKUP($AO4,Уголь_коэфф!$A:$B,2,1)),1+(1-$AU4))</f>
        <v>1</v>
      </c>
      <c r="CR4" s="102">
        <f>MIN(IF($AU4=100%,1,1+VLOOKUP(($AJ4-$AI4-$AH4-$AG4-$AF4-$AE4*(1+CR$3))/$AJ4,Уголь_коэфф!$A:$B,2,1)-VLOOKUP($AO4,Уголь_коэфф!$A:$B,2,1)),1+(1-$AU4))</f>
        <v>1</v>
      </c>
      <c r="CS4" s="102">
        <f>MIN(IF($AU4=100%,1,1+VLOOKUP(($AJ4-$AI4-$AH4-$AG4-$AF4-$AE4*(1+CS$3))/$AJ4,Уголь_коэфф!$A:$B,2,1)-VLOOKUP($AO4,Уголь_коэфф!$A:$B,2,1)),1+(1-$AU4))</f>
        <v>1</v>
      </c>
      <c r="CT4" s="102">
        <f>MIN(IF($AU4=100%,1,1+VLOOKUP(($AJ4-$AI4-$AH4-$AG4-$AF4-$AE4*(1+CT$3))/$AJ4,Уголь_коэфф!$A:$B,2,1)-VLOOKUP($AO4,Уголь_коэфф!$A:$B,2,1)),1+(1-$AU4))</f>
        <v>1</v>
      </c>
      <c r="CU4" s="102">
        <f>MIN(IF($AU4=100%,1,1+VLOOKUP(($AJ4-$AI4-$AH4-$AG4-$AF4-$AE4*(1+CU$3))/$AJ4,Уголь_коэфф!$A:$B,2,1)-VLOOKUP($AO4,Уголь_коэфф!$A:$B,2,1)),1+(1-$AU4))</f>
        <v>1</v>
      </c>
      <c r="CV4" s="102">
        <f>MIN(IF($AU4=100%,1,1+VLOOKUP(($AJ4-$AI4-$AH4-$AG4-$AF4-$AE4*(1+CV$3))/$AJ4,Уголь_коэфф!$A:$B,2,1)-VLOOKUP($AO4,Уголь_коэфф!$A:$B,2,1)),1+(1-$AU4))</f>
        <v>1</v>
      </c>
      <c r="CW4" s="102">
        <f>MIN(IF($AU4=100%,1,1+VLOOKUP(($AJ4-$AI4-$AH4-$AG4-$AF4-$AE4*(1+CW$3))/$AJ4,Уголь_коэфф!$A:$B,2,1)-VLOOKUP($AO4,Уголь_коэфф!$A:$B,2,1)),1+(1-$AU4))</f>
        <v>1</v>
      </c>
      <c r="CX4" s="102">
        <f>MIN(IF($AU4=100%,1,1+VLOOKUP(($AJ4-$AI4-$AH4-$AG4-$AF4-$AE4*(1+CX$3))/$AJ4,Уголь_коэфф!$A:$B,2,1)-VLOOKUP($AO4,Уголь_коэфф!$A:$B,2,1)),1+(1-$AU4))</f>
        <v>1</v>
      </c>
      <c r="CY4" s="102">
        <f>MIN(IF($AU4=100%,1,1+VLOOKUP(($AJ4-$AI4-$AH4-$AG4-$AF4-$AE4*(1+CY$3))/$AJ4,Уголь_коэфф!$A:$B,2,1)-VLOOKUP($AO4,Уголь_коэфф!$A:$B,2,1)),1+(1-$AU4))</f>
        <v>1</v>
      </c>
      <c r="CZ4" s="102">
        <f>MIN(IF($AU4=100%,1,1+VLOOKUP(($AJ4-$AI4-$AH4-$AG4-$AF4-$AE4*(1+CZ$3))/$AJ4,Уголь_коэфф!$A:$B,2,1)-VLOOKUP($AO4,Уголь_коэфф!$A:$B,2,1)),1+(1-$AU4))</f>
        <v>1</v>
      </c>
      <c r="DA4" s="102">
        <f>MIN(IF($AU4=100%,1,1+VLOOKUP(($AJ4-$AI4-$AH4-$AG4-$AF4-$AE4*(1+DA$3))/$AJ4,Уголь_коэфф!$A:$B,2,1)-VLOOKUP($AO4,Уголь_коэфф!$A:$B,2,1)),1+(1-$AU4))</f>
        <v>1</v>
      </c>
      <c r="DB4" s="102">
        <f>MIN(IF($AU4=100%,1,1+VLOOKUP(($AJ4-$AI4-$AH4-$AG4-$AF4-$AE4*(1+DB$3))/$AJ4,Уголь_коэфф!$A:$B,2,1)-VLOOKUP($AO4,Уголь_коэфф!$A:$B,2,1)),1+(1-$AU4))</f>
        <v>1</v>
      </c>
      <c r="DC4" s="102">
        <f>MIN(IF($AU4=100%,1,1+VLOOKUP(($AJ4-$AI4-$AH4-$AG4-$AF4-$AE4*(1+DC$3))/$AJ4,Уголь_коэфф!$A:$B,2,1)-VLOOKUP($AO4,Уголь_коэфф!$A:$B,2,1)),1+(1-$AU4))</f>
        <v>1</v>
      </c>
      <c r="DD4" s="102">
        <f>MIN(IF($AU4=100%,1,1+VLOOKUP(($AJ4-$AI4-$AH4-$AG4-$AF4-$AE4*(1+DD$3))/$AJ4,Уголь_коэфф!$A:$B,2,1)-VLOOKUP($AO4,Уголь_коэфф!$A:$B,2,1)),1+(1-$AU4))</f>
        <v>1</v>
      </c>
      <c r="DE4" s="102">
        <f>MIN(IF($AU4=100%,1,1+VLOOKUP(($AJ4-$AI4-$AH4-$AG4-$AF4-$AE4*(1+DE$3))/$AJ4,Уголь_коэфф!$A:$B,2,1)-VLOOKUP($AO4,Уголь_коэфф!$A:$B,2,1)),1+(1-$AU4))</f>
        <v>1</v>
      </c>
      <c r="DF4" s="102">
        <f>MIN(IF($AU4=100%,1,1+VLOOKUP(($AJ4-$AI4-$AH4-$AG4-$AF4-$AE4*(1+DF$3))/$AJ4,Уголь_коэфф!$A:$B,2,1)-VLOOKUP($AO4,Уголь_коэфф!$A:$B,2,1)),1+(1-$AU4))</f>
        <v>1</v>
      </c>
      <c r="DG4" s="102">
        <f>MIN(IF($AU4=100%,1,1+VLOOKUP(($AJ4-$AI4-$AH4-$AG4-$AF4-$AE4*(1+DG$3))/$AJ4,Уголь_коэфф!$A:$B,2,1)-VLOOKUP($AO4,Уголь_коэфф!$A:$B,2,1)),1+(1-$AU4))</f>
        <v>1</v>
      </c>
      <c r="DH4" s="102">
        <f>MIN(IF($AU4=100%,1,1+VLOOKUP(($AJ4-$AI4-$AH4-$AG4-$AF4-$AE4*(1+DH$3))/$AJ4,Уголь_коэфф!$A:$B,2,1)-VLOOKUP($AO4,Уголь_коэфф!$A:$B,2,1)),1+(1-$AU4))</f>
        <v>1</v>
      </c>
      <c r="DI4" s="102">
        <f>MIN(IF($AU4=100%,1,1+VLOOKUP(($AJ4-$AI4-$AH4-$AG4-$AF4-$AE4*(1+DI$3))/$AJ4,Уголь_коэфф!$A:$B,2,1)-VLOOKUP($AO4,Уголь_коэфф!$A:$B,2,1)),1+(1-$AU4))</f>
        <v>1</v>
      </c>
      <c r="DJ4" s="102">
        <f>MIN(IF($AU4=100%,1,1+VLOOKUP(($AJ4-$AI4-$AH4-$AG4-$AF4-$AE4*(1+DJ$3))/$AJ4,Уголь_коэфф!$A:$B,2,1)-VLOOKUP($AO4,Уголь_коэфф!$A:$B,2,1)),1+(1-$AU4))</f>
        <v>1</v>
      </c>
      <c r="DK4" s="102">
        <f>MIN(IF($AU4=100%,1,1+VLOOKUP(($AJ4-$AI4-$AH4-$AG4-$AF4-$AE4*(1+DK$3))/$AJ4,Уголь_коэфф!$A:$B,2,1)-VLOOKUP($AO4,Уголь_коэфф!$A:$B,2,1)),1+(1-$AU4))</f>
        <v>1</v>
      </c>
      <c r="DL4" s="102">
        <f>MIN(IF($AU4=100%,1,1+VLOOKUP(($AJ4-$AI4-$AH4-$AG4-$AF4-$AE4*(1+DL$3))/$AJ4,Уголь_коэфф!$A:$B,2,1)-VLOOKUP($AO4,Уголь_коэфф!$A:$B,2,1)),1+(1-$AU4))</f>
        <v>1</v>
      </c>
      <c r="DM4" s="102">
        <f>MIN(IF($AU4=100%,1,1+VLOOKUP(($AJ4-$AI4-$AH4-$AG4-$AF4-$AE4*(1+DM$3))/$AJ4,Уголь_коэфф!$A:$B,2,1)-VLOOKUP($AO4,Уголь_коэфф!$A:$B,2,1)),1+(1-$AU4))</f>
        <v>1</v>
      </c>
      <c r="DN4" s="102">
        <f>MIN(IF($AU4=100%,1,1+VLOOKUP(($AJ4-$AI4-$AH4-$AG4-$AF4-$AE4*(1+DN$3))/$AJ4,Уголь_коэфф!$A:$B,2,1)-VLOOKUP($AO4,Уголь_коэфф!$A:$B,2,1)),1+(1-$AU4))</f>
        <v>1</v>
      </c>
      <c r="DO4" s="102">
        <f>MIN(IF($AU4=100%,1,1+VLOOKUP(($AJ4-$AI4-$AH4-$AG4-$AF4-$AE4*(1+DO$3))/$AJ4,Уголь_коэфф!$A:$B,2,1)-VLOOKUP($AO4,Уголь_коэфф!$A:$B,2,1)),1+(1-$AU4))</f>
        <v>1</v>
      </c>
      <c r="DP4" s="102">
        <f>MIN(IF($AU4=100%,1,1+VLOOKUP(($AJ4-$AI4-$AH4-$AG4-$AF4-$AE4*(1+DP$3))/$AJ4,Уголь_коэфф!$A:$B,2,1)-VLOOKUP($AO4,Уголь_коэфф!$A:$B,2,1)),1+(1-$AU4))</f>
        <v>1</v>
      </c>
      <c r="DQ4" s="102">
        <f>MIN(IF($AU4=100%,1,1+VLOOKUP(($AJ4-$AI4-$AH4-$AG4-$AF4-$AE4*(1+DQ$3))/$AJ4,Уголь_коэфф!$A:$B,2,1)-VLOOKUP($AO4,Уголь_коэфф!$A:$B,2,1)),1+(1-$AU4))</f>
        <v>1</v>
      </c>
      <c r="DR4" s="102">
        <f>MIN(IF($AU4=100%,1,1+VLOOKUP(($AJ4-$AI4-$AH4-$AG4-$AF4-$AE4*(1+DR$3))/$AJ4,Уголь_коэфф!$A:$B,2,1)-VLOOKUP($AO4,Уголь_коэфф!$A:$B,2,1)),1+(1-$AU4))</f>
        <v>1</v>
      </c>
      <c r="DS4" s="102">
        <f>MIN(IF($AU4=100%,1,1+VLOOKUP(($AJ4-$AI4-$AH4-$AG4-$AF4-$AE4*(1+DS$3))/$AJ4,Уголь_коэфф!$A:$B,2,1)-VLOOKUP($AO4,Уголь_коэфф!$A:$B,2,1)),1+(1-$AU4))</f>
        <v>1</v>
      </c>
      <c r="DT4" s="102">
        <f>MIN(IF($AU4=100%,1,1+VLOOKUP(($AJ4-$AI4-$AH4-$AG4-$AF4-$AE4*(1+DT$3))/$AJ4,Уголь_коэфф!$A:$B,2,1)-VLOOKUP($AO4,Уголь_коэфф!$A:$B,2,1)),1+(1-$AU4))</f>
        <v>1</v>
      </c>
      <c r="DU4" s="102">
        <f>MIN(IF($AU4=100%,1,1+VLOOKUP(($AJ4-$AI4-$AH4-$AG4-$AF4-$AE4*(1+DU$3))/$AJ4,Уголь_коэфф!$A:$B,2,1)-VLOOKUP($AO4,Уголь_коэфф!$A:$B,2,1)),1+(1-$AU4))</f>
        <v>1</v>
      </c>
      <c r="DV4" s="102">
        <f>MIN(IF($AU4=100%,1,1+VLOOKUP(($AJ4-$AI4-$AH4-$AG4-$AF4-$AE4*(1+DV$3))/$AJ4,Уголь_коэфф!$A:$B,2,1)-VLOOKUP($AO4,Уголь_коэфф!$A:$B,2,1)),1+(1-$AU4))</f>
        <v>1</v>
      </c>
      <c r="DW4" s="102">
        <f>MIN(IF($AU4=100%,1,1+VLOOKUP(($AJ4-$AI4-$AH4-$AG4-$AF4-$AE4*(1+DW$3))/$AJ4,Уголь_коэфф!$A:$B,2,1)-VLOOKUP($AO4,Уголь_коэфф!$A:$B,2,1)),1+(1-$AU4))</f>
        <v>1</v>
      </c>
      <c r="DX4" s="102">
        <f>MIN(IF($AU4=100%,1,1+VLOOKUP(($AJ4-$AI4-$AH4-$AG4-$AF4-$AE4*(1+DX$3))/$AJ4,Уголь_коэфф!$A:$B,2,1)-VLOOKUP($AO4,Уголь_коэфф!$A:$B,2,1)),1+(1-$AU4))</f>
        <v>1</v>
      </c>
      <c r="DY4" s="102">
        <f>MIN(IF($AU4=100%,1,1+VLOOKUP(($AJ4-$AI4-$AH4-$AG4-$AF4-$AE4*(1+DY$3))/$AJ4,Уголь_коэфф!$A:$B,2,1)-VLOOKUP($AO4,Уголь_коэфф!$A:$B,2,1)),1+(1-$AU4))</f>
        <v>1</v>
      </c>
      <c r="DZ4" s="102">
        <f>MIN(IF($AU4=100%,1,1+VLOOKUP(($AJ4-$AI4-$AH4-$AG4-$AF4-$AE4*(1+DZ$3))/$AJ4,Уголь_коэфф!$A:$B,2,1)-VLOOKUP($AO4,Уголь_коэфф!$A:$B,2,1)),1+(1-$AU4))</f>
        <v>1</v>
      </c>
      <c r="EA4" s="102">
        <f>MIN(IF($AU4=100%,1,1+VLOOKUP(($AJ4-$AI4-$AH4-$AG4-$AF4-$AE4*(1+EA$3))/$AJ4,Уголь_коэфф!$A:$B,2,1)-VLOOKUP($AO4,Уголь_коэфф!$A:$B,2,1)),1+(1-$AU4))</f>
        <v>1</v>
      </c>
      <c r="EB4" s="102">
        <f>MIN(IF($AU4=100%,1,1+VLOOKUP(($AJ4-$AI4-$AH4-$AG4-$AF4-$AE4*(1+EB$3))/$AJ4,Уголь_коэфф!$A:$B,2,1)-VLOOKUP($AO4,Уголь_коэфф!$A:$B,2,1)),1+(1-$AU4))</f>
        <v>1</v>
      </c>
      <c r="EC4" s="102">
        <f>MIN(IF($AU4=100%,1,1+VLOOKUP(($AJ4-$AI4-$AH4-$AG4-$AF4-$AE4*(1+EC$3))/$AJ4,Уголь_коэфф!$A:$B,2,1)-VLOOKUP($AO4,Уголь_коэфф!$A:$B,2,1)),1+(1-$AU4))</f>
        <v>1</v>
      </c>
      <c r="ED4" s="102">
        <f>MIN(IF($AU4=100%,1,1+VLOOKUP(($AJ4-$AI4-$AH4-$AG4-$AF4-$AE4*(1+ED$3))/$AJ4,Уголь_коэфф!$A:$B,2,1)-VLOOKUP($AO4,Уголь_коэфф!$A:$B,2,1)),1+(1-$AU4))</f>
        <v>1</v>
      </c>
      <c r="EE4" s="102">
        <f>MIN(IF($AU4=100%,1,1+VLOOKUP(($AJ4-$AI4-$AH4-$AG4-$AF4-$AE4*(1+EE$3))/$AJ4,Уголь_коэфф!$A:$B,2,1)-VLOOKUP($AO4,Уголь_коэфф!$A:$B,2,1)),1+(1-$AU4))</f>
        <v>1</v>
      </c>
      <c r="EF4" s="102">
        <f>MIN(IF($AU4=100%,1,1+VLOOKUP(($AJ4-$AI4-$AH4-$AG4-$AF4-$AE4*(1+EF$3))/$AJ4,Уголь_коэфф!$A:$B,2,1)-VLOOKUP($AO4,Уголь_коэфф!$A:$B,2,1)),1+(1-$AU4))</f>
        <v>1</v>
      </c>
      <c r="EG4" s="102">
        <f>MIN(IF($AU4=100%,1,1+VLOOKUP(($AJ4-$AI4-$AH4-$AG4-$AF4-$AE4*(1+EG$3))/$AJ4,Уголь_коэфф!$A:$B,2,1)-VLOOKUP($AO4,Уголь_коэфф!$A:$B,2,1)),1+(1-$AU4))</f>
        <v>1</v>
      </c>
      <c r="EH4" s="102">
        <f>MIN(IF($AU4=100%,1,1+VLOOKUP(($AJ4-$AI4-$AH4-$AG4-$AF4-$AE4*(1+EH$3))/$AJ4,Уголь_коэфф!$A:$B,2,1)-VLOOKUP($AO4,Уголь_коэфф!$A:$B,2,1)),1+(1-$AU4))</f>
        <v>1</v>
      </c>
      <c r="EI4" s="102">
        <f>MIN(IF($AU4=100%,1,1+VLOOKUP(($AJ4-$AI4-$AH4-$AG4-$AF4-$AE4*(1+EI$3))/$AJ4,Уголь_коэфф!$A:$B,2,1)-VLOOKUP($AO4,Уголь_коэфф!$A:$B,2,1)),1+(1-$AU4))</f>
        <v>1</v>
      </c>
      <c r="EJ4" s="102">
        <f>MIN(IF($AU4=100%,1,1+VLOOKUP(($AJ4-$AI4-$AH4-$AG4-$AF4-$AE4*(1+EJ$3))/$AJ4,Уголь_коэфф!$A:$B,2,1)-VLOOKUP($AO4,Уголь_коэфф!$A:$B,2,1)),1+(1-$AU4))</f>
        <v>1</v>
      </c>
      <c r="EK4" s="102">
        <f>MIN(IF($AU4=100%,1,1+VLOOKUP(($AJ4-$AI4-$AH4-$AG4-$AF4-$AE4*(1+EK$3))/$AJ4,Уголь_коэфф!$A:$B,2,1)-VLOOKUP($AO4,Уголь_коэфф!$A:$B,2,1)),1+(1-$AU4))</f>
        <v>1</v>
      </c>
      <c r="EL4" s="102">
        <f>MIN(IF($AU4=100%,1,1+VLOOKUP(($AJ4-$AI4-$AH4-$AG4-$AF4-$AE4*(1+EL$3))/$AJ4,Уголь_коэфф!$A:$B,2,1)-VLOOKUP($AO4,Уголь_коэфф!$A:$B,2,1)),1+(1-$AU4))</f>
        <v>1</v>
      </c>
      <c r="EM4" s="102">
        <f>MIN(IF($AU4=100%,1,1+VLOOKUP(($AJ4-$AI4-$AH4-$AG4-$AF4-$AE4*(1+EM$3))/$AJ4,Уголь_коэфф!$A:$B,2,1)-VLOOKUP($AO4,Уголь_коэфф!$A:$B,2,1)),1+(1-$AU4))</f>
        <v>1</v>
      </c>
      <c r="EN4" s="102">
        <f>MIN(IF($AU4=100%,1,1+VLOOKUP(($AJ4-$AI4-$AH4-$AG4-$AF4-$AE4*(1+EN$3))/$AJ4,Уголь_коэфф!$A:$B,2,1)-VLOOKUP($AO4,Уголь_коэфф!$A:$B,2,1)),1+(1-$AU4))</f>
        <v>1</v>
      </c>
      <c r="EO4" s="102">
        <f>MIN(IF($AU4=100%,1,1+VLOOKUP(($AJ4-$AI4-$AH4-$AG4-$AF4-$AE4*(1+EO$3))/$AJ4,Уголь_коэфф!$A:$B,2,1)-VLOOKUP($AO4,Уголь_коэфф!$A:$B,2,1)),1+(1-$AU4))</f>
        <v>1</v>
      </c>
      <c r="EP4" s="102">
        <f>MIN(IF($AU4=100%,1,1+VLOOKUP(($AJ4-$AI4-$AH4-$AG4-$AF4-$AE4*(1+EP$3))/$AJ4,Уголь_коэфф!$A:$B,2,1)-VLOOKUP($AO4,Уголь_коэфф!$A:$B,2,1)),1+(1-$AU4))</f>
        <v>1</v>
      </c>
      <c r="EQ4" s="102">
        <f>MIN(IF($AU4=100%,1,1+VLOOKUP(($AJ4-$AI4-$AH4-$AG4-$AF4-$AE4*(1+EQ$3))/$AJ4,Уголь_коэфф!$A:$B,2,1)-VLOOKUP($AO4,Уголь_коэфф!$A:$B,2,1)),1+(1-$AU4))</f>
        <v>1</v>
      </c>
      <c r="ER4" s="102">
        <f>MIN(IF($AU4=100%,1,1+VLOOKUP(($AJ4-$AI4-$AH4-$AG4-$AF4-$AE4*(1+ER$3))/$AJ4,Уголь_коэфф!$A:$B,2,1)-VLOOKUP($AO4,Уголь_коэфф!$A:$B,2,1)),1+(1-$AU4))</f>
        <v>1</v>
      </c>
      <c r="ES4" s="102">
        <f>MIN(IF($AU4=100%,1,1+VLOOKUP(($AJ4-$AI4-$AH4-$AG4-$AF4-$AE4*(1+ES$3))/$AJ4,Уголь_коэфф!$A:$B,2,1)-VLOOKUP($AO4,Уголь_коэфф!$A:$B,2,1)),1+(1-$AU4))</f>
        <v>1</v>
      </c>
      <c r="ET4" s="102">
        <f>MIN(IF($AU4=100%,1,1+VLOOKUP(($AJ4-$AI4-$AH4-$AG4-$AF4-$AE4*(1+ET$3))/$AJ4,Уголь_коэфф!$A:$B,2,1)-VLOOKUP($AO4,Уголь_коэфф!$A:$B,2,1)),1+(1-$AU4))</f>
        <v>1</v>
      </c>
      <c r="EU4" s="102">
        <f>MIN(IF($AU4=100%,1,1+VLOOKUP(($AJ4-$AI4-$AH4-$AG4-$AF4-$AE4*(1+EU$3))/$AJ4,Уголь_коэфф!$A:$B,2,1)-VLOOKUP($AO4,Уголь_коэфф!$A:$B,2,1)),1+(1-$AU4))</f>
        <v>1</v>
      </c>
      <c r="EV4" s="103">
        <v>1</v>
      </c>
      <c r="EW4" s="102">
        <f>MIN(1,MAX(VLOOKUP(($AJ4-$AI4-$AH4-$AG4-$AF4-$AE4*(1+EW$3))/$AJ4,Уголь_коэфф!$A:$B,2,1),(EV4-0.05)))</f>
        <v>1</v>
      </c>
      <c r="EX4" s="102">
        <f>MIN(1,MAX(VLOOKUP(($AJ4-$AI4-$AH4-$AG4-$AF4-$AE4*(1+EX$3))/$AJ4,Уголь_коэфф!$A:$B,2,1),(EW4-0.05)))</f>
        <v>1</v>
      </c>
      <c r="EY4" s="102">
        <f>MIN(1,MAX(VLOOKUP(($AJ4-$AI4-$AH4-$AG4-$AF4-$AE4*(1+EY$3))/$AJ4,Уголь_коэфф!$A:$B,2,1),(EX4-0.05)))</f>
        <v>1</v>
      </c>
      <c r="EZ4" s="102">
        <f>MIN(1,MAX(VLOOKUP(($AJ4-$AI4-$AH4-$AG4-$AF4-$AE4*(1+EZ$3))/$AJ4,Уголь_коэфф!$A:$B,2,1),(EY4-0.05)))</f>
        <v>1</v>
      </c>
      <c r="FA4" s="102">
        <f>MIN(1,MAX(VLOOKUP(($AJ4-$AI4-$AH4-$AG4-$AF4-$AE4*(1+FA$3))/$AJ4,Уголь_коэфф!$A:$B,2,1),(EZ4-0.05)))</f>
        <v>1</v>
      </c>
      <c r="FB4" s="102">
        <f>MIN(1,MAX(VLOOKUP(($AJ4-$AI4-$AH4-$AG4-$AF4-$AE4*(1+FB$3))/$AJ4,Уголь_коэфф!$A:$B,2,1),(FA4-0.05)))</f>
        <v>1</v>
      </c>
      <c r="FC4" s="102">
        <f>MIN(1,MAX(VLOOKUP(($AJ4-$AI4-$AH4-$AG4-$AF4-$AE4*(1+FC$3))/$AJ4,Уголь_коэфф!$A:$B,2,1),(FB4-0.05)))</f>
        <v>1</v>
      </c>
      <c r="FD4" s="102">
        <f>MIN(1,MAX(VLOOKUP(($AJ4-$AI4-$AH4-$AG4-$AF4-$AE4*(1+FD$3))/$AJ4,Уголь_коэфф!$A:$B,2,1),(FC4-0.05)))</f>
        <v>1</v>
      </c>
      <c r="FE4" s="102">
        <f>MIN(1,MAX(VLOOKUP(($AJ4-$AI4-$AH4-$AG4-$AF4-$AE4*(1+FE$3))/$AJ4,Уголь_коэфф!$A:$B,2,1),(FD4-0.05)))</f>
        <v>1</v>
      </c>
      <c r="FF4" s="102">
        <f>MIN(1,MAX(VLOOKUP(($AJ4-$AI4-$AH4-$AG4-$AF4-$AE4*(1+FF$3))/$AJ4,Уголь_коэфф!$A:$B,2,1),(FE4-0.05)))</f>
        <v>1</v>
      </c>
      <c r="FG4" s="102">
        <f>MIN(1,MAX(VLOOKUP(($AJ4-$AI4-$AH4-$AG4-$AF4-$AE4*(1+FG$3))/$AJ4,Уголь_коэфф!$A:$B,2,1),(FF4-0.05)))</f>
        <v>1</v>
      </c>
      <c r="FH4" s="102">
        <f>MIN(1,MAX(VLOOKUP(($AJ4-$AI4-$AH4-$AG4-$AF4-$AE4*(1+FH$3))/$AJ4,Уголь_коэфф!$A:$B,2,1),(FG4-0.05)))</f>
        <v>1</v>
      </c>
      <c r="FI4" s="102">
        <f>MIN(1,MAX(VLOOKUP(($AJ4-$AI4-$AH4-$AG4-$AF4-$AE4*(1+FI$3))/$AJ4,Уголь_коэфф!$A:$B,2,1),(FH4-0.05)))</f>
        <v>1</v>
      </c>
      <c r="FJ4" s="102">
        <f>MIN(1,MAX(VLOOKUP(($AJ4-$AI4-$AH4-$AG4-$AF4-$AE4*(1+FJ$3))/$AJ4,Уголь_коэфф!$A:$B,2,1),(FI4-0.05)))</f>
        <v>1</v>
      </c>
      <c r="FK4" s="102">
        <f>MIN(1,MAX(VLOOKUP(($AJ4-$AI4-$AH4-$AG4-$AF4-$AE4*(1+FK$3))/$AJ4,Уголь_коэфф!$A:$B,2,1),(FJ4-0.05)))</f>
        <v>1</v>
      </c>
      <c r="FL4" s="102">
        <f>MIN(1,MAX(VLOOKUP(($AJ4-$AI4-$AH4-$AG4-$AF4-$AE4*(1+FL$3))/$AJ4,Уголь_коэфф!$A:$B,2,1),(FK4-0.05)))</f>
        <v>1</v>
      </c>
      <c r="FM4" s="102">
        <f>MIN(1,MAX(VLOOKUP(($AJ4-$AI4-$AH4-$AG4-$AF4-$AE4*(1+FM$3))/$AJ4,Уголь_коэфф!$A:$B,2,1),(FL4-0.05)))</f>
        <v>1</v>
      </c>
      <c r="FN4" s="102">
        <f>MIN(1,MAX(VLOOKUP(($AJ4-$AI4-$AH4-$AG4-$AF4-$AE4*(1+FN$3))/$AJ4,Уголь_коэфф!$A:$B,2,1),(FM4-0.05)))</f>
        <v>1</v>
      </c>
      <c r="FO4" s="102">
        <f>MIN(1,MAX(VLOOKUP(($AJ4-$AI4-$AH4-$AG4-$AF4-$AE4*(1+FO$3))/$AJ4,Уголь_коэфф!$A:$B,2,1),(FN4-0.05)))</f>
        <v>1</v>
      </c>
      <c r="FP4" s="102">
        <f>MIN(1,MAX(VLOOKUP(($AJ4-$AI4-$AH4-$AG4-$AF4-$AE4*(1+FP$3))/$AJ4,Уголь_коэфф!$A:$B,2,1),(FO4-0.05)))</f>
        <v>1</v>
      </c>
      <c r="FQ4" s="102">
        <f>MIN(1,MAX(VLOOKUP(($AJ4-$AI4-$AH4-$AG4-$AF4-$AE4*(1+FQ$3))/$AJ4,Уголь_коэфф!$A:$B,2,1),(FP4-0.05)))</f>
        <v>1</v>
      </c>
      <c r="FR4" s="102">
        <f>MIN(1,MAX(VLOOKUP(($AJ4-$AI4-$AH4-$AG4-$AF4-$AE4*(1+FR$3))/$AJ4,Уголь_коэфф!$A:$B,2,1),(FQ4-0.05)))</f>
        <v>1</v>
      </c>
      <c r="FS4" s="102">
        <f>MIN(1,MAX(VLOOKUP(($AJ4-$AI4-$AH4-$AG4-$AF4-$AE4*(1+FS$3))/$AJ4,Уголь_коэфф!$A:$B,2,1),(FR4-0.05)))</f>
        <v>1</v>
      </c>
      <c r="FT4" s="102">
        <f>MIN(1,MAX(VLOOKUP(($AJ4-$AI4-$AH4-$AG4-$AF4-$AE4*(1+FT$3))/$AJ4,Уголь_коэфф!$A:$B,2,1),(FS4-0.05)))</f>
        <v>1</v>
      </c>
      <c r="FU4" s="102">
        <f>MIN(1,MAX(VLOOKUP(($AJ4-$AI4-$AH4-$AG4-$AF4-$AE4*(1+FU$3))/$AJ4,Уголь_коэфф!$A:$B,2,1),(FT4-0.05)))</f>
        <v>1</v>
      </c>
      <c r="FV4" s="102">
        <f>MIN(1,MAX(VLOOKUP(($AJ4-$AI4-$AH4-$AG4-$AF4-$AE4*(1+FV$3))/$AJ4,Уголь_коэфф!$A:$B,2,1),(FU4-0.05)))</f>
        <v>1</v>
      </c>
      <c r="FW4" s="102">
        <f>MIN(1,MAX(VLOOKUP(($AJ4-$AI4-$AH4-$AG4-$AF4-$AE4*(1+FW$3))/$AJ4,Уголь_коэфф!$A:$B,2,1),(FV4-0.05)))</f>
        <v>1</v>
      </c>
      <c r="FX4" s="102">
        <f>MIN(1,MAX(VLOOKUP(($AJ4-$AI4-$AH4-$AG4-$AF4-$AE4*(1+FX$3))/$AJ4,Уголь_коэфф!$A:$B,2,1),(FW4-0.05)))</f>
        <v>1</v>
      </c>
      <c r="FY4" s="102">
        <f>MIN(1,MAX(VLOOKUP(($AJ4-$AI4-$AH4-$AG4-$AF4-$AE4*(1+FY$3))/$AJ4,Уголь_коэфф!$A:$B,2,1),(FX4-0.05)))</f>
        <v>1</v>
      </c>
      <c r="FZ4" s="102">
        <f>MIN(1,MAX(VLOOKUP(($AJ4-$AI4-$AH4-$AG4-$AF4-$AE4*(1+FZ$3))/$AJ4,Уголь_коэфф!$A:$B,2,1),(FY4-0.05)))</f>
        <v>1</v>
      </c>
      <c r="GA4" s="102">
        <f>MIN(1,MAX(VLOOKUP(($AJ4-$AI4-$AH4-$AG4-$AF4-$AE4*(1+GA$3))/$AJ4,Уголь_коэфф!$A:$B,2,1),(FZ4-0.05)))</f>
        <v>1</v>
      </c>
      <c r="GB4" s="102">
        <f>MIN(1,MAX(VLOOKUP(($AJ4-$AI4-$AH4-$AG4-$AF4-$AE4*(1+GB$3))/$AJ4,Уголь_коэфф!$A:$B,2,1),(GA4-0.05)))</f>
        <v>1</v>
      </c>
      <c r="GC4" s="102">
        <f>MIN(1,MAX(VLOOKUP(($AJ4-$AI4-$AH4-$AG4-$AF4-$AE4*(1+GC$3))/$AJ4,Уголь_коэфф!$A:$B,2,1),(GB4-0.05)))</f>
        <v>1</v>
      </c>
      <c r="GD4" s="102">
        <f>MIN(1,MAX(VLOOKUP(($AJ4-$AI4-$AH4-$AG4-$AF4-$AE4*(1+GD$3))/$AJ4,Уголь_коэфф!$A:$B,2,1),(GC4-0.05)))</f>
        <v>1</v>
      </c>
      <c r="GE4" s="102">
        <f>MIN(1,MAX(VLOOKUP(($AJ4-$AI4-$AH4-$AG4-$AF4-$AE4*(1+GE$3))/$AJ4,Уголь_коэфф!$A:$B,2,1),(GD4-0.05)))</f>
        <v>1</v>
      </c>
      <c r="GF4" s="102">
        <f>MIN(1,MAX(VLOOKUP(($AJ4-$AI4-$AH4-$AG4-$AF4-$AE4*(1+GF$3))/$AJ4,Уголь_коэфф!$A:$B,2,1),(GE4-0.05)))</f>
        <v>1</v>
      </c>
      <c r="GG4" s="102">
        <f>MIN(1,MAX(VLOOKUP(($AJ4-$AI4-$AH4-$AG4-$AF4-$AE4*(1+GG$3))/$AJ4,Уголь_коэфф!$A:$B,2,1),(GF4-0.05)))</f>
        <v>1</v>
      </c>
      <c r="GH4" s="102">
        <f>MIN(1,MAX(VLOOKUP(($AJ4-$AI4-$AH4-$AG4-$AF4-$AE4*(1+GH$3))/$AJ4,Уголь_коэфф!$A:$B,2,1),(GG4-0.05)))</f>
        <v>1</v>
      </c>
      <c r="GI4" s="102">
        <f>MIN(1,MAX(VLOOKUP(($AJ4-$AI4-$AH4-$AG4-$AF4-$AE4*(1+GI$3))/$AJ4,Уголь_коэфф!$A:$B,2,1),(GH4-0.05)))</f>
        <v>1</v>
      </c>
      <c r="GJ4" s="102">
        <f>MIN(1,MAX(VLOOKUP(($AJ4-$AI4-$AH4-$AG4-$AF4-$AE4*(1+GJ$3))/$AJ4,Уголь_коэфф!$A:$B,2,1),(GI4-0.05)))</f>
        <v>1</v>
      </c>
      <c r="GK4" s="102">
        <f>MIN(1,MAX(VLOOKUP(($AJ4-$AI4-$AH4-$AG4-$AF4-$AE4*(1+GK$3))/$AJ4,Уголь_коэфф!$A:$B,2,1),(GJ4-0.05)))</f>
        <v>1</v>
      </c>
      <c r="GL4" s="102">
        <f>MIN(1,MAX(VLOOKUP(($AJ4-$AI4-$AH4-$AG4-$AF4-$AE4*(1+GL$3))/$AJ4,Уголь_коэфф!$A:$B,2,1),(GK4-0.05)))</f>
        <v>1</v>
      </c>
      <c r="GM4" s="102">
        <f>MIN(1,MAX(VLOOKUP(($AJ4-$AI4-$AH4-$AG4-$AF4-$AE4*(1+GM$3))/$AJ4,Уголь_коэфф!$A:$B,2,1),(GL4-0.05)))</f>
        <v>1</v>
      </c>
      <c r="GN4" s="102">
        <f>MIN(1,MAX(VLOOKUP(($AJ4-$AI4-$AH4-$AG4-$AF4-$AE4*(1+GN$3))/$AJ4,Уголь_коэфф!$A:$B,2,1),(GM4-0.05)))</f>
        <v>1</v>
      </c>
      <c r="GO4" s="102">
        <f>MIN(1,MAX(VLOOKUP(($AJ4-$AI4-$AH4-$AG4-$AF4-$AE4*(1+GO$3))/$AJ4,Уголь_коэфф!$A:$B,2,1),(GN4-0.05)))</f>
        <v>1</v>
      </c>
      <c r="GP4" s="102">
        <f>MIN(1,MAX(VLOOKUP(($AJ4-$AI4-$AH4-$AG4-$AF4-$AE4*(1+GP$3))/$AJ4,Уголь_коэфф!$A:$B,2,1),(GO4-0.05)))</f>
        <v>1</v>
      </c>
      <c r="GQ4" s="102">
        <f>MIN(1,MAX(VLOOKUP(($AJ4-$AI4-$AH4-$AG4-$AF4-$AE4*(1+GQ$3))/$AJ4,Уголь_коэфф!$A:$B,2,1),(GP4-0.05)))</f>
        <v>1</v>
      </c>
      <c r="GR4" s="102">
        <f>MIN(1,MAX(VLOOKUP(($AJ4-$AI4-$AH4-$AG4-$AF4-$AE4*(1+GR$3))/$AJ4,Уголь_коэфф!$A:$B,2,1),(GQ4-0.05)))</f>
        <v>1</v>
      </c>
      <c r="GS4" s="102">
        <f>MIN(1,MAX(VLOOKUP(($AJ4-$AI4-$AH4-$AG4-$AF4-$AE4*(1+GS$3))/$AJ4,Уголь_коэфф!$A:$B,2,1),(GR4-0.05)))</f>
        <v>1</v>
      </c>
      <c r="GT4" s="102">
        <f>MIN(1,MAX(VLOOKUP(($AJ4-$AI4-$AH4-$AG4-$AF4-$AE4*(1+GT$3))/$AJ4,Уголь_коэфф!$A:$B,2,1),(GS4-0.05)))</f>
        <v>1</v>
      </c>
      <c r="GU4" s="102">
        <f>MIN(1,MAX(VLOOKUP(($AJ4-$AI4-$AH4-$AG4-$AF4-$AE4*(1+GU$3))/$AJ4,Уголь_коэфф!$A:$B,2,1),(GT4-0.05)))</f>
        <v>1</v>
      </c>
      <c r="GV4" s="102">
        <f>MIN(1,MAX(VLOOKUP(($AJ4-$AI4-$AH4-$AG4-$AF4-$AE4*(1+GV$3))/$AJ4,Уголь_коэфф!$A:$B,2,1),(GU4-0.05)))</f>
        <v>1</v>
      </c>
      <c r="GW4" s="102">
        <f>MIN(1,MAX(VLOOKUP(($AJ4-$AI4-$AH4-$AG4-$AF4-$AE4*(1+GW$3))/$AJ4,Уголь_коэфф!$A:$B,2,1),(GV4-0.05)))</f>
        <v>1</v>
      </c>
      <c r="GX4" s="102">
        <f>MIN(1,MAX(VLOOKUP(($AJ4-$AI4-$AH4-$AG4-$AF4-$AE4*(1+GX$3))/$AJ4,Уголь_коэфф!$A:$B,2,1),(GW4-0.05)))</f>
        <v>1</v>
      </c>
      <c r="GY4" s="102">
        <f>MIN(1,MAX(VLOOKUP(($AJ4-$AI4-$AH4-$AG4-$AF4-$AE4*(1+GY$3))/$AJ4,Уголь_коэфф!$A:$B,2,1),(GX4-0.05)))</f>
        <v>1</v>
      </c>
      <c r="GZ4" s="102">
        <f>MIN(1,MAX(VLOOKUP(($AJ4-$AI4-$AH4-$AG4-$AF4-$AE4*(1+GZ$3))/$AJ4,Уголь_коэфф!$A:$B,2,1),(GY4-0.05)))</f>
        <v>1</v>
      </c>
      <c r="HA4" s="102">
        <f>MIN(1,MAX(VLOOKUP(($AJ4-$AI4-$AH4-$AG4-$AF4-$AE4*(1+HA$3))/$AJ4,Уголь_коэфф!$A:$B,2,1),(GZ4-0.05)))</f>
        <v>1</v>
      </c>
      <c r="HB4" s="102">
        <f>MIN(1,MAX(VLOOKUP(($AJ4-$AI4-$AH4-$AG4-$AF4-$AE4*(1+HB$3))/$AJ4,Уголь_коэфф!$A:$B,2,1),(HA4-0.05)))</f>
        <v>1</v>
      </c>
      <c r="HC4" s="102">
        <f>MIN(1,MAX(VLOOKUP(($AJ4-$AI4-$AH4-$AG4-$AF4-$AE4*(1+HC$3))/$AJ4,Уголь_коэфф!$A:$B,2,1),(HB4-0.05)))</f>
        <v>1</v>
      </c>
      <c r="HD4" s="102">
        <f>MIN(1,MAX(VLOOKUP(($AJ4-$AI4-$AH4-$AG4-$AF4-$AE4*(1+HD$3))/$AJ4,Уголь_коэфф!$A:$B,2,1),(HC4-0.05)))</f>
        <v>1</v>
      </c>
      <c r="HE4" s="102">
        <f>MIN(1,MAX(VLOOKUP(($AJ4-$AI4-$AH4-$AG4-$AF4-$AE4*(1+HE$3))/$AJ4,Уголь_коэфф!$A:$B,2,1),(HD4-0.05)))</f>
        <v>1</v>
      </c>
      <c r="HF4" s="102">
        <f>MIN(1,MAX(VLOOKUP(($AJ4-$AI4-$AH4-$AG4-$AF4-$AE4*(1+HF$3))/$AJ4,Уголь_коэфф!$A:$B,2,1),(HE4-0.05)))</f>
        <v>1</v>
      </c>
      <c r="HG4" s="102">
        <f>MIN(1,MAX(VLOOKUP(($AJ4-$AI4-$AH4-$AG4-$AF4-$AE4*(1+HG$3))/$AJ4,Уголь_коэфф!$A:$B,2,1),(HF4-0.05)))</f>
        <v>1</v>
      </c>
      <c r="HH4" s="102">
        <f>MIN(1,MAX(VLOOKUP(($AJ4-$AI4-$AH4-$AG4-$AF4-$AE4*(1+HH$3))/$AJ4,Уголь_коэфф!$A:$B,2,1),(HG4-0.05)))</f>
        <v>1</v>
      </c>
      <c r="HI4" s="102">
        <f>MIN(1,MAX(VLOOKUP(($AJ4-$AI4-$AH4-$AG4-$AF4-$AE4*(1+HI$3))/$AJ4,Уголь_коэфф!$A:$B,2,1),(HH4-0.05)))</f>
        <v>1</v>
      </c>
      <c r="HJ4" s="102">
        <f>MIN(1,MAX(VLOOKUP(($AJ4-$AI4-$AH4-$AG4-$AF4-$AE4*(1+HJ$3))/$AJ4,Уголь_коэфф!$A:$B,2,1),(HI4-0.05)))</f>
        <v>1</v>
      </c>
      <c r="HK4" s="102">
        <f>MIN(1,MAX(VLOOKUP(($AJ4-$AI4-$AH4-$AG4-$AF4-$AE4*(1+HK$3))/$AJ4,Уголь_коэфф!$A:$B,2,1),(HJ4-0.05)))</f>
        <v>1</v>
      </c>
      <c r="HL4" s="102">
        <f>MIN(1,MAX(VLOOKUP(($AJ4-$AI4-$AH4-$AG4-$AF4-$AE4*(1+HL$3))/$AJ4,Уголь_коэфф!$A:$B,2,1),(HK4-0.05)))</f>
        <v>1</v>
      </c>
      <c r="HM4" s="102">
        <f>MIN(1,MAX(VLOOKUP(($AJ4-$AI4-$AH4-$AG4-$AF4-$AE4*(1+HM$3))/$AJ4,Уголь_коэфф!$A:$B,2,1),(HL4-0.05)))</f>
        <v>1</v>
      </c>
      <c r="HN4" s="102">
        <f>MIN(1,MAX(VLOOKUP(($AJ4-$AI4-$AH4-$AG4-$AF4-$AE4*(1+HN$3))/$AJ4,Уголь_коэфф!$A:$B,2,1),(HM4-0.05)))</f>
        <v>1</v>
      </c>
      <c r="HO4" s="102">
        <f>MIN(1,MAX(VLOOKUP(($AJ4-$AI4-$AH4-$AG4-$AF4-$AE4*(1+HO$3))/$AJ4,Уголь_коэфф!$A:$B,2,1),(HN4-0.05)))</f>
        <v>1</v>
      </c>
      <c r="HP4" s="102">
        <f>MIN(1,MAX(VLOOKUP(($AJ4-$AI4-$AH4-$AG4-$AF4-$AE4*(1+HP$3))/$AJ4,Уголь_коэфф!$A:$B,2,1),(HO4-0.05)))</f>
        <v>1</v>
      </c>
      <c r="HQ4" s="102">
        <f>MIN(1,MAX(VLOOKUP(($AJ4-$AI4-$AH4-$AG4-$AF4-$AE4*(1+HQ$3))/$AJ4,Уголь_коэфф!$A:$B,2,1),(HP4-0.05)))</f>
        <v>1</v>
      </c>
      <c r="HR4" s="102">
        <f>MIN(1,MAX(VLOOKUP(($AJ4-$AI4-$AH4-$AG4-$AF4-$AE4*(1+HR$3))/$AJ4,Уголь_коэфф!$A:$B,2,1),(HQ4-0.05)))</f>
        <v>1</v>
      </c>
      <c r="HS4" s="102">
        <f>MIN(1,MAX(VLOOKUP(($AJ4-$AI4-$AH4-$AG4-$AF4-$AE4*(1+HS$3))/$AJ4,Уголь_коэфф!$A:$B,2,1),(HR4-0.05)))</f>
        <v>1</v>
      </c>
      <c r="HT4" s="102">
        <f>MIN(1,MAX(VLOOKUP(($AJ4-$AI4-$AH4-$AG4-$AF4-$AE4*(1+HT$3))/$AJ4,Уголь_коэфф!$A:$B,2,1),(HS4-0.05)))</f>
        <v>1</v>
      </c>
      <c r="HU4" s="102">
        <f>MIN(1,MAX(VLOOKUP(($AJ4-$AI4-$AH4-$AG4-$AF4-$AE4*(1+HU$3))/$AJ4,Уголь_коэфф!$A:$B,2,1),(HT4-0.05)))</f>
        <v>1</v>
      </c>
      <c r="HV4" s="102">
        <f>MIN(1,MAX(VLOOKUP(($AJ4-$AI4-$AH4-$AG4-$AF4-$AE4*(1+HV$3))/$AJ4,Уголь_коэфф!$A:$B,2,1),(HU4-0.05)))</f>
        <v>1</v>
      </c>
      <c r="HW4" s="102">
        <f>MIN(1,MAX(VLOOKUP(($AJ4-$AI4-$AH4-$AG4-$AF4-$AE4*(1+HW$3))/$AJ4,Уголь_коэфф!$A:$B,2,1),(HV4-0.05)))</f>
        <v>1</v>
      </c>
      <c r="HX4" s="102">
        <f>MIN(1,MAX(VLOOKUP(($AJ4-$AI4-$AH4-$AG4-$AF4-$AE4*(1+HX$3))/$AJ4,Уголь_коэфф!$A:$B,2,1),(HW4-0.05)))</f>
        <v>1</v>
      </c>
      <c r="HY4" s="102">
        <f>MIN(1,MAX(VLOOKUP(($AJ4-$AI4-$AH4-$AG4-$AF4-$AE4*(1+HY$3))/$AJ4,Уголь_коэфф!$A:$B,2,1),(HX4-0.05)))</f>
        <v>1</v>
      </c>
      <c r="HZ4" s="102">
        <f>MIN(1,MAX(VLOOKUP(($AJ4-$AI4-$AH4-$AG4-$AF4-$AE4*(1+HZ$3))/$AJ4,Уголь_коэфф!$A:$B,2,1),(HY4-0.05)))</f>
        <v>1</v>
      </c>
      <c r="IA4" s="102">
        <f>MIN(1,MAX(VLOOKUP(($AJ4-$AI4-$AH4-$AG4-$AF4-$AE4*(1+IA$3))/$AJ4,Уголь_коэфф!$A:$B,2,1),(HZ4-0.05)))</f>
        <v>1</v>
      </c>
      <c r="IB4" s="102">
        <f>MIN(1,MAX(VLOOKUP(($AJ4-$AI4-$AH4-$AG4-$AF4-$AE4*(1+IB$3))/$AJ4,Уголь_коэфф!$A:$B,2,1),(IA4-0.05)))</f>
        <v>1</v>
      </c>
      <c r="IC4" s="102">
        <f>MIN(1,MAX(VLOOKUP(($AJ4-$AI4-$AH4-$AG4-$AF4-$AE4*(1+IC$3))/$AJ4,Уголь_коэфф!$A:$B,2,1),(IB4-0.05)))</f>
        <v>1</v>
      </c>
      <c r="ID4" s="102">
        <f>MIN(1,MAX(VLOOKUP(($AJ4-$AI4-$AH4-$AG4-$AF4-$AE4*(1+ID$3))/$AJ4,Уголь_коэфф!$A:$B,2,1),(IC4-0.05)))</f>
        <v>1</v>
      </c>
      <c r="IE4" s="102">
        <f>MIN(1,MAX(VLOOKUP(($AJ4-$AI4-$AH4-$AG4-$AF4-$AE4*(1+IE$3))/$AJ4,Уголь_коэфф!$A:$B,2,1),(ID4-0.05)))</f>
        <v>1</v>
      </c>
      <c r="IF4" s="102">
        <f>MIN(1,MAX(VLOOKUP(($AJ4-$AI4-$AH4-$AG4-$AF4-$AE4*(1+IF$3))/$AJ4,Уголь_коэфф!$A:$B,2,1),(IE4-0.05)))</f>
        <v>1</v>
      </c>
      <c r="IG4" s="102">
        <f>MIN(1,MAX(VLOOKUP(($AJ4-$AI4-$AH4-$AG4-$AF4-$AE4*(1+IG$3))/$AJ4,Уголь_коэфф!$A:$B,2,1),(IF4-0.05)))</f>
        <v>1</v>
      </c>
      <c r="IH4" s="102">
        <f>MIN(1,MAX(VLOOKUP(($AJ4-$AI4-$AH4-$AG4-$AF4-$AE4*(1+IH$3))/$AJ4,Уголь_коэфф!$A:$B,2,1),(IG4-0.05)))</f>
        <v>1</v>
      </c>
      <c r="II4" s="102">
        <f>MIN(1,MAX(VLOOKUP(($AJ4-$AI4-$AH4-$AG4-$AF4-$AE4*(1+II$3))/$AJ4,Уголь_коэфф!$A:$B,2,1),(IH4-0.05)))</f>
        <v>1</v>
      </c>
      <c r="IJ4" s="102">
        <f>MIN(1,MAX(VLOOKUP(($AJ4-$AI4-$AH4-$AG4-$AF4-$AE4*(1+IJ$3))/$AJ4,Уголь_коэфф!$A:$B,2,1),(II4-0.05)))</f>
        <v>1</v>
      </c>
      <c r="IK4" s="102">
        <f>MIN(1,MAX(VLOOKUP(($AJ4-$AI4-$AH4-$AG4-$AF4-$AE4*(1+IK$3))/$AJ4,Уголь_коэфф!$A:$B,2,1),(IJ4-0.05)))</f>
        <v>1</v>
      </c>
      <c r="IL4" s="102">
        <f>MIN(1,MAX(VLOOKUP(($AJ4-$AI4-$AH4-$AG4-$AF4-$AE4*(1+IL$3))/$AJ4,Уголь_коэфф!$A:$B,2,1),(IK4-0.05)))</f>
        <v>1</v>
      </c>
      <c r="IM4" s="102">
        <f>MIN(1,MAX(VLOOKUP(($AJ4-$AI4-$AH4-$AG4-$AF4-$AE4*(1+IM$3))/$AJ4,Уголь_коэфф!$A:$B,2,1),(IL4-0.05)))</f>
        <v>1</v>
      </c>
      <c r="IN4" s="102">
        <f>MIN(1,MAX(VLOOKUP(($AJ4-$AI4-$AH4-$AG4-$AF4-$AE4*(1+IN$3))/$AJ4,Уголь_коэфф!$A:$B,2,1),(IM4-0.05)))</f>
        <v>1</v>
      </c>
      <c r="IO4" s="102">
        <f>MIN(1,MAX(VLOOKUP(($AJ4-$AI4-$AH4-$AG4-$AF4-$AE4*(1+IO$3))/$AJ4,Уголь_коэфф!$A:$B,2,1),(IN4-0.05)))</f>
        <v>1</v>
      </c>
      <c r="IP4" s="102">
        <f>MIN(1,MAX(VLOOKUP(($AJ4-$AI4-$AH4-$AG4-$AF4-$AE4*(1+IP$3))/$AJ4,Уголь_коэфф!$A:$B,2,1),(IO4-0.05)))</f>
        <v>1</v>
      </c>
      <c r="IQ4" s="102">
        <f>MIN(1,MAX(VLOOKUP(($AJ4-$AI4-$AH4-$AG4-$AF4-$AE4*(1+IQ$3))/$AJ4,Уголь_коэфф!$A:$B,2,1),(IP4-0.05)))</f>
        <v>1</v>
      </c>
      <c r="IR4" s="102">
        <f>MIN(1,MAX(VLOOKUP(($AJ4-$AI4-$AH4-$AG4-$AF4-$AE4*(1+IR$3))/$AJ4,Уголь_коэфф!$A:$B,2,1),(IQ4-0.05)))</f>
        <v>1</v>
      </c>
      <c r="IS4" s="102">
        <f>HLOOKUP($IS$2,$AZ$3:$IR$27,ROW(IR4)-2,FALSE)</f>
        <v>1</v>
      </c>
      <c r="IT4" s="102">
        <f t="shared" ref="IT4:IT27" si="7">IF($IV$2=1,IF(AND($IT$2="индексация",IS4&lt;1,IS4*$IV$1&gt;1),1,IF(AND($IT$2="индексация",IS4=1),1,IF(AND($IT$2="скидка",IS4=1),1,IS4*$IV$1))),IS4*$IV$1)</f>
        <v>1</v>
      </c>
      <c r="IU4" s="110"/>
    </row>
    <row r="5" spans="1:266" ht="14.6" customHeight="1">
      <c r="A5" s="60" t="s">
        <v>240</v>
      </c>
      <c r="B5" s="111">
        <v>1</v>
      </c>
      <c r="C5" s="112" t="s">
        <v>16</v>
      </c>
      <c r="D5" s="113">
        <v>16112</v>
      </c>
      <c r="E5" s="113" t="s">
        <v>28</v>
      </c>
      <c r="F5" s="112" t="s">
        <v>18</v>
      </c>
      <c r="G5" s="113" t="s">
        <v>29</v>
      </c>
      <c r="H5" s="113" t="s">
        <v>30</v>
      </c>
      <c r="I5" s="113" t="s">
        <v>31</v>
      </c>
      <c r="J5" s="113" t="s">
        <v>32</v>
      </c>
      <c r="K5" s="113">
        <v>5356</v>
      </c>
      <c r="L5" s="113" t="s">
        <v>22</v>
      </c>
      <c r="M5" s="113" t="s">
        <v>23</v>
      </c>
      <c r="N5" s="113" t="s">
        <v>24</v>
      </c>
      <c r="O5" s="113" t="s">
        <v>33</v>
      </c>
      <c r="P5" s="116">
        <v>54657469</v>
      </c>
      <c r="Q5" s="114" t="s">
        <v>26</v>
      </c>
      <c r="R5" s="113" t="s">
        <v>27</v>
      </c>
      <c r="S5" s="117">
        <v>2180783</v>
      </c>
      <c r="T5" s="115">
        <v>11680408007</v>
      </c>
      <c r="U5" s="115">
        <v>29661</v>
      </c>
      <c r="V5" s="115"/>
      <c r="W5" s="118">
        <v>4360383957</v>
      </c>
      <c r="X5" s="104">
        <v>75</v>
      </c>
      <c r="Y5" s="104" t="s">
        <v>163</v>
      </c>
      <c r="Z5" s="107">
        <v>12</v>
      </c>
      <c r="AA5" s="107">
        <v>12</v>
      </c>
      <c r="AB5" s="107">
        <v>4</v>
      </c>
      <c r="AC5" s="88">
        <v>2152.64</v>
      </c>
      <c r="AD5" s="88">
        <v>1013.71</v>
      </c>
      <c r="AE5" s="88">
        <f t="shared" ref="AE5:AE6" si="8">AC5+AD5</f>
        <v>3166.35</v>
      </c>
      <c r="AF5" s="89">
        <f>'Цены,перевалка,аренда'!$C$26*SUM(Уголь_эластика_экспорт!Z5+Уголь_эластика_экспорт!AA5+Уголь_эластика_экспорт!AB5)/Уголь_эластика_экспорт!X5</f>
        <v>373.33333333333331</v>
      </c>
      <c r="AG5" s="90">
        <f>SUMIF('Цены,перевалка,аренда'!$A$20:$A$22,Уголь_эластика_экспорт!$O5,'Цены,перевалка,аренда'!$D$20:$D$22)</f>
        <v>610.44399999999996</v>
      </c>
      <c r="AH5" s="47"/>
      <c r="AI5" s="91">
        <v>2020</v>
      </c>
      <c r="AJ5" s="92">
        <f>SUMIF('Цены,перевалка,аренда'!$A$5:$A$17,Уголь_эластика_экспорт!A5,'Цены,перевалка,аренда'!$D$5:$D$17)</f>
        <v>6485.9674999999997</v>
      </c>
      <c r="AK5" s="47">
        <f>AJ5/'Цены,перевалка,аренда'!$C$1</f>
        <v>85</v>
      </c>
      <c r="AL5" s="47">
        <f t="shared" ref="AL5:AL27" si="9">AE5+AF5+AG5</f>
        <v>4150.1273333333338</v>
      </c>
      <c r="AM5" s="47">
        <f t="shared" ref="AM5:AM27" si="10">AJ5-AL5</f>
        <v>2335.8401666666659</v>
      </c>
      <c r="AN5" s="47">
        <f t="shared" ref="AN5:AN27" si="11">AI5+AH5+AG5+AF5+AE5</f>
        <v>6170.1273333333338</v>
      </c>
      <c r="AO5" s="93">
        <f t="shared" ref="AO5:AO27" si="12">(AJ5-AN5)/AJ5</f>
        <v>4.8695921875443554E-2</v>
      </c>
      <c r="AP5" s="94">
        <f t="shared" ref="AP5:AP27" si="13">AL5/AJ5</f>
        <v>0.63986249288688757</v>
      </c>
      <c r="AQ5" s="94">
        <f t="shared" si="5"/>
        <v>0.48818468486004596</v>
      </c>
      <c r="AR5" s="94">
        <f t="shared" si="6"/>
        <v>0.76295249414837218</v>
      </c>
      <c r="AS5" s="167">
        <f t="shared" ref="AS5:AS27" si="14">IT5</f>
        <v>1</v>
      </c>
      <c r="AT5" s="173">
        <f t="shared" ref="AT5:AT27" si="15">S5*AS5</f>
        <v>2180783</v>
      </c>
      <c r="AU5" s="96">
        <v>1</v>
      </c>
      <c r="AV5" s="93">
        <f t="shared" ref="AV5:AV27" si="16">(AJ5-(AE5*(1+$IS$2)+AF5+AG5+AH5+AI5))/AJ5</f>
        <v>-9.8862403077618882E-3</v>
      </c>
      <c r="AW5" s="94">
        <f t="shared" ref="AW5:AW27" si="17">(AE5*(1+$IS$2)+AF5+AG5)/AJ5</f>
        <v>0.69844465507009301</v>
      </c>
      <c r="AX5" s="94">
        <f t="shared" ref="AX5:AX27" si="18">(AE5*(1+$IS$2))/AJ5</f>
        <v>0.54676684704325151</v>
      </c>
      <c r="AY5" s="94">
        <f t="shared" ref="AY5:AY27" si="19">(AE5*(1+$IS$2))/(AE5*(1+$IS$2)+AF5+AG5)</f>
        <v>0.78283489332219214</v>
      </c>
      <c r="AZ5" s="102">
        <f>MIN(IF($AU5=100%,1,1+VLOOKUP(($AJ5-$AI5-$AH5-$AG5-$AF5-$AE5*(1+AZ$3))/$AJ5,Уголь_коэфф!$A:$B,2,1)-VLOOKUP($AO5,Уголь_коэфф!$A:$B,2,1)),1+(1-$AU5))</f>
        <v>1</v>
      </c>
      <c r="BA5" s="102">
        <f>MIN(IF($AU5=100%,1,1+VLOOKUP(($AJ5-$AI5-$AH5-$AG5-$AF5-$AE5*(1+BA$3))/$AJ5,Уголь_коэфф!$A:$B,2,1)-VLOOKUP($AO5,Уголь_коэфф!$A:$B,2,1)),1+(1-$AU5))</f>
        <v>1</v>
      </c>
      <c r="BB5" s="102">
        <f>MIN(IF($AU5=100%,1,1+VLOOKUP(($AJ5-$AI5-$AH5-$AG5-$AF5-$AE5*(1+BB$3))/$AJ5,Уголь_коэфф!$A:$B,2,1)-VLOOKUP($AO5,Уголь_коэфф!$A:$B,2,1)),1+(1-$AU5))</f>
        <v>1</v>
      </c>
      <c r="BC5" s="102">
        <f>MIN(IF($AU5=100%,1,1+VLOOKUP(($AJ5-$AI5-$AH5-$AG5-$AF5-$AE5*(1+BC$3))/$AJ5,Уголь_коэфф!$A:$B,2,1)-VLOOKUP($AO5,Уголь_коэфф!$A:$B,2,1)),1+(1-$AU5))</f>
        <v>1</v>
      </c>
      <c r="BD5" s="102">
        <f>MIN(IF($AU5=100%,1,1+VLOOKUP(($AJ5-$AI5-$AH5-$AG5-$AF5-$AE5*(1+BD$3))/$AJ5,Уголь_коэфф!$A:$B,2,1)-VLOOKUP($AO5,Уголь_коэфф!$A:$B,2,1)),1+(1-$AU5))</f>
        <v>1</v>
      </c>
      <c r="BE5" s="102">
        <f>MIN(IF($AU5=100%,1,1+VLOOKUP(($AJ5-$AI5-$AH5-$AG5-$AF5-$AE5*(1+BE$3))/$AJ5,Уголь_коэфф!$A:$B,2,1)-VLOOKUP($AO5,Уголь_коэфф!$A:$B,2,1)),1+(1-$AU5))</f>
        <v>1</v>
      </c>
      <c r="BF5" s="102">
        <f>MIN(IF($AU5=100%,1,1+VLOOKUP(($AJ5-$AI5-$AH5-$AG5-$AF5-$AE5*(1+BF$3))/$AJ5,Уголь_коэфф!$A:$B,2,1)-VLOOKUP($AO5,Уголь_коэфф!$A:$B,2,1)),1+(1-$AU5))</f>
        <v>1</v>
      </c>
      <c r="BG5" s="102">
        <f>MIN(IF($AU5=100%,1,1+VLOOKUP(($AJ5-$AI5-$AH5-$AG5-$AF5-$AE5*(1+BG$3))/$AJ5,Уголь_коэфф!$A:$B,2,1)-VLOOKUP($AO5,Уголь_коэфф!$A:$B,2,1)),1+(1-$AU5))</f>
        <v>1</v>
      </c>
      <c r="BH5" s="102">
        <f>MIN(IF($AU5=100%,1,1+VLOOKUP(($AJ5-$AI5-$AH5-$AG5-$AF5-$AE5*(1+BH$3))/$AJ5,Уголь_коэфф!$A:$B,2,1)-VLOOKUP($AO5,Уголь_коэфф!$A:$B,2,1)),1+(1-$AU5))</f>
        <v>1</v>
      </c>
      <c r="BI5" s="102">
        <f>MIN(IF($AU5=100%,1,1+VLOOKUP(($AJ5-$AI5-$AH5-$AG5-$AF5-$AE5*(1+BI$3))/$AJ5,Уголь_коэфф!$A:$B,2,1)-VLOOKUP($AO5,Уголь_коэфф!$A:$B,2,1)),1+(1-$AU5))</f>
        <v>1</v>
      </c>
      <c r="BJ5" s="102">
        <f>MIN(IF($AU5=100%,1,1+VLOOKUP(($AJ5-$AI5-$AH5-$AG5-$AF5-$AE5*(1+BJ$3))/$AJ5,Уголь_коэфф!$A:$B,2,1)-VLOOKUP($AO5,Уголь_коэфф!$A:$B,2,1)),1+(1-$AU5))</f>
        <v>1</v>
      </c>
      <c r="BK5" s="102">
        <f>MIN(IF($AU5=100%,1,1+VLOOKUP(($AJ5-$AI5-$AH5-$AG5-$AF5-$AE5*(1+BK$3))/$AJ5,Уголь_коэфф!$A:$B,2,1)-VLOOKUP($AO5,Уголь_коэфф!$A:$B,2,1)),1+(1-$AU5))</f>
        <v>1</v>
      </c>
      <c r="BL5" s="102">
        <f>MIN(IF($AU5=100%,1,1+VLOOKUP(($AJ5-$AI5-$AH5-$AG5-$AF5-$AE5*(1+BL$3))/$AJ5,Уголь_коэфф!$A:$B,2,1)-VLOOKUP($AO5,Уголь_коэфф!$A:$B,2,1)),1+(1-$AU5))</f>
        <v>1</v>
      </c>
      <c r="BM5" s="102">
        <f>MIN(IF($AU5=100%,1,1+VLOOKUP(($AJ5-$AI5-$AH5-$AG5-$AF5-$AE5*(1+BM$3))/$AJ5,Уголь_коэфф!$A:$B,2,1)-VLOOKUP($AO5,Уголь_коэфф!$A:$B,2,1)),1+(1-$AU5))</f>
        <v>1</v>
      </c>
      <c r="BN5" s="102">
        <f>MIN(IF($AU5=100%,1,1+VLOOKUP(($AJ5-$AI5-$AH5-$AG5-$AF5-$AE5*(1+BN$3))/$AJ5,Уголь_коэфф!$A:$B,2,1)-VLOOKUP($AO5,Уголь_коэфф!$A:$B,2,1)),1+(1-$AU5))</f>
        <v>1</v>
      </c>
      <c r="BO5" s="102">
        <f>MIN(IF($AU5=100%,1,1+VLOOKUP(($AJ5-$AI5-$AH5-$AG5-$AF5-$AE5*(1+BO$3))/$AJ5,Уголь_коэфф!$A:$B,2,1)-VLOOKUP($AO5,Уголь_коэфф!$A:$B,2,1)),1+(1-$AU5))</f>
        <v>1</v>
      </c>
      <c r="BP5" s="102">
        <f>MIN(IF($AU5=100%,1,1+VLOOKUP(($AJ5-$AI5-$AH5-$AG5-$AF5-$AE5*(1+BP$3))/$AJ5,Уголь_коэфф!$A:$B,2,1)-VLOOKUP($AO5,Уголь_коэфф!$A:$B,2,1)),1+(1-$AU5))</f>
        <v>1</v>
      </c>
      <c r="BQ5" s="102">
        <f>MIN(IF($AU5=100%,1,1+VLOOKUP(($AJ5-$AI5-$AH5-$AG5-$AF5-$AE5*(1+BQ$3))/$AJ5,Уголь_коэфф!$A:$B,2,1)-VLOOKUP($AO5,Уголь_коэфф!$A:$B,2,1)),1+(1-$AU5))</f>
        <v>1</v>
      </c>
      <c r="BR5" s="102">
        <f>MIN(IF($AU5=100%,1,1+VLOOKUP(($AJ5-$AI5-$AH5-$AG5-$AF5-$AE5*(1+BR$3))/$AJ5,Уголь_коэфф!$A:$B,2,1)-VLOOKUP($AO5,Уголь_коэфф!$A:$B,2,1)),1+(1-$AU5))</f>
        <v>1</v>
      </c>
      <c r="BS5" s="102">
        <f>MIN(IF($AU5=100%,1,1+VLOOKUP(($AJ5-$AI5-$AH5-$AG5-$AF5-$AE5*(1+BS$3))/$AJ5,Уголь_коэфф!$A:$B,2,1)-VLOOKUP($AO5,Уголь_коэфф!$A:$B,2,1)),1+(1-$AU5))</f>
        <v>1</v>
      </c>
      <c r="BT5" s="102">
        <f>MIN(IF($AU5=100%,1,1+VLOOKUP(($AJ5-$AI5-$AH5-$AG5-$AF5-$AE5*(1+BT$3))/$AJ5,Уголь_коэфф!$A:$B,2,1)-VLOOKUP($AO5,Уголь_коэфф!$A:$B,2,1)),1+(1-$AU5))</f>
        <v>1</v>
      </c>
      <c r="BU5" s="102">
        <f>MIN(IF($AU5=100%,1,1+VLOOKUP(($AJ5-$AI5-$AH5-$AG5-$AF5-$AE5*(1+BU$3))/$AJ5,Уголь_коэфф!$A:$B,2,1)-VLOOKUP($AO5,Уголь_коэфф!$A:$B,2,1)),1+(1-$AU5))</f>
        <v>1</v>
      </c>
      <c r="BV5" s="102">
        <f>MIN(IF($AU5=100%,1,1+VLOOKUP(($AJ5-$AI5-$AH5-$AG5-$AF5-$AE5*(1+BV$3))/$AJ5,Уголь_коэфф!$A:$B,2,1)-VLOOKUP($AO5,Уголь_коэфф!$A:$B,2,1)),1+(1-$AU5))</f>
        <v>1</v>
      </c>
      <c r="BW5" s="102">
        <f>MIN(IF($AU5=100%,1,1+VLOOKUP(($AJ5-$AI5-$AH5-$AG5-$AF5-$AE5*(1+BW$3))/$AJ5,Уголь_коэфф!$A:$B,2,1)-VLOOKUP($AO5,Уголь_коэфф!$A:$B,2,1)),1+(1-$AU5))</f>
        <v>1</v>
      </c>
      <c r="BX5" s="102">
        <f>MIN(IF($AU5=100%,1,1+VLOOKUP(($AJ5-$AI5-$AH5-$AG5-$AF5-$AE5*(1+BX$3))/$AJ5,Уголь_коэфф!$A:$B,2,1)-VLOOKUP($AO5,Уголь_коэфф!$A:$B,2,1)),1+(1-$AU5))</f>
        <v>1</v>
      </c>
      <c r="BY5" s="102">
        <f>MIN(IF($AU5=100%,1,1+VLOOKUP(($AJ5-$AI5-$AH5-$AG5-$AF5-$AE5*(1+BY$3))/$AJ5,Уголь_коэфф!$A:$B,2,1)-VLOOKUP($AO5,Уголь_коэфф!$A:$B,2,1)),1+(1-$AU5))</f>
        <v>1</v>
      </c>
      <c r="BZ5" s="102">
        <f>MIN(IF($AU5=100%,1,1+VLOOKUP(($AJ5-$AI5-$AH5-$AG5-$AF5-$AE5*(1+BZ$3))/$AJ5,Уголь_коэфф!$A:$B,2,1)-VLOOKUP($AO5,Уголь_коэфф!$A:$B,2,1)),1+(1-$AU5))</f>
        <v>1</v>
      </c>
      <c r="CA5" s="102">
        <f>MIN(IF($AU5=100%,1,1+VLOOKUP(($AJ5-$AI5-$AH5-$AG5-$AF5-$AE5*(1+CA$3))/$AJ5,Уголь_коэфф!$A:$B,2,1)-VLOOKUP($AO5,Уголь_коэфф!$A:$B,2,1)),1+(1-$AU5))</f>
        <v>1</v>
      </c>
      <c r="CB5" s="102">
        <f>MIN(IF($AU5=100%,1,1+VLOOKUP(($AJ5-$AI5-$AH5-$AG5-$AF5-$AE5*(1+CB$3))/$AJ5,Уголь_коэфф!$A:$B,2,1)-VLOOKUP($AO5,Уголь_коэфф!$A:$B,2,1)),1+(1-$AU5))</f>
        <v>1</v>
      </c>
      <c r="CC5" s="102">
        <f>MIN(IF($AU5=100%,1,1+VLOOKUP(($AJ5-$AI5-$AH5-$AG5-$AF5-$AE5*(1+CC$3))/$AJ5,Уголь_коэфф!$A:$B,2,1)-VLOOKUP($AO5,Уголь_коэфф!$A:$B,2,1)),1+(1-$AU5))</f>
        <v>1</v>
      </c>
      <c r="CD5" s="102">
        <f>MIN(IF($AU5=100%,1,1+VLOOKUP(($AJ5-$AI5-$AH5-$AG5-$AF5-$AE5*(1+CD$3))/$AJ5,Уголь_коэфф!$A:$B,2,1)-VLOOKUP($AO5,Уголь_коэфф!$A:$B,2,1)),1+(1-$AU5))</f>
        <v>1</v>
      </c>
      <c r="CE5" s="102">
        <f>MIN(IF($AU5=100%,1,1+VLOOKUP(($AJ5-$AI5-$AH5-$AG5-$AF5-$AE5*(1+CE$3))/$AJ5,Уголь_коэфф!$A:$B,2,1)-VLOOKUP($AO5,Уголь_коэфф!$A:$B,2,1)),1+(1-$AU5))</f>
        <v>1</v>
      </c>
      <c r="CF5" s="102">
        <f>MIN(IF($AU5=100%,1,1+VLOOKUP(($AJ5-$AI5-$AH5-$AG5-$AF5-$AE5*(1+CF$3))/$AJ5,Уголь_коэфф!$A:$B,2,1)-VLOOKUP($AO5,Уголь_коэфф!$A:$B,2,1)),1+(1-$AU5))</f>
        <v>1</v>
      </c>
      <c r="CG5" s="102">
        <f>MIN(IF($AU5=100%,1,1+VLOOKUP(($AJ5-$AI5-$AH5-$AG5-$AF5-$AE5*(1+CG$3))/$AJ5,Уголь_коэфф!$A:$B,2,1)-VLOOKUP($AO5,Уголь_коэфф!$A:$B,2,1)),1+(1-$AU5))</f>
        <v>1</v>
      </c>
      <c r="CH5" s="102">
        <f>MIN(IF($AU5=100%,1,1+VLOOKUP(($AJ5-$AI5-$AH5-$AG5-$AF5-$AE5*(1+CH$3))/$AJ5,Уголь_коэфф!$A:$B,2,1)-VLOOKUP($AO5,Уголь_коэфф!$A:$B,2,1)),1+(1-$AU5))</f>
        <v>1</v>
      </c>
      <c r="CI5" s="102">
        <f>MIN(IF($AU5=100%,1,1+VLOOKUP(($AJ5-$AI5-$AH5-$AG5-$AF5-$AE5*(1+CI$3))/$AJ5,Уголь_коэфф!$A:$B,2,1)-VLOOKUP($AO5,Уголь_коэфф!$A:$B,2,1)),1+(1-$AU5))</f>
        <v>1</v>
      </c>
      <c r="CJ5" s="102">
        <f>MIN(IF($AU5=100%,1,1+VLOOKUP(($AJ5-$AI5-$AH5-$AG5-$AF5-$AE5*(1+CJ$3))/$AJ5,Уголь_коэфф!$A:$B,2,1)-VLOOKUP($AO5,Уголь_коэфф!$A:$B,2,1)),1+(1-$AU5))</f>
        <v>1</v>
      </c>
      <c r="CK5" s="102">
        <f>MIN(IF($AU5=100%,1,1+VLOOKUP(($AJ5-$AI5-$AH5-$AG5-$AF5-$AE5*(1+CK$3))/$AJ5,Уголь_коэфф!$A:$B,2,1)-VLOOKUP($AO5,Уголь_коэфф!$A:$B,2,1)),1+(1-$AU5))</f>
        <v>1</v>
      </c>
      <c r="CL5" s="102">
        <f>MIN(IF($AU5=100%,1,1+VLOOKUP(($AJ5-$AI5-$AH5-$AG5-$AF5-$AE5*(1+CL$3))/$AJ5,Уголь_коэфф!$A:$B,2,1)-VLOOKUP($AO5,Уголь_коэфф!$A:$B,2,1)),1+(1-$AU5))</f>
        <v>1</v>
      </c>
      <c r="CM5" s="102">
        <f>MIN(IF($AU5=100%,1,1+VLOOKUP(($AJ5-$AI5-$AH5-$AG5-$AF5-$AE5*(1+CM$3))/$AJ5,Уголь_коэфф!$A:$B,2,1)-VLOOKUP($AO5,Уголь_коэфф!$A:$B,2,1)),1+(1-$AU5))</f>
        <v>1</v>
      </c>
      <c r="CN5" s="102">
        <f>MIN(IF($AU5=100%,1,1+VLOOKUP(($AJ5-$AI5-$AH5-$AG5-$AF5-$AE5*(1+CN$3))/$AJ5,Уголь_коэфф!$A:$B,2,1)-VLOOKUP($AO5,Уголь_коэфф!$A:$B,2,1)),1+(1-$AU5))</f>
        <v>1</v>
      </c>
      <c r="CO5" s="102">
        <f>MIN(IF($AU5=100%,1,1+VLOOKUP(($AJ5-$AI5-$AH5-$AG5-$AF5-$AE5*(1+CO$3))/$AJ5,Уголь_коэфф!$A:$B,2,1)-VLOOKUP($AO5,Уголь_коэфф!$A:$B,2,1)),1+(1-$AU5))</f>
        <v>1</v>
      </c>
      <c r="CP5" s="102">
        <f>MIN(IF($AU5=100%,1,1+VLOOKUP(($AJ5-$AI5-$AH5-$AG5-$AF5-$AE5*(1+CP$3))/$AJ5,Уголь_коэфф!$A:$B,2,1)-VLOOKUP($AO5,Уголь_коэфф!$A:$B,2,1)),1+(1-$AU5))</f>
        <v>1</v>
      </c>
      <c r="CQ5" s="102">
        <f>MIN(IF($AU5=100%,1,1+VLOOKUP(($AJ5-$AI5-$AH5-$AG5-$AF5-$AE5*(1+CQ$3))/$AJ5,Уголь_коэфф!$A:$B,2,1)-VLOOKUP($AO5,Уголь_коэфф!$A:$B,2,1)),1+(1-$AU5))</f>
        <v>1</v>
      </c>
      <c r="CR5" s="102">
        <f>MIN(IF($AU5=100%,1,1+VLOOKUP(($AJ5-$AI5-$AH5-$AG5-$AF5-$AE5*(1+CR$3))/$AJ5,Уголь_коэфф!$A:$B,2,1)-VLOOKUP($AO5,Уголь_коэфф!$A:$B,2,1)),1+(1-$AU5))</f>
        <v>1</v>
      </c>
      <c r="CS5" s="102">
        <f>MIN(IF($AU5=100%,1,1+VLOOKUP(($AJ5-$AI5-$AH5-$AG5-$AF5-$AE5*(1+CS$3))/$AJ5,Уголь_коэфф!$A:$B,2,1)-VLOOKUP($AO5,Уголь_коэфф!$A:$B,2,1)),1+(1-$AU5))</f>
        <v>1</v>
      </c>
      <c r="CT5" s="102">
        <f>MIN(IF($AU5=100%,1,1+VLOOKUP(($AJ5-$AI5-$AH5-$AG5-$AF5-$AE5*(1+CT$3))/$AJ5,Уголь_коэфф!$A:$B,2,1)-VLOOKUP($AO5,Уголь_коэфф!$A:$B,2,1)),1+(1-$AU5))</f>
        <v>1</v>
      </c>
      <c r="CU5" s="102">
        <f>MIN(IF($AU5=100%,1,1+VLOOKUP(($AJ5-$AI5-$AH5-$AG5-$AF5-$AE5*(1+CU$3))/$AJ5,Уголь_коэфф!$A:$B,2,1)-VLOOKUP($AO5,Уголь_коэфф!$A:$B,2,1)),1+(1-$AU5))</f>
        <v>1</v>
      </c>
      <c r="CV5" s="102">
        <f>MIN(IF($AU5=100%,1,1+VLOOKUP(($AJ5-$AI5-$AH5-$AG5-$AF5-$AE5*(1+CV$3))/$AJ5,Уголь_коэфф!$A:$B,2,1)-VLOOKUP($AO5,Уголь_коэфф!$A:$B,2,1)),1+(1-$AU5))</f>
        <v>1</v>
      </c>
      <c r="CW5" s="102">
        <f>MIN(IF($AU5=100%,1,1+VLOOKUP(($AJ5-$AI5-$AH5-$AG5-$AF5-$AE5*(1+CW$3))/$AJ5,Уголь_коэфф!$A:$B,2,1)-VLOOKUP($AO5,Уголь_коэфф!$A:$B,2,1)),1+(1-$AU5))</f>
        <v>1</v>
      </c>
      <c r="CX5" s="102">
        <f>MIN(IF($AU5=100%,1,1+VLOOKUP(($AJ5-$AI5-$AH5-$AG5-$AF5-$AE5*(1+CX$3))/$AJ5,Уголь_коэфф!$A:$B,2,1)-VLOOKUP($AO5,Уголь_коэфф!$A:$B,2,1)),1+(1-$AU5))</f>
        <v>1</v>
      </c>
      <c r="CY5" s="102">
        <f>MIN(IF($AU5=100%,1,1+VLOOKUP(($AJ5-$AI5-$AH5-$AG5-$AF5-$AE5*(1+CY$3))/$AJ5,Уголь_коэфф!$A:$B,2,1)-VLOOKUP($AO5,Уголь_коэфф!$A:$B,2,1)),1+(1-$AU5))</f>
        <v>1</v>
      </c>
      <c r="CZ5" s="102">
        <f>MIN(IF($AU5=100%,1,1+VLOOKUP(($AJ5-$AI5-$AH5-$AG5-$AF5-$AE5*(1+CZ$3))/$AJ5,Уголь_коэфф!$A:$B,2,1)-VLOOKUP($AO5,Уголь_коэфф!$A:$B,2,1)),1+(1-$AU5))</f>
        <v>1</v>
      </c>
      <c r="DA5" s="102">
        <f>MIN(IF($AU5=100%,1,1+VLOOKUP(($AJ5-$AI5-$AH5-$AG5-$AF5-$AE5*(1+DA$3))/$AJ5,Уголь_коэфф!$A:$B,2,1)-VLOOKUP($AO5,Уголь_коэфф!$A:$B,2,1)),1+(1-$AU5))</f>
        <v>1</v>
      </c>
      <c r="DB5" s="102">
        <f>MIN(IF($AU5=100%,1,1+VLOOKUP(($AJ5-$AI5-$AH5-$AG5-$AF5-$AE5*(1+DB$3))/$AJ5,Уголь_коэфф!$A:$B,2,1)-VLOOKUP($AO5,Уголь_коэфф!$A:$B,2,1)),1+(1-$AU5))</f>
        <v>1</v>
      </c>
      <c r="DC5" s="102">
        <f>MIN(IF($AU5=100%,1,1+VLOOKUP(($AJ5-$AI5-$AH5-$AG5-$AF5-$AE5*(1+DC$3))/$AJ5,Уголь_коэфф!$A:$B,2,1)-VLOOKUP($AO5,Уголь_коэфф!$A:$B,2,1)),1+(1-$AU5))</f>
        <v>1</v>
      </c>
      <c r="DD5" s="102">
        <f>MIN(IF($AU5=100%,1,1+VLOOKUP(($AJ5-$AI5-$AH5-$AG5-$AF5-$AE5*(1+DD$3))/$AJ5,Уголь_коэфф!$A:$B,2,1)-VLOOKUP($AO5,Уголь_коэфф!$A:$B,2,1)),1+(1-$AU5))</f>
        <v>1</v>
      </c>
      <c r="DE5" s="102">
        <f>MIN(IF($AU5=100%,1,1+VLOOKUP(($AJ5-$AI5-$AH5-$AG5-$AF5-$AE5*(1+DE$3))/$AJ5,Уголь_коэфф!$A:$B,2,1)-VLOOKUP($AO5,Уголь_коэфф!$A:$B,2,1)),1+(1-$AU5))</f>
        <v>1</v>
      </c>
      <c r="DF5" s="102">
        <f>MIN(IF($AU5=100%,1,1+VLOOKUP(($AJ5-$AI5-$AH5-$AG5-$AF5-$AE5*(1+DF$3))/$AJ5,Уголь_коэфф!$A:$B,2,1)-VLOOKUP($AO5,Уголь_коэфф!$A:$B,2,1)),1+(1-$AU5))</f>
        <v>1</v>
      </c>
      <c r="DG5" s="102">
        <f>MIN(IF($AU5=100%,1,1+VLOOKUP(($AJ5-$AI5-$AH5-$AG5-$AF5-$AE5*(1+DG$3))/$AJ5,Уголь_коэфф!$A:$B,2,1)-VLOOKUP($AO5,Уголь_коэфф!$A:$B,2,1)),1+(1-$AU5))</f>
        <v>1</v>
      </c>
      <c r="DH5" s="102">
        <f>MIN(IF($AU5=100%,1,1+VLOOKUP(($AJ5-$AI5-$AH5-$AG5-$AF5-$AE5*(1+DH$3))/$AJ5,Уголь_коэфф!$A:$B,2,1)-VLOOKUP($AO5,Уголь_коэфф!$A:$B,2,1)),1+(1-$AU5))</f>
        <v>1</v>
      </c>
      <c r="DI5" s="102">
        <f>MIN(IF($AU5=100%,1,1+VLOOKUP(($AJ5-$AI5-$AH5-$AG5-$AF5-$AE5*(1+DI$3))/$AJ5,Уголь_коэфф!$A:$B,2,1)-VLOOKUP($AO5,Уголь_коэфф!$A:$B,2,1)),1+(1-$AU5))</f>
        <v>1</v>
      </c>
      <c r="DJ5" s="102">
        <f>MIN(IF($AU5=100%,1,1+VLOOKUP(($AJ5-$AI5-$AH5-$AG5-$AF5-$AE5*(1+DJ$3))/$AJ5,Уголь_коэфф!$A:$B,2,1)-VLOOKUP($AO5,Уголь_коэфф!$A:$B,2,1)),1+(1-$AU5))</f>
        <v>1</v>
      </c>
      <c r="DK5" s="102">
        <f>MIN(IF($AU5=100%,1,1+VLOOKUP(($AJ5-$AI5-$AH5-$AG5-$AF5-$AE5*(1+DK$3))/$AJ5,Уголь_коэфф!$A:$B,2,1)-VLOOKUP($AO5,Уголь_коэфф!$A:$B,2,1)),1+(1-$AU5))</f>
        <v>1</v>
      </c>
      <c r="DL5" s="102">
        <f>MIN(IF($AU5=100%,1,1+VLOOKUP(($AJ5-$AI5-$AH5-$AG5-$AF5-$AE5*(1+DL$3))/$AJ5,Уголь_коэфф!$A:$B,2,1)-VLOOKUP($AO5,Уголь_коэфф!$A:$B,2,1)),1+(1-$AU5))</f>
        <v>1</v>
      </c>
      <c r="DM5" s="102">
        <f>MIN(IF($AU5=100%,1,1+VLOOKUP(($AJ5-$AI5-$AH5-$AG5-$AF5-$AE5*(1+DM$3))/$AJ5,Уголь_коэфф!$A:$B,2,1)-VLOOKUP($AO5,Уголь_коэфф!$A:$B,2,1)),1+(1-$AU5))</f>
        <v>1</v>
      </c>
      <c r="DN5" s="102">
        <f>MIN(IF($AU5=100%,1,1+VLOOKUP(($AJ5-$AI5-$AH5-$AG5-$AF5-$AE5*(1+DN$3))/$AJ5,Уголь_коэфф!$A:$B,2,1)-VLOOKUP($AO5,Уголь_коэфф!$A:$B,2,1)),1+(1-$AU5))</f>
        <v>1</v>
      </c>
      <c r="DO5" s="102">
        <f>MIN(IF($AU5=100%,1,1+VLOOKUP(($AJ5-$AI5-$AH5-$AG5-$AF5-$AE5*(1+DO$3))/$AJ5,Уголь_коэфф!$A:$B,2,1)-VLOOKUP($AO5,Уголь_коэфф!$A:$B,2,1)),1+(1-$AU5))</f>
        <v>1</v>
      </c>
      <c r="DP5" s="102">
        <f>MIN(IF($AU5=100%,1,1+VLOOKUP(($AJ5-$AI5-$AH5-$AG5-$AF5-$AE5*(1+DP$3))/$AJ5,Уголь_коэфф!$A:$B,2,1)-VLOOKUP($AO5,Уголь_коэфф!$A:$B,2,1)),1+(1-$AU5))</f>
        <v>1</v>
      </c>
      <c r="DQ5" s="102">
        <f>MIN(IF($AU5=100%,1,1+VLOOKUP(($AJ5-$AI5-$AH5-$AG5-$AF5-$AE5*(1+DQ$3))/$AJ5,Уголь_коэфф!$A:$B,2,1)-VLOOKUP($AO5,Уголь_коэфф!$A:$B,2,1)),1+(1-$AU5))</f>
        <v>1</v>
      </c>
      <c r="DR5" s="102">
        <f>MIN(IF($AU5=100%,1,1+VLOOKUP(($AJ5-$AI5-$AH5-$AG5-$AF5-$AE5*(1+DR$3))/$AJ5,Уголь_коэфф!$A:$B,2,1)-VLOOKUP($AO5,Уголь_коэфф!$A:$B,2,1)),1+(1-$AU5))</f>
        <v>1</v>
      </c>
      <c r="DS5" s="102">
        <f>MIN(IF($AU5=100%,1,1+VLOOKUP(($AJ5-$AI5-$AH5-$AG5-$AF5-$AE5*(1+DS$3))/$AJ5,Уголь_коэфф!$A:$B,2,1)-VLOOKUP($AO5,Уголь_коэфф!$A:$B,2,1)),1+(1-$AU5))</f>
        <v>1</v>
      </c>
      <c r="DT5" s="102">
        <f>MIN(IF($AU5=100%,1,1+VLOOKUP(($AJ5-$AI5-$AH5-$AG5-$AF5-$AE5*(1+DT$3))/$AJ5,Уголь_коэфф!$A:$B,2,1)-VLOOKUP($AO5,Уголь_коэфф!$A:$B,2,1)),1+(1-$AU5))</f>
        <v>1</v>
      </c>
      <c r="DU5" s="102">
        <f>MIN(IF($AU5=100%,1,1+VLOOKUP(($AJ5-$AI5-$AH5-$AG5-$AF5-$AE5*(1+DU$3))/$AJ5,Уголь_коэфф!$A:$B,2,1)-VLOOKUP($AO5,Уголь_коэфф!$A:$B,2,1)),1+(1-$AU5))</f>
        <v>1</v>
      </c>
      <c r="DV5" s="102">
        <f>MIN(IF($AU5=100%,1,1+VLOOKUP(($AJ5-$AI5-$AH5-$AG5-$AF5-$AE5*(1+DV$3))/$AJ5,Уголь_коэфф!$A:$B,2,1)-VLOOKUP($AO5,Уголь_коэфф!$A:$B,2,1)),1+(1-$AU5))</f>
        <v>1</v>
      </c>
      <c r="DW5" s="102">
        <f>MIN(IF($AU5=100%,1,1+VLOOKUP(($AJ5-$AI5-$AH5-$AG5-$AF5-$AE5*(1+DW$3))/$AJ5,Уголь_коэфф!$A:$B,2,1)-VLOOKUP($AO5,Уголь_коэфф!$A:$B,2,1)),1+(1-$AU5))</f>
        <v>1</v>
      </c>
      <c r="DX5" s="102">
        <f>MIN(IF($AU5=100%,1,1+VLOOKUP(($AJ5-$AI5-$AH5-$AG5-$AF5-$AE5*(1+DX$3))/$AJ5,Уголь_коэфф!$A:$B,2,1)-VLOOKUP($AO5,Уголь_коэфф!$A:$B,2,1)),1+(1-$AU5))</f>
        <v>1</v>
      </c>
      <c r="DY5" s="102">
        <f>MIN(IF($AU5=100%,1,1+VLOOKUP(($AJ5-$AI5-$AH5-$AG5-$AF5-$AE5*(1+DY$3))/$AJ5,Уголь_коэфф!$A:$B,2,1)-VLOOKUP($AO5,Уголь_коэфф!$A:$B,2,1)),1+(1-$AU5))</f>
        <v>1</v>
      </c>
      <c r="DZ5" s="102">
        <f>MIN(IF($AU5=100%,1,1+VLOOKUP(($AJ5-$AI5-$AH5-$AG5-$AF5-$AE5*(1+DZ$3))/$AJ5,Уголь_коэфф!$A:$B,2,1)-VLOOKUP($AO5,Уголь_коэфф!$A:$B,2,1)),1+(1-$AU5))</f>
        <v>1</v>
      </c>
      <c r="EA5" s="102">
        <f>MIN(IF($AU5=100%,1,1+VLOOKUP(($AJ5-$AI5-$AH5-$AG5-$AF5-$AE5*(1+EA$3))/$AJ5,Уголь_коэфф!$A:$B,2,1)-VLOOKUP($AO5,Уголь_коэфф!$A:$B,2,1)),1+(1-$AU5))</f>
        <v>1</v>
      </c>
      <c r="EB5" s="102">
        <f>MIN(IF($AU5=100%,1,1+VLOOKUP(($AJ5-$AI5-$AH5-$AG5-$AF5-$AE5*(1+EB$3))/$AJ5,Уголь_коэфф!$A:$B,2,1)-VLOOKUP($AO5,Уголь_коэфф!$A:$B,2,1)),1+(1-$AU5))</f>
        <v>1</v>
      </c>
      <c r="EC5" s="102">
        <f>MIN(IF($AU5=100%,1,1+VLOOKUP(($AJ5-$AI5-$AH5-$AG5-$AF5-$AE5*(1+EC$3))/$AJ5,Уголь_коэфф!$A:$B,2,1)-VLOOKUP($AO5,Уголь_коэфф!$A:$B,2,1)),1+(1-$AU5))</f>
        <v>1</v>
      </c>
      <c r="ED5" s="102">
        <f>MIN(IF($AU5=100%,1,1+VLOOKUP(($AJ5-$AI5-$AH5-$AG5-$AF5-$AE5*(1+ED$3))/$AJ5,Уголь_коэфф!$A:$B,2,1)-VLOOKUP($AO5,Уголь_коэфф!$A:$B,2,1)),1+(1-$AU5))</f>
        <v>1</v>
      </c>
      <c r="EE5" s="102">
        <f>MIN(IF($AU5=100%,1,1+VLOOKUP(($AJ5-$AI5-$AH5-$AG5-$AF5-$AE5*(1+EE$3))/$AJ5,Уголь_коэфф!$A:$B,2,1)-VLOOKUP($AO5,Уголь_коэфф!$A:$B,2,1)),1+(1-$AU5))</f>
        <v>1</v>
      </c>
      <c r="EF5" s="102">
        <f>MIN(IF($AU5=100%,1,1+VLOOKUP(($AJ5-$AI5-$AH5-$AG5-$AF5-$AE5*(1+EF$3))/$AJ5,Уголь_коэфф!$A:$B,2,1)-VLOOKUP($AO5,Уголь_коэфф!$A:$B,2,1)),1+(1-$AU5))</f>
        <v>1</v>
      </c>
      <c r="EG5" s="102">
        <f>MIN(IF($AU5=100%,1,1+VLOOKUP(($AJ5-$AI5-$AH5-$AG5-$AF5-$AE5*(1+EG$3))/$AJ5,Уголь_коэфф!$A:$B,2,1)-VLOOKUP($AO5,Уголь_коэфф!$A:$B,2,1)),1+(1-$AU5))</f>
        <v>1</v>
      </c>
      <c r="EH5" s="102">
        <f>MIN(IF($AU5=100%,1,1+VLOOKUP(($AJ5-$AI5-$AH5-$AG5-$AF5-$AE5*(1+EH$3))/$AJ5,Уголь_коэфф!$A:$B,2,1)-VLOOKUP($AO5,Уголь_коэфф!$A:$B,2,1)),1+(1-$AU5))</f>
        <v>1</v>
      </c>
      <c r="EI5" s="102">
        <f>MIN(IF($AU5=100%,1,1+VLOOKUP(($AJ5-$AI5-$AH5-$AG5-$AF5-$AE5*(1+EI$3))/$AJ5,Уголь_коэфф!$A:$B,2,1)-VLOOKUP($AO5,Уголь_коэфф!$A:$B,2,1)),1+(1-$AU5))</f>
        <v>1</v>
      </c>
      <c r="EJ5" s="102">
        <f>MIN(IF($AU5=100%,1,1+VLOOKUP(($AJ5-$AI5-$AH5-$AG5-$AF5-$AE5*(1+EJ$3))/$AJ5,Уголь_коэфф!$A:$B,2,1)-VLOOKUP($AO5,Уголь_коэфф!$A:$B,2,1)),1+(1-$AU5))</f>
        <v>1</v>
      </c>
      <c r="EK5" s="102">
        <f>MIN(IF($AU5=100%,1,1+VLOOKUP(($AJ5-$AI5-$AH5-$AG5-$AF5-$AE5*(1+EK$3))/$AJ5,Уголь_коэфф!$A:$B,2,1)-VLOOKUP($AO5,Уголь_коэфф!$A:$B,2,1)),1+(1-$AU5))</f>
        <v>1</v>
      </c>
      <c r="EL5" s="102">
        <f>MIN(IF($AU5=100%,1,1+VLOOKUP(($AJ5-$AI5-$AH5-$AG5-$AF5-$AE5*(1+EL$3))/$AJ5,Уголь_коэфф!$A:$B,2,1)-VLOOKUP($AO5,Уголь_коэфф!$A:$B,2,1)),1+(1-$AU5))</f>
        <v>1</v>
      </c>
      <c r="EM5" s="102">
        <f>MIN(IF($AU5=100%,1,1+VLOOKUP(($AJ5-$AI5-$AH5-$AG5-$AF5-$AE5*(1+EM$3))/$AJ5,Уголь_коэфф!$A:$B,2,1)-VLOOKUP($AO5,Уголь_коэфф!$A:$B,2,1)),1+(1-$AU5))</f>
        <v>1</v>
      </c>
      <c r="EN5" s="102">
        <f>MIN(IF($AU5=100%,1,1+VLOOKUP(($AJ5-$AI5-$AH5-$AG5-$AF5-$AE5*(1+EN$3))/$AJ5,Уголь_коэфф!$A:$B,2,1)-VLOOKUP($AO5,Уголь_коэфф!$A:$B,2,1)),1+(1-$AU5))</f>
        <v>1</v>
      </c>
      <c r="EO5" s="102">
        <f>MIN(IF($AU5=100%,1,1+VLOOKUP(($AJ5-$AI5-$AH5-$AG5-$AF5-$AE5*(1+EO$3))/$AJ5,Уголь_коэфф!$A:$B,2,1)-VLOOKUP($AO5,Уголь_коэфф!$A:$B,2,1)),1+(1-$AU5))</f>
        <v>1</v>
      </c>
      <c r="EP5" s="102">
        <f>MIN(IF($AU5=100%,1,1+VLOOKUP(($AJ5-$AI5-$AH5-$AG5-$AF5-$AE5*(1+EP$3))/$AJ5,Уголь_коэфф!$A:$B,2,1)-VLOOKUP($AO5,Уголь_коэфф!$A:$B,2,1)),1+(1-$AU5))</f>
        <v>1</v>
      </c>
      <c r="EQ5" s="102">
        <f>MIN(IF($AU5=100%,1,1+VLOOKUP(($AJ5-$AI5-$AH5-$AG5-$AF5-$AE5*(1+EQ$3))/$AJ5,Уголь_коэфф!$A:$B,2,1)-VLOOKUP($AO5,Уголь_коэфф!$A:$B,2,1)),1+(1-$AU5))</f>
        <v>1</v>
      </c>
      <c r="ER5" s="102">
        <f>MIN(IF($AU5=100%,1,1+VLOOKUP(($AJ5-$AI5-$AH5-$AG5-$AF5-$AE5*(1+ER$3))/$AJ5,Уголь_коэфф!$A:$B,2,1)-VLOOKUP($AO5,Уголь_коэфф!$A:$B,2,1)),1+(1-$AU5))</f>
        <v>1</v>
      </c>
      <c r="ES5" s="102">
        <f>MIN(IF($AU5=100%,1,1+VLOOKUP(($AJ5-$AI5-$AH5-$AG5-$AF5-$AE5*(1+ES$3))/$AJ5,Уголь_коэфф!$A:$B,2,1)-VLOOKUP($AO5,Уголь_коэфф!$A:$B,2,1)),1+(1-$AU5))</f>
        <v>1</v>
      </c>
      <c r="ET5" s="102">
        <f>MIN(IF($AU5=100%,1,1+VLOOKUP(($AJ5-$AI5-$AH5-$AG5-$AF5-$AE5*(1+ET$3))/$AJ5,Уголь_коэфф!$A:$B,2,1)-VLOOKUP($AO5,Уголь_коэфф!$A:$B,2,1)),1+(1-$AU5))</f>
        <v>1</v>
      </c>
      <c r="EU5" s="102">
        <f>MIN(IF($AU5=100%,1,1+VLOOKUP(($AJ5-$AI5-$AH5-$AG5-$AF5-$AE5*(1+EU$3))/$AJ5,Уголь_коэфф!$A:$B,2,1)-VLOOKUP($AO5,Уголь_коэфф!$A:$B,2,1)),1+(1-$AU5))</f>
        <v>1</v>
      </c>
      <c r="EV5" s="103">
        <v>1</v>
      </c>
      <c r="EW5" s="102">
        <f>MIN(1,MAX(VLOOKUP(($AJ5-$AI5-$AH5-$AG5-$AF5-$AE5*(1+EW$3))/$AJ5,Уголь_коэфф!$A:$B,2,1),(EV5-0.05)))</f>
        <v>1</v>
      </c>
      <c r="EX5" s="102">
        <f>MIN(1,MAX(VLOOKUP(($AJ5-$AI5-$AH5-$AG5-$AF5-$AE5*(1+EX$3))/$AJ5,Уголь_коэфф!$A:$B,2,1),(EW5-0.05)))</f>
        <v>1</v>
      </c>
      <c r="EY5" s="102">
        <f>MIN(1,MAX(VLOOKUP(($AJ5-$AI5-$AH5-$AG5-$AF5-$AE5*(1+EY$3))/$AJ5,Уголь_коэфф!$A:$B,2,1),(EX5-0.05)))</f>
        <v>1</v>
      </c>
      <c r="EZ5" s="102">
        <f>MIN(1,MAX(VLOOKUP(($AJ5-$AI5-$AH5-$AG5-$AF5-$AE5*(1+EZ$3))/$AJ5,Уголь_коэфф!$A:$B,2,1),(EY5-0.05)))</f>
        <v>1</v>
      </c>
      <c r="FA5" s="102">
        <f>MIN(1,MAX(VLOOKUP(($AJ5-$AI5-$AH5-$AG5-$AF5-$AE5*(1+FA$3))/$AJ5,Уголь_коэфф!$A:$B,2,1),(EZ5-0.05)))</f>
        <v>1</v>
      </c>
      <c r="FB5" s="102">
        <f>MIN(1,MAX(VLOOKUP(($AJ5-$AI5-$AH5-$AG5-$AF5-$AE5*(1+FB$3))/$AJ5,Уголь_коэфф!$A:$B,2,1),(FA5-0.05)))</f>
        <v>1</v>
      </c>
      <c r="FC5" s="102">
        <f>MIN(1,MAX(VLOOKUP(($AJ5-$AI5-$AH5-$AG5-$AF5-$AE5*(1+FC$3))/$AJ5,Уголь_коэфф!$A:$B,2,1),(FB5-0.05)))</f>
        <v>1</v>
      </c>
      <c r="FD5" s="102">
        <f>MIN(1,MAX(VLOOKUP(($AJ5-$AI5-$AH5-$AG5-$AF5-$AE5*(1+FD$3))/$AJ5,Уголь_коэфф!$A:$B,2,1),(FC5-0.05)))</f>
        <v>1</v>
      </c>
      <c r="FE5" s="102">
        <f>MIN(1,MAX(VLOOKUP(($AJ5-$AI5-$AH5-$AG5-$AF5-$AE5*(1+FE$3))/$AJ5,Уголь_коэфф!$A:$B,2,1),(FD5-0.05)))</f>
        <v>1</v>
      </c>
      <c r="FF5" s="102">
        <f>MIN(1,MAX(VLOOKUP(($AJ5-$AI5-$AH5-$AG5-$AF5-$AE5*(1+FF$3))/$AJ5,Уголь_коэфф!$A:$B,2,1),(FE5-0.05)))</f>
        <v>1</v>
      </c>
      <c r="FG5" s="102">
        <f>MIN(1,MAX(VLOOKUP(($AJ5-$AI5-$AH5-$AG5-$AF5-$AE5*(1+FG$3))/$AJ5,Уголь_коэфф!$A:$B,2,1),(FF5-0.05)))</f>
        <v>1</v>
      </c>
      <c r="FH5" s="102">
        <f>MIN(1,MAX(VLOOKUP(($AJ5-$AI5-$AH5-$AG5-$AF5-$AE5*(1+FH$3))/$AJ5,Уголь_коэфф!$A:$B,2,1),(FG5-0.05)))</f>
        <v>1</v>
      </c>
      <c r="FI5" s="102">
        <f>MIN(1,MAX(VLOOKUP(($AJ5-$AI5-$AH5-$AG5-$AF5-$AE5*(1+FI$3))/$AJ5,Уголь_коэфф!$A:$B,2,1),(FH5-0.05)))</f>
        <v>1</v>
      </c>
      <c r="FJ5" s="102">
        <f>MIN(1,MAX(VLOOKUP(($AJ5-$AI5-$AH5-$AG5-$AF5-$AE5*(1+FJ$3))/$AJ5,Уголь_коэфф!$A:$B,2,1),(FI5-0.05)))</f>
        <v>1</v>
      </c>
      <c r="FK5" s="102">
        <f>MIN(1,MAX(VLOOKUP(($AJ5-$AI5-$AH5-$AG5-$AF5-$AE5*(1+FK$3))/$AJ5,Уголь_коэфф!$A:$B,2,1),(FJ5-0.05)))</f>
        <v>1</v>
      </c>
      <c r="FL5" s="102">
        <f>MIN(1,MAX(VLOOKUP(($AJ5-$AI5-$AH5-$AG5-$AF5-$AE5*(1+FL$3))/$AJ5,Уголь_коэфф!$A:$B,2,1),(FK5-0.05)))</f>
        <v>1</v>
      </c>
      <c r="FM5" s="102">
        <f>MIN(1,MAX(VLOOKUP(($AJ5-$AI5-$AH5-$AG5-$AF5-$AE5*(1+FM$3))/$AJ5,Уголь_коэфф!$A:$B,2,1),(FL5-0.05)))</f>
        <v>1</v>
      </c>
      <c r="FN5" s="102">
        <f>MIN(1,MAX(VLOOKUP(($AJ5-$AI5-$AH5-$AG5-$AF5-$AE5*(1+FN$3))/$AJ5,Уголь_коэфф!$A:$B,2,1),(FM5-0.05)))</f>
        <v>1</v>
      </c>
      <c r="FO5" s="102">
        <f>MIN(1,MAX(VLOOKUP(($AJ5-$AI5-$AH5-$AG5-$AF5-$AE5*(1+FO$3))/$AJ5,Уголь_коэфф!$A:$B,2,1),(FN5-0.05)))</f>
        <v>1</v>
      </c>
      <c r="FP5" s="102">
        <f>MIN(1,MAX(VLOOKUP(($AJ5-$AI5-$AH5-$AG5-$AF5-$AE5*(1+FP$3))/$AJ5,Уголь_коэфф!$A:$B,2,1),(FO5-0.05)))</f>
        <v>1</v>
      </c>
      <c r="FQ5" s="102">
        <f>MIN(1,MAX(VLOOKUP(($AJ5-$AI5-$AH5-$AG5-$AF5-$AE5*(1+FQ$3))/$AJ5,Уголь_коэфф!$A:$B,2,1),(FP5-0.05)))</f>
        <v>1</v>
      </c>
      <c r="FR5" s="102">
        <f>MIN(1,MAX(VLOOKUP(($AJ5-$AI5-$AH5-$AG5-$AF5-$AE5*(1+FR$3))/$AJ5,Уголь_коэфф!$A:$B,2,1),(FQ5-0.05)))</f>
        <v>1</v>
      </c>
      <c r="FS5" s="102">
        <f>MIN(1,MAX(VLOOKUP(($AJ5-$AI5-$AH5-$AG5-$AF5-$AE5*(1+FS$3))/$AJ5,Уголь_коэфф!$A:$B,2,1),(FR5-0.05)))</f>
        <v>1</v>
      </c>
      <c r="FT5" s="102">
        <f>MIN(1,MAX(VLOOKUP(($AJ5-$AI5-$AH5-$AG5-$AF5-$AE5*(1+FT$3))/$AJ5,Уголь_коэфф!$A:$B,2,1),(FS5-0.05)))</f>
        <v>1</v>
      </c>
      <c r="FU5" s="102">
        <f>MIN(1,MAX(VLOOKUP(($AJ5-$AI5-$AH5-$AG5-$AF5-$AE5*(1+FU$3))/$AJ5,Уголь_коэфф!$A:$B,2,1),(FT5-0.05)))</f>
        <v>1</v>
      </c>
      <c r="FV5" s="102">
        <f>MIN(1,MAX(VLOOKUP(($AJ5-$AI5-$AH5-$AG5-$AF5-$AE5*(1+FV$3))/$AJ5,Уголь_коэфф!$A:$B,2,1),(FU5-0.05)))</f>
        <v>1</v>
      </c>
      <c r="FW5" s="102">
        <f>MIN(1,MAX(VLOOKUP(($AJ5-$AI5-$AH5-$AG5-$AF5-$AE5*(1+FW$3))/$AJ5,Уголь_коэфф!$A:$B,2,1),(FV5-0.05)))</f>
        <v>1</v>
      </c>
      <c r="FX5" s="102">
        <f>MIN(1,MAX(VLOOKUP(($AJ5-$AI5-$AH5-$AG5-$AF5-$AE5*(1+FX$3))/$AJ5,Уголь_коэфф!$A:$B,2,1),(FW5-0.05)))</f>
        <v>1</v>
      </c>
      <c r="FY5" s="102">
        <f>MIN(1,MAX(VLOOKUP(($AJ5-$AI5-$AH5-$AG5-$AF5-$AE5*(1+FY$3))/$AJ5,Уголь_коэфф!$A:$B,2,1),(FX5-0.05)))</f>
        <v>0.995</v>
      </c>
      <c r="FZ5" s="102">
        <f>MIN(1,MAX(VLOOKUP(($AJ5-$AI5-$AH5-$AG5-$AF5-$AE5*(1+FZ$3))/$AJ5,Уголь_коэфф!$A:$B,2,1),(FY5-0.05)))</f>
        <v>0.995</v>
      </c>
      <c r="GA5" s="102">
        <f>MIN(1,MAX(VLOOKUP(($AJ5-$AI5-$AH5-$AG5-$AF5-$AE5*(1+GA$3))/$AJ5,Уголь_коэфф!$A:$B,2,1),(FZ5-0.05)))</f>
        <v>0.995</v>
      </c>
      <c r="GB5" s="102">
        <f>MIN(1,MAX(VLOOKUP(($AJ5-$AI5-$AH5-$AG5-$AF5-$AE5*(1+GB$3))/$AJ5,Уголь_коэфф!$A:$B,2,1),(GA5-0.05)))</f>
        <v>0.995</v>
      </c>
      <c r="GC5" s="102">
        <f>MIN(1,MAX(VLOOKUP(($AJ5-$AI5-$AH5-$AG5-$AF5-$AE5*(1+GC$3))/$AJ5,Уголь_коэфф!$A:$B,2,1),(GB5-0.05)))</f>
        <v>0.99</v>
      </c>
      <c r="GD5" s="102">
        <f>MIN(1,MAX(VLOOKUP(($AJ5-$AI5-$AH5-$AG5-$AF5-$AE5*(1+GD$3))/$AJ5,Уголь_коэфф!$A:$B,2,1),(GC5-0.05)))</f>
        <v>0.99</v>
      </c>
      <c r="GE5" s="102">
        <f>MIN(1,MAX(VLOOKUP(($AJ5-$AI5-$AH5-$AG5-$AF5-$AE5*(1+GE$3))/$AJ5,Уголь_коэфф!$A:$B,2,1),(GD5-0.05)))</f>
        <v>0.99</v>
      </c>
      <c r="GF5" s="102">
        <f>MIN(1,MAX(VLOOKUP(($AJ5-$AI5-$AH5-$AG5-$AF5-$AE5*(1+GF$3))/$AJ5,Уголь_коэфф!$A:$B,2,1),(GE5-0.05)))</f>
        <v>0.99</v>
      </c>
      <c r="GG5" s="102">
        <f>MIN(1,MAX(VLOOKUP(($AJ5-$AI5-$AH5-$AG5-$AF5-$AE5*(1+GG$3))/$AJ5,Уголь_коэфф!$A:$B,2,1),(GF5-0.05)))</f>
        <v>0.98499999999999999</v>
      </c>
      <c r="GH5" s="102">
        <f>MIN(1,MAX(VLOOKUP(($AJ5-$AI5-$AH5-$AG5-$AF5-$AE5*(1+GH$3))/$AJ5,Уголь_коэфф!$A:$B,2,1),(GG5-0.05)))</f>
        <v>0.98499999999999999</v>
      </c>
      <c r="GI5" s="102">
        <f>MIN(1,MAX(VLOOKUP(($AJ5-$AI5-$AH5-$AG5-$AF5-$AE5*(1+GI$3))/$AJ5,Уголь_коэфф!$A:$B,2,1),(GH5-0.05)))</f>
        <v>0.98499999999999999</v>
      </c>
      <c r="GJ5" s="102">
        <f>MIN(1,MAX(VLOOKUP(($AJ5-$AI5-$AH5-$AG5-$AF5-$AE5*(1+GJ$3))/$AJ5,Уголь_коэфф!$A:$B,2,1),(GI5-0.05)))</f>
        <v>0.98499999999999999</v>
      </c>
      <c r="GK5" s="102">
        <f>MIN(1,MAX(VLOOKUP(($AJ5-$AI5-$AH5-$AG5-$AF5-$AE5*(1+GK$3))/$AJ5,Уголь_коэфф!$A:$B,2,1),(GJ5-0.05)))</f>
        <v>0.98</v>
      </c>
      <c r="GL5" s="102">
        <f>MIN(1,MAX(VLOOKUP(($AJ5-$AI5-$AH5-$AG5-$AF5-$AE5*(1+GL$3))/$AJ5,Уголь_коэфф!$A:$B,2,1),(GK5-0.05)))</f>
        <v>0.98</v>
      </c>
      <c r="GM5" s="102">
        <f>MIN(1,MAX(VLOOKUP(($AJ5-$AI5-$AH5-$AG5-$AF5-$AE5*(1+GM$3))/$AJ5,Уголь_коэфф!$A:$B,2,1),(GL5-0.05)))</f>
        <v>0.98</v>
      </c>
      <c r="GN5" s="102">
        <f>MIN(1,MAX(VLOOKUP(($AJ5-$AI5-$AH5-$AG5-$AF5-$AE5*(1+GN$3))/$AJ5,Уголь_коэфф!$A:$B,2,1),(GM5-0.05)))</f>
        <v>0.98</v>
      </c>
      <c r="GO5" s="102">
        <f>MIN(1,MAX(VLOOKUP(($AJ5-$AI5-$AH5-$AG5-$AF5-$AE5*(1+GO$3))/$AJ5,Уголь_коэфф!$A:$B,2,1),(GN5-0.05)))</f>
        <v>0.97499999999999998</v>
      </c>
      <c r="GP5" s="102">
        <f>MIN(1,MAX(VLOOKUP(($AJ5-$AI5-$AH5-$AG5-$AF5-$AE5*(1+GP$3))/$AJ5,Уголь_коэфф!$A:$B,2,1),(GO5-0.05)))</f>
        <v>0.97499999999999998</v>
      </c>
      <c r="GQ5" s="102">
        <f>MIN(1,MAX(VLOOKUP(($AJ5-$AI5-$AH5-$AG5-$AF5-$AE5*(1+GQ$3))/$AJ5,Уголь_коэфф!$A:$B,2,1),(GP5-0.05)))</f>
        <v>0.97499999999999998</v>
      </c>
      <c r="GR5" s="102">
        <f>MIN(1,MAX(VLOOKUP(($AJ5-$AI5-$AH5-$AG5-$AF5-$AE5*(1+GR$3))/$AJ5,Уголь_коэфф!$A:$B,2,1),(GQ5-0.05)))</f>
        <v>0.97499999999999998</v>
      </c>
      <c r="GS5" s="102">
        <f>MIN(1,MAX(VLOOKUP(($AJ5-$AI5-$AH5-$AG5-$AF5-$AE5*(1+GS$3))/$AJ5,Уголь_коэфф!$A:$B,2,1),(GR5-0.05)))</f>
        <v>0.97</v>
      </c>
      <c r="GT5" s="102">
        <f>MIN(1,MAX(VLOOKUP(($AJ5-$AI5-$AH5-$AG5-$AF5-$AE5*(1+GT$3))/$AJ5,Уголь_коэфф!$A:$B,2,1),(GS5-0.05)))</f>
        <v>0.97</v>
      </c>
      <c r="GU5" s="102">
        <f>MIN(1,MAX(VLOOKUP(($AJ5-$AI5-$AH5-$AG5-$AF5-$AE5*(1+GU$3))/$AJ5,Уголь_коэфф!$A:$B,2,1),(GT5-0.05)))</f>
        <v>0.97</v>
      </c>
      <c r="GV5" s="102">
        <f>MIN(1,MAX(VLOOKUP(($AJ5-$AI5-$AH5-$AG5-$AF5-$AE5*(1+GV$3))/$AJ5,Уголь_коэфф!$A:$B,2,1),(GU5-0.05)))</f>
        <v>0.97</v>
      </c>
      <c r="GW5" s="102">
        <f>MIN(1,MAX(VLOOKUP(($AJ5-$AI5-$AH5-$AG5-$AF5-$AE5*(1+GW$3))/$AJ5,Уголь_коэфф!$A:$B,2,1),(GV5-0.05)))</f>
        <v>0.96499999999999997</v>
      </c>
      <c r="GX5" s="102">
        <f>MIN(1,MAX(VLOOKUP(($AJ5-$AI5-$AH5-$AG5-$AF5-$AE5*(1+GX$3))/$AJ5,Уголь_коэфф!$A:$B,2,1),(GW5-0.05)))</f>
        <v>0.96499999999999997</v>
      </c>
      <c r="GY5" s="102">
        <f>MIN(1,MAX(VLOOKUP(($AJ5-$AI5-$AH5-$AG5-$AF5-$AE5*(1+GY$3))/$AJ5,Уголь_коэфф!$A:$B,2,1),(GX5-0.05)))</f>
        <v>0.96499999999999997</v>
      </c>
      <c r="GZ5" s="102">
        <f>MIN(1,MAX(VLOOKUP(($AJ5-$AI5-$AH5-$AG5-$AF5-$AE5*(1+GZ$3))/$AJ5,Уголь_коэфф!$A:$B,2,1),(GY5-0.05)))</f>
        <v>0.96499999999999997</v>
      </c>
      <c r="HA5" s="102">
        <f>MIN(1,MAX(VLOOKUP(($AJ5-$AI5-$AH5-$AG5-$AF5-$AE5*(1+HA$3))/$AJ5,Уголь_коэфф!$A:$B,2,1),(GZ5-0.05)))</f>
        <v>0.96</v>
      </c>
      <c r="HB5" s="102">
        <f>MIN(1,MAX(VLOOKUP(($AJ5-$AI5-$AH5-$AG5-$AF5-$AE5*(1+HB$3))/$AJ5,Уголь_коэфф!$A:$B,2,1),(HA5-0.05)))</f>
        <v>0.96</v>
      </c>
      <c r="HC5" s="102">
        <f>MIN(1,MAX(VLOOKUP(($AJ5-$AI5-$AH5-$AG5-$AF5-$AE5*(1+HC$3))/$AJ5,Уголь_коэфф!$A:$B,2,1),(HB5-0.05)))</f>
        <v>0.96</v>
      </c>
      <c r="HD5" s="102">
        <f>MIN(1,MAX(VLOOKUP(($AJ5-$AI5-$AH5-$AG5-$AF5-$AE5*(1+HD$3))/$AJ5,Уголь_коэфф!$A:$B,2,1),(HC5-0.05)))</f>
        <v>0.96</v>
      </c>
      <c r="HE5" s="102">
        <f>MIN(1,MAX(VLOOKUP(($AJ5-$AI5-$AH5-$AG5-$AF5-$AE5*(1+HE$3))/$AJ5,Уголь_коэфф!$A:$B,2,1),(HD5-0.05)))</f>
        <v>0.95499999999999996</v>
      </c>
      <c r="HF5" s="102">
        <f>MIN(1,MAX(VLOOKUP(($AJ5-$AI5-$AH5-$AG5-$AF5-$AE5*(1+HF$3))/$AJ5,Уголь_коэфф!$A:$B,2,1),(HE5-0.05)))</f>
        <v>0.95499999999999996</v>
      </c>
      <c r="HG5" s="102">
        <f>MIN(1,MAX(VLOOKUP(($AJ5-$AI5-$AH5-$AG5-$AF5-$AE5*(1+HG$3))/$AJ5,Уголь_коэфф!$A:$B,2,1),(HF5-0.05)))</f>
        <v>0.95499999999999996</v>
      </c>
      <c r="HH5" s="102">
        <f>MIN(1,MAX(VLOOKUP(($AJ5-$AI5-$AH5-$AG5-$AF5-$AE5*(1+HH$3))/$AJ5,Уголь_коэфф!$A:$B,2,1),(HG5-0.05)))</f>
        <v>0.95499999999999996</v>
      </c>
      <c r="HI5" s="102">
        <f>MIN(1,MAX(VLOOKUP(($AJ5-$AI5-$AH5-$AG5-$AF5-$AE5*(1+HI$3))/$AJ5,Уголь_коэфф!$A:$B,2,1),(HH5-0.05)))</f>
        <v>0.95499999999999996</v>
      </c>
      <c r="HJ5" s="102">
        <f>MIN(1,MAX(VLOOKUP(($AJ5-$AI5-$AH5-$AG5-$AF5-$AE5*(1+HJ$3))/$AJ5,Уголь_коэфф!$A:$B,2,1),(HI5-0.05)))</f>
        <v>0.95</v>
      </c>
      <c r="HK5" s="102">
        <f>MIN(1,MAX(VLOOKUP(($AJ5-$AI5-$AH5-$AG5-$AF5-$AE5*(1+HK$3))/$AJ5,Уголь_коэфф!$A:$B,2,1),(HJ5-0.05)))</f>
        <v>0.95</v>
      </c>
      <c r="HL5" s="102">
        <f>MIN(1,MAX(VLOOKUP(($AJ5-$AI5-$AH5-$AG5-$AF5-$AE5*(1+HL$3))/$AJ5,Уголь_коэфф!$A:$B,2,1),(HK5-0.05)))</f>
        <v>0.95</v>
      </c>
      <c r="HM5" s="102">
        <f>MIN(1,MAX(VLOOKUP(($AJ5-$AI5-$AH5-$AG5-$AF5-$AE5*(1+HM$3))/$AJ5,Уголь_коэфф!$A:$B,2,1),(HL5-0.05)))</f>
        <v>0.95</v>
      </c>
      <c r="HN5" s="102">
        <f>MIN(1,MAX(VLOOKUP(($AJ5-$AI5-$AH5-$AG5-$AF5-$AE5*(1+HN$3))/$AJ5,Уголь_коэфф!$A:$B,2,1),(HM5-0.05)))</f>
        <v>0.94499999999999995</v>
      </c>
      <c r="HO5" s="102">
        <f>MIN(1,MAX(VLOOKUP(($AJ5-$AI5-$AH5-$AG5-$AF5-$AE5*(1+HO$3))/$AJ5,Уголь_коэфф!$A:$B,2,1),(HN5-0.05)))</f>
        <v>0.94499999999999995</v>
      </c>
      <c r="HP5" s="102">
        <f>MIN(1,MAX(VLOOKUP(($AJ5-$AI5-$AH5-$AG5-$AF5-$AE5*(1+HP$3))/$AJ5,Уголь_коэфф!$A:$B,2,1),(HO5-0.05)))</f>
        <v>0.94499999999999995</v>
      </c>
      <c r="HQ5" s="102">
        <f>MIN(1,MAX(VLOOKUP(($AJ5-$AI5-$AH5-$AG5-$AF5-$AE5*(1+HQ$3))/$AJ5,Уголь_коэфф!$A:$B,2,1),(HP5-0.05)))</f>
        <v>0.94499999999999995</v>
      </c>
      <c r="HR5" s="102">
        <f>MIN(1,MAX(VLOOKUP(($AJ5-$AI5-$AH5-$AG5-$AF5-$AE5*(1+HR$3))/$AJ5,Уголь_коэфф!$A:$B,2,1),(HQ5-0.05)))</f>
        <v>0.94</v>
      </c>
      <c r="HS5" s="102">
        <f>MIN(1,MAX(VLOOKUP(($AJ5-$AI5-$AH5-$AG5-$AF5-$AE5*(1+HS$3))/$AJ5,Уголь_коэфф!$A:$B,2,1),(HR5-0.05)))</f>
        <v>0.94</v>
      </c>
      <c r="HT5" s="102">
        <f>MIN(1,MAX(VLOOKUP(($AJ5-$AI5-$AH5-$AG5-$AF5-$AE5*(1+HT$3))/$AJ5,Уголь_коэфф!$A:$B,2,1),(HS5-0.05)))</f>
        <v>0.94</v>
      </c>
      <c r="HU5" s="102">
        <f>MIN(1,MAX(VLOOKUP(($AJ5-$AI5-$AH5-$AG5-$AF5-$AE5*(1+HU$3))/$AJ5,Уголь_коэфф!$A:$B,2,1),(HT5-0.05)))</f>
        <v>0.94</v>
      </c>
      <c r="HV5" s="102">
        <f>MIN(1,MAX(VLOOKUP(($AJ5-$AI5-$AH5-$AG5-$AF5-$AE5*(1+HV$3))/$AJ5,Уголь_коэфф!$A:$B,2,1),(HU5-0.05)))</f>
        <v>0.93500000000000005</v>
      </c>
      <c r="HW5" s="102">
        <f>MIN(1,MAX(VLOOKUP(($AJ5-$AI5-$AH5-$AG5-$AF5-$AE5*(1+HW$3))/$AJ5,Уголь_коэфф!$A:$B,2,1),(HV5-0.05)))</f>
        <v>0.93500000000000005</v>
      </c>
      <c r="HX5" s="102">
        <f>MIN(1,MAX(VLOOKUP(($AJ5-$AI5-$AH5-$AG5-$AF5-$AE5*(1+HX$3))/$AJ5,Уголь_коэфф!$A:$B,2,1),(HW5-0.05)))</f>
        <v>0.93500000000000005</v>
      </c>
      <c r="HY5" s="102">
        <f>MIN(1,MAX(VLOOKUP(($AJ5-$AI5-$AH5-$AG5-$AF5-$AE5*(1+HY$3))/$AJ5,Уголь_коэфф!$A:$B,2,1),(HX5-0.05)))</f>
        <v>0.93500000000000005</v>
      </c>
      <c r="HZ5" s="102">
        <f>MIN(1,MAX(VLOOKUP(($AJ5-$AI5-$AH5-$AG5-$AF5-$AE5*(1+HZ$3))/$AJ5,Уголь_коэфф!$A:$B,2,1),(HY5-0.05)))</f>
        <v>0.93</v>
      </c>
      <c r="IA5" s="102">
        <f>MIN(1,MAX(VLOOKUP(($AJ5-$AI5-$AH5-$AG5-$AF5-$AE5*(1+IA$3))/$AJ5,Уголь_коэфф!$A:$B,2,1),(HZ5-0.05)))</f>
        <v>0.93</v>
      </c>
      <c r="IB5" s="102">
        <f>MIN(1,MAX(VLOOKUP(($AJ5-$AI5-$AH5-$AG5-$AF5-$AE5*(1+IB$3))/$AJ5,Уголь_коэфф!$A:$B,2,1),(IA5-0.05)))</f>
        <v>0.93</v>
      </c>
      <c r="IC5" s="102">
        <f>MIN(1,MAX(VLOOKUP(($AJ5-$AI5-$AH5-$AG5-$AF5-$AE5*(1+IC$3))/$AJ5,Уголь_коэфф!$A:$B,2,1),(IB5-0.05)))</f>
        <v>0.93</v>
      </c>
      <c r="ID5" s="102">
        <f>MIN(1,MAX(VLOOKUP(($AJ5-$AI5-$AH5-$AG5-$AF5-$AE5*(1+ID$3))/$AJ5,Уголь_коэфф!$A:$B,2,1),(IC5-0.05)))</f>
        <v>0.92500000000000004</v>
      </c>
      <c r="IE5" s="102">
        <f>MIN(1,MAX(VLOOKUP(($AJ5-$AI5-$AH5-$AG5-$AF5-$AE5*(1+IE$3))/$AJ5,Уголь_коэфф!$A:$B,2,1),(ID5-0.05)))</f>
        <v>0.92500000000000004</v>
      </c>
      <c r="IF5" s="102">
        <f>MIN(1,MAX(VLOOKUP(($AJ5-$AI5-$AH5-$AG5-$AF5-$AE5*(1+IF$3))/$AJ5,Уголь_коэфф!$A:$B,2,1),(IE5-0.05)))</f>
        <v>0.92500000000000004</v>
      </c>
      <c r="IG5" s="102">
        <f>MIN(1,MAX(VLOOKUP(($AJ5-$AI5-$AH5-$AG5-$AF5-$AE5*(1+IG$3))/$AJ5,Уголь_коэфф!$A:$B,2,1),(IF5-0.05)))</f>
        <v>0.92500000000000004</v>
      </c>
      <c r="IH5" s="102">
        <f>MIN(1,MAX(VLOOKUP(($AJ5-$AI5-$AH5-$AG5-$AF5-$AE5*(1+IH$3))/$AJ5,Уголь_коэфф!$A:$B,2,1),(IG5-0.05)))</f>
        <v>0.92</v>
      </c>
      <c r="II5" s="102">
        <f>MIN(1,MAX(VLOOKUP(($AJ5-$AI5-$AH5-$AG5-$AF5-$AE5*(1+II$3))/$AJ5,Уголь_коэфф!$A:$B,2,1),(IH5-0.05)))</f>
        <v>0.92</v>
      </c>
      <c r="IJ5" s="102">
        <f>MIN(1,MAX(VLOOKUP(($AJ5-$AI5-$AH5-$AG5-$AF5-$AE5*(1+IJ$3))/$AJ5,Уголь_коэфф!$A:$B,2,1),(II5-0.05)))</f>
        <v>0.92</v>
      </c>
      <c r="IK5" s="102">
        <f>MIN(1,MAX(VLOOKUP(($AJ5-$AI5-$AH5-$AG5-$AF5-$AE5*(1+IK$3))/$AJ5,Уголь_коэфф!$A:$B,2,1),(IJ5-0.05)))</f>
        <v>0.92</v>
      </c>
      <c r="IL5" s="102">
        <f>MIN(1,MAX(VLOOKUP(($AJ5-$AI5-$AH5-$AG5-$AF5-$AE5*(1+IL$3))/$AJ5,Уголь_коэфф!$A:$B,2,1),(IK5-0.05)))</f>
        <v>0.91400000000000003</v>
      </c>
      <c r="IM5" s="102">
        <f>MIN(1,MAX(VLOOKUP(($AJ5-$AI5-$AH5-$AG5-$AF5-$AE5*(1+IM$3))/$AJ5,Уголь_коэфф!$A:$B,2,1),(IL5-0.05)))</f>
        <v>0.91400000000000003</v>
      </c>
      <c r="IN5" s="102">
        <f>MIN(1,MAX(VLOOKUP(($AJ5-$AI5-$AH5-$AG5-$AF5-$AE5*(1+IN$3))/$AJ5,Уголь_коэфф!$A:$B,2,1),(IM5-0.05)))</f>
        <v>0.91400000000000003</v>
      </c>
      <c r="IO5" s="102">
        <f>MIN(1,MAX(VLOOKUP(($AJ5-$AI5-$AH5-$AG5-$AF5-$AE5*(1+IO$3))/$AJ5,Уголь_коэфф!$A:$B,2,1),(IN5-0.05)))</f>
        <v>0.91400000000000003</v>
      </c>
      <c r="IP5" s="102">
        <f>MIN(1,MAX(VLOOKUP(($AJ5-$AI5-$AH5-$AG5-$AF5-$AE5*(1+IP$3))/$AJ5,Уголь_коэфф!$A:$B,2,1),(IO5-0.05)))</f>
        <v>0.90800000000000003</v>
      </c>
      <c r="IQ5" s="102">
        <f>MIN(1,MAX(VLOOKUP(($AJ5-$AI5-$AH5-$AG5-$AF5-$AE5*(1+IQ$3))/$AJ5,Уголь_коэфф!$A:$B,2,1),(IP5-0.05)))</f>
        <v>0.90800000000000003</v>
      </c>
      <c r="IR5" s="102">
        <f>MIN(1,MAX(VLOOKUP(($AJ5-$AI5-$AH5-$AG5-$AF5-$AE5*(1+IR$3))/$AJ5,Уголь_коэфф!$A:$B,2,1),(IQ5-0.05)))</f>
        <v>0.90800000000000003</v>
      </c>
      <c r="IS5" s="102">
        <f t="shared" ref="IS5:IS27" si="20">HLOOKUP($IS$2,$AZ$3:$IR$27,ROW(IR5)-2,FALSE)</f>
        <v>1</v>
      </c>
      <c r="IT5" s="102">
        <f t="shared" si="7"/>
        <v>1</v>
      </c>
      <c r="IU5" s="110"/>
    </row>
    <row r="6" spans="1:266" ht="14.6" customHeight="1">
      <c r="A6" s="60" t="s">
        <v>241</v>
      </c>
      <c r="B6" s="111">
        <v>1</v>
      </c>
      <c r="C6" s="112" t="s">
        <v>16</v>
      </c>
      <c r="D6" s="113">
        <v>16112</v>
      </c>
      <c r="E6" s="113" t="s">
        <v>28</v>
      </c>
      <c r="F6" s="112" t="s">
        <v>18</v>
      </c>
      <c r="G6" s="112" t="s">
        <v>29</v>
      </c>
      <c r="H6" s="113" t="s">
        <v>34</v>
      </c>
      <c r="I6" s="112" t="s">
        <v>31</v>
      </c>
      <c r="J6" s="113" t="s">
        <v>35</v>
      </c>
      <c r="K6" s="113">
        <v>4832</v>
      </c>
      <c r="L6" s="113" t="s">
        <v>22</v>
      </c>
      <c r="M6" s="113" t="s">
        <v>23</v>
      </c>
      <c r="N6" s="113" t="s">
        <v>24</v>
      </c>
      <c r="O6" s="113" t="s">
        <v>36</v>
      </c>
      <c r="P6" s="116">
        <v>54657469</v>
      </c>
      <c r="Q6" s="114" t="s">
        <v>26</v>
      </c>
      <c r="R6" s="113" t="s">
        <v>27</v>
      </c>
      <c r="S6" s="117">
        <v>399916</v>
      </c>
      <c r="T6" s="115">
        <v>1932276609</v>
      </c>
      <c r="U6" s="115">
        <v>5484</v>
      </c>
      <c r="V6" s="115"/>
      <c r="W6" s="118">
        <v>750324310</v>
      </c>
      <c r="X6" s="104">
        <v>75</v>
      </c>
      <c r="Y6" s="104" t="s">
        <v>163</v>
      </c>
      <c r="Z6" s="107">
        <v>11</v>
      </c>
      <c r="AA6" s="107">
        <v>11</v>
      </c>
      <c r="AB6" s="107">
        <v>4</v>
      </c>
      <c r="AC6" s="88">
        <v>1990.61</v>
      </c>
      <c r="AD6" s="88">
        <v>928.22</v>
      </c>
      <c r="AE6" s="88">
        <f t="shared" si="8"/>
        <v>2918.83</v>
      </c>
      <c r="AF6" s="89">
        <f>'Цены,перевалка,аренда'!$C$26*SUM(Уголь_эластика_экспорт!Z6+Уголь_эластика_экспорт!AA6+Уголь_эластика_экспорт!AB6)/Уголь_эластика_экспорт!X6</f>
        <v>346.66666666666669</v>
      </c>
      <c r="AG6" s="90">
        <f>SUMIF('Цены,перевалка,аренда'!$A$20:$A$22,Уголь_эластика_экспорт!$O6,'Цены,перевалка,аренда'!$D$20:$D$22)</f>
        <v>991.97149999999988</v>
      </c>
      <c r="AH6" s="47"/>
      <c r="AI6" s="91">
        <v>2020</v>
      </c>
      <c r="AJ6" s="92">
        <f>SUMIF('Цены,перевалка,аренда'!$A$5:$A$17,Уголь_эластика_экспорт!A6,'Цены,перевалка,аренда'!$D$5:$D$17)</f>
        <v>7249.0224999999991</v>
      </c>
      <c r="AK6" s="47">
        <f>AJ6/'Цены,перевалка,аренда'!$C$1</f>
        <v>95</v>
      </c>
      <c r="AL6" s="47">
        <f t="shared" si="9"/>
        <v>4257.4681666666665</v>
      </c>
      <c r="AM6" s="47">
        <f t="shared" si="10"/>
        <v>2991.5543333333326</v>
      </c>
      <c r="AN6" s="47">
        <f t="shared" si="11"/>
        <v>6277.4681666666656</v>
      </c>
      <c r="AO6" s="93">
        <f t="shared" si="12"/>
        <v>0.13402556459623813</v>
      </c>
      <c r="AP6" s="94">
        <f t="shared" si="13"/>
        <v>0.58731617492795296</v>
      </c>
      <c r="AQ6" s="94">
        <f t="shared" si="5"/>
        <v>0.4026515299131711</v>
      </c>
      <c r="AR6" s="94">
        <f t="shared" si="6"/>
        <v>0.68557881955586353</v>
      </c>
      <c r="AS6" s="167">
        <f t="shared" si="14"/>
        <v>1</v>
      </c>
      <c r="AT6" s="173">
        <f t="shared" si="15"/>
        <v>399916</v>
      </c>
      <c r="AU6" s="96">
        <v>1</v>
      </c>
      <c r="AV6" s="93">
        <f t="shared" si="16"/>
        <v>8.5707381006657424E-2</v>
      </c>
      <c r="AW6" s="94">
        <f t="shared" si="17"/>
        <v>0.63563435851753358</v>
      </c>
      <c r="AX6" s="94">
        <f t="shared" si="18"/>
        <v>0.45096971350275167</v>
      </c>
      <c r="AY6" s="94">
        <f t="shared" si="19"/>
        <v>0.70947976216158548</v>
      </c>
      <c r="AZ6" s="102">
        <f>MIN(IF($AU6=100%,1,1+VLOOKUP(($AJ6-$AI6-$AH6-$AG6-$AF6-$AE6*(1+AZ$3))/$AJ6,Уголь_коэфф!$A:$B,2,1)-VLOOKUP($AO6,Уголь_коэфф!$A:$B,2,1)),1+(1-$AU6))</f>
        <v>1</v>
      </c>
      <c r="BA6" s="102">
        <f>MIN(IF($AU6=100%,1,1+VLOOKUP(($AJ6-$AI6-$AH6-$AG6-$AF6-$AE6*(1+BA$3))/$AJ6,Уголь_коэфф!$A:$B,2,1)-VLOOKUP($AO6,Уголь_коэфф!$A:$B,2,1)),1+(1-$AU6))</f>
        <v>1</v>
      </c>
      <c r="BB6" s="102">
        <f>MIN(IF($AU6=100%,1,1+VLOOKUP(($AJ6-$AI6-$AH6-$AG6-$AF6-$AE6*(1+BB$3))/$AJ6,Уголь_коэфф!$A:$B,2,1)-VLOOKUP($AO6,Уголь_коэфф!$A:$B,2,1)),1+(1-$AU6))</f>
        <v>1</v>
      </c>
      <c r="BC6" s="102">
        <f>MIN(IF($AU6=100%,1,1+VLOOKUP(($AJ6-$AI6-$AH6-$AG6-$AF6-$AE6*(1+BC$3))/$AJ6,Уголь_коэфф!$A:$B,2,1)-VLOOKUP($AO6,Уголь_коэфф!$A:$B,2,1)),1+(1-$AU6))</f>
        <v>1</v>
      </c>
      <c r="BD6" s="102">
        <f>MIN(IF($AU6=100%,1,1+VLOOKUP(($AJ6-$AI6-$AH6-$AG6-$AF6-$AE6*(1+BD$3))/$AJ6,Уголь_коэфф!$A:$B,2,1)-VLOOKUP($AO6,Уголь_коэфф!$A:$B,2,1)),1+(1-$AU6))</f>
        <v>1</v>
      </c>
      <c r="BE6" s="102">
        <f>MIN(IF($AU6=100%,1,1+VLOOKUP(($AJ6-$AI6-$AH6-$AG6-$AF6-$AE6*(1+BE$3))/$AJ6,Уголь_коэфф!$A:$B,2,1)-VLOOKUP($AO6,Уголь_коэфф!$A:$B,2,1)),1+(1-$AU6))</f>
        <v>1</v>
      </c>
      <c r="BF6" s="102">
        <f>MIN(IF($AU6=100%,1,1+VLOOKUP(($AJ6-$AI6-$AH6-$AG6-$AF6-$AE6*(1+BF$3))/$AJ6,Уголь_коэфф!$A:$B,2,1)-VLOOKUP($AO6,Уголь_коэфф!$A:$B,2,1)),1+(1-$AU6))</f>
        <v>1</v>
      </c>
      <c r="BG6" s="102">
        <f>MIN(IF($AU6=100%,1,1+VLOOKUP(($AJ6-$AI6-$AH6-$AG6-$AF6-$AE6*(1+BG$3))/$AJ6,Уголь_коэфф!$A:$B,2,1)-VLOOKUP($AO6,Уголь_коэфф!$A:$B,2,1)),1+(1-$AU6))</f>
        <v>1</v>
      </c>
      <c r="BH6" s="102">
        <f>MIN(IF($AU6=100%,1,1+VLOOKUP(($AJ6-$AI6-$AH6-$AG6-$AF6-$AE6*(1+BH$3))/$AJ6,Уголь_коэфф!$A:$B,2,1)-VLOOKUP($AO6,Уголь_коэфф!$A:$B,2,1)),1+(1-$AU6))</f>
        <v>1</v>
      </c>
      <c r="BI6" s="102">
        <f>MIN(IF($AU6=100%,1,1+VLOOKUP(($AJ6-$AI6-$AH6-$AG6-$AF6-$AE6*(1+BI$3))/$AJ6,Уголь_коэфф!$A:$B,2,1)-VLOOKUP($AO6,Уголь_коэфф!$A:$B,2,1)),1+(1-$AU6))</f>
        <v>1</v>
      </c>
      <c r="BJ6" s="102">
        <f>MIN(IF($AU6=100%,1,1+VLOOKUP(($AJ6-$AI6-$AH6-$AG6-$AF6-$AE6*(1+BJ$3))/$AJ6,Уголь_коэфф!$A:$B,2,1)-VLOOKUP($AO6,Уголь_коэфф!$A:$B,2,1)),1+(1-$AU6))</f>
        <v>1</v>
      </c>
      <c r="BK6" s="102">
        <f>MIN(IF($AU6=100%,1,1+VLOOKUP(($AJ6-$AI6-$AH6-$AG6-$AF6-$AE6*(1+BK$3))/$AJ6,Уголь_коэфф!$A:$B,2,1)-VLOOKUP($AO6,Уголь_коэфф!$A:$B,2,1)),1+(1-$AU6))</f>
        <v>1</v>
      </c>
      <c r="BL6" s="102">
        <f>MIN(IF($AU6=100%,1,1+VLOOKUP(($AJ6-$AI6-$AH6-$AG6-$AF6-$AE6*(1+BL$3))/$AJ6,Уголь_коэфф!$A:$B,2,1)-VLOOKUP($AO6,Уголь_коэфф!$A:$B,2,1)),1+(1-$AU6))</f>
        <v>1</v>
      </c>
      <c r="BM6" s="102">
        <f>MIN(IF($AU6=100%,1,1+VLOOKUP(($AJ6-$AI6-$AH6-$AG6-$AF6-$AE6*(1+BM$3))/$AJ6,Уголь_коэфф!$A:$B,2,1)-VLOOKUP($AO6,Уголь_коэфф!$A:$B,2,1)),1+(1-$AU6))</f>
        <v>1</v>
      </c>
      <c r="BN6" s="102">
        <f>MIN(IF($AU6=100%,1,1+VLOOKUP(($AJ6-$AI6-$AH6-$AG6-$AF6-$AE6*(1+BN$3))/$AJ6,Уголь_коэфф!$A:$B,2,1)-VLOOKUP($AO6,Уголь_коэфф!$A:$B,2,1)),1+(1-$AU6))</f>
        <v>1</v>
      </c>
      <c r="BO6" s="102">
        <f>MIN(IF($AU6=100%,1,1+VLOOKUP(($AJ6-$AI6-$AH6-$AG6-$AF6-$AE6*(1+BO$3))/$AJ6,Уголь_коэфф!$A:$B,2,1)-VLOOKUP($AO6,Уголь_коэфф!$A:$B,2,1)),1+(1-$AU6))</f>
        <v>1</v>
      </c>
      <c r="BP6" s="102">
        <f>MIN(IF($AU6=100%,1,1+VLOOKUP(($AJ6-$AI6-$AH6-$AG6-$AF6-$AE6*(1+BP$3))/$AJ6,Уголь_коэфф!$A:$B,2,1)-VLOOKUP($AO6,Уголь_коэфф!$A:$B,2,1)),1+(1-$AU6))</f>
        <v>1</v>
      </c>
      <c r="BQ6" s="102">
        <f>MIN(IF($AU6=100%,1,1+VLOOKUP(($AJ6-$AI6-$AH6-$AG6-$AF6-$AE6*(1+BQ$3))/$AJ6,Уголь_коэфф!$A:$B,2,1)-VLOOKUP($AO6,Уголь_коэфф!$A:$B,2,1)),1+(1-$AU6))</f>
        <v>1</v>
      </c>
      <c r="BR6" s="102">
        <f>MIN(IF($AU6=100%,1,1+VLOOKUP(($AJ6-$AI6-$AH6-$AG6-$AF6-$AE6*(1+BR$3))/$AJ6,Уголь_коэфф!$A:$B,2,1)-VLOOKUP($AO6,Уголь_коэфф!$A:$B,2,1)),1+(1-$AU6))</f>
        <v>1</v>
      </c>
      <c r="BS6" s="102">
        <f>MIN(IF($AU6=100%,1,1+VLOOKUP(($AJ6-$AI6-$AH6-$AG6-$AF6-$AE6*(1+BS$3))/$AJ6,Уголь_коэфф!$A:$B,2,1)-VLOOKUP($AO6,Уголь_коэфф!$A:$B,2,1)),1+(1-$AU6))</f>
        <v>1</v>
      </c>
      <c r="BT6" s="102">
        <f>MIN(IF($AU6=100%,1,1+VLOOKUP(($AJ6-$AI6-$AH6-$AG6-$AF6-$AE6*(1+BT$3))/$AJ6,Уголь_коэфф!$A:$B,2,1)-VLOOKUP($AO6,Уголь_коэфф!$A:$B,2,1)),1+(1-$AU6))</f>
        <v>1</v>
      </c>
      <c r="BU6" s="102">
        <f>MIN(IF($AU6=100%,1,1+VLOOKUP(($AJ6-$AI6-$AH6-$AG6-$AF6-$AE6*(1+BU$3))/$AJ6,Уголь_коэфф!$A:$B,2,1)-VLOOKUP($AO6,Уголь_коэфф!$A:$B,2,1)),1+(1-$AU6))</f>
        <v>1</v>
      </c>
      <c r="BV6" s="102">
        <f>MIN(IF($AU6=100%,1,1+VLOOKUP(($AJ6-$AI6-$AH6-$AG6-$AF6-$AE6*(1+BV$3))/$AJ6,Уголь_коэфф!$A:$B,2,1)-VLOOKUP($AO6,Уголь_коэфф!$A:$B,2,1)),1+(1-$AU6))</f>
        <v>1</v>
      </c>
      <c r="BW6" s="102">
        <f>MIN(IF($AU6=100%,1,1+VLOOKUP(($AJ6-$AI6-$AH6-$AG6-$AF6-$AE6*(1+BW$3))/$AJ6,Уголь_коэфф!$A:$B,2,1)-VLOOKUP($AO6,Уголь_коэфф!$A:$B,2,1)),1+(1-$AU6))</f>
        <v>1</v>
      </c>
      <c r="BX6" s="102">
        <f>MIN(IF($AU6=100%,1,1+VLOOKUP(($AJ6-$AI6-$AH6-$AG6-$AF6-$AE6*(1+BX$3))/$AJ6,Уголь_коэфф!$A:$B,2,1)-VLOOKUP($AO6,Уголь_коэфф!$A:$B,2,1)),1+(1-$AU6))</f>
        <v>1</v>
      </c>
      <c r="BY6" s="102">
        <f>MIN(IF($AU6=100%,1,1+VLOOKUP(($AJ6-$AI6-$AH6-$AG6-$AF6-$AE6*(1+BY$3))/$AJ6,Уголь_коэфф!$A:$B,2,1)-VLOOKUP($AO6,Уголь_коэфф!$A:$B,2,1)),1+(1-$AU6))</f>
        <v>1</v>
      </c>
      <c r="BZ6" s="102">
        <f>MIN(IF($AU6=100%,1,1+VLOOKUP(($AJ6-$AI6-$AH6-$AG6-$AF6-$AE6*(1+BZ$3))/$AJ6,Уголь_коэфф!$A:$B,2,1)-VLOOKUP($AO6,Уголь_коэфф!$A:$B,2,1)),1+(1-$AU6))</f>
        <v>1</v>
      </c>
      <c r="CA6" s="102">
        <f>MIN(IF($AU6=100%,1,1+VLOOKUP(($AJ6-$AI6-$AH6-$AG6-$AF6-$AE6*(1+CA$3))/$AJ6,Уголь_коэфф!$A:$B,2,1)-VLOOKUP($AO6,Уголь_коэфф!$A:$B,2,1)),1+(1-$AU6))</f>
        <v>1</v>
      </c>
      <c r="CB6" s="102">
        <f>MIN(IF($AU6=100%,1,1+VLOOKUP(($AJ6-$AI6-$AH6-$AG6-$AF6-$AE6*(1+CB$3))/$AJ6,Уголь_коэфф!$A:$B,2,1)-VLOOKUP($AO6,Уголь_коэфф!$A:$B,2,1)),1+(1-$AU6))</f>
        <v>1</v>
      </c>
      <c r="CC6" s="102">
        <f>MIN(IF($AU6=100%,1,1+VLOOKUP(($AJ6-$AI6-$AH6-$AG6-$AF6-$AE6*(1+CC$3))/$AJ6,Уголь_коэфф!$A:$B,2,1)-VLOOKUP($AO6,Уголь_коэфф!$A:$B,2,1)),1+(1-$AU6))</f>
        <v>1</v>
      </c>
      <c r="CD6" s="102">
        <f>MIN(IF($AU6=100%,1,1+VLOOKUP(($AJ6-$AI6-$AH6-$AG6-$AF6-$AE6*(1+CD$3))/$AJ6,Уголь_коэфф!$A:$B,2,1)-VLOOKUP($AO6,Уголь_коэфф!$A:$B,2,1)),1+(1-$AU6))</f>
        <v>1</v>
      </c>
      <c r="CE6" s="102">
        <f>MIN(IF($AU6=100%,1,1+VLOOKUP(($AJ6-$AI6-$AH6-$AG6-$AF6-$AE6*(1+CE$3))/$AJ6,Уголь_коэфф!$A:$B,2,1)-VLOOKUP($AO6,Уголь_коэфф!$A:$B,2,1)),1+(1-$AU6))</f>
        <v>1</v>
      </c>
      <c r="CF6" s="102">
        <f>MIN(IF($AU6=100%,1,1+VLOOKUP(($AJ6-$AI6-$AH6-$AG6-$AF6-$AE6*(1+CF$3))/$AJ6,Уголь_коэфф!$A:$B,2,1)-VLOOKUP($AO6,Уголь_коэфф!$A:$B,2,1)),1+(1-$AU6))</f>
        <v>1</v>
      </c>
      <c r="CG6" s="102">
        <f>MIN(IF($AU6=100%,1,1+VLOOKUP(($AJ6-$AI6-$AH6-$AG6-$AF6-$AE6*(1+CG$3))/$AJ6,Уголь_коэфф!$A:$B,2,1)-VLOOKUP($AO6,Уголь_коэфф!$A:$B,2,1)),1+(1-$AU6))</f>
        <v>1</v>
      </c>
      <c r="CH6" s="102">
        <f>MIN(IF($AU6=100%,1,1+VLOOKUP(($AJ6-$AI6-$AH6-$AG6-$AF6-$AE6*(1+CH$3))/$AJ6,Уголь_коэфф!$A:$B,2,1)-VLOOKUP($AO6,Уголь_коэфф!$A:$B,2,1)),1+(1-$AU6))</f>
        <v>1</v>
      </c>
      <c r="CI6" s="102">
        <f>MIN(IF($AU6=100%,1,1+VLOOKUP(($AJ6-$AI6-$AH6-$AG6-$AF6-$AE6*(1+CI$3))/$AJ6,Уголь_коэфф!$A:$B,2,1)-VLOOKUP($AO6,Уголь_коэфф!$A:$B,2,1)),1+(1-$AU6))</f>
        <v>1</v>
      </c>
      <c r="CJ6" s="102">
        <f>MIN(IF($AU6=100%,1,1+VLOOKUP(($AJ6-$AI6-$AH6-$AG6-$AF6-$AE6*(1+CJ$3))/$AJ6,Уголь_коэфф!$A:$B,2,1)-VLOOKUP($AO6,Уголь_коэфф!$A:$B,2,1)),1+(1-$AU6))</f>
        <v>1</v>
      </c>
      <c r="CK6" s="102">
        <f>MIN(IF($AU6=100%,1,1+VLOOKUP(($AJ6-$AI6-$AH6-$AG6-$AF6-$AE6*(1+CK$3))/$AJ6,Уголь_коэфф!$A:$B,2,1)-VLOOKUP($AO6,Уголь_коэфф!$A:$B,2,1)),1+(1-$AU6))</f>
        <v>1</v>
      </c>
      <c r="CL6" s="102">
        <f>MIN(IF($AU6=100%,1,1+VLOOKUP(($AJ6-$AI6-$AH6-$AG6-$AF6-$AE6*(1+CL$3))/$AJ6,Уголь_коэфф!$A:$B,2,1)-VLOOKUP($AO6,Уголь_коэфф!$A:$B,2,1)),1+(1-$AU6))</f>
        <v>1</v>
      </c>
      <c r="CM6" s="102">
        <f>MIN(IF($AU6=100%,1,1+VLOOKUP(($AJ6-$AI6-$AH6-$AG6-$AF6-$AE6*(1+CM$3))/$AJ6,Уголь_коэфф!$A:$B,2,1)-VLOOKUP($AO6,Уголь_коэфф!$A:$B,2,1)),1+(1-$AU6))</f>
        <v>1</v>
      </c>
      <c r="CN6" s="102">
        <f>MIN(IF($AU6=100%,1,1+VLOOKUP(($AJ6-$AI6-$AH6-$AG6-$AF6-$AE6*(1+CN$3))/$AJ6,Уголь_коэфф!$A:$B,2,1)-VLOOKUP($AO6,Уголь_коэфф!$A:$B,2,1)),1+(1-$AU6))</f>
        <v>1</v>
      </c>
      <c r="CO6" s="102">
        <f>MIN(IF($AU6=100%,1,1+VLOOKUP(($AJ6-$AI6-$AH6-$AG6-$AF6-$AE6*(1+CO$3))/$AJ6,Уголь_коэфф!$A:$B,2,1)-VLOOKUP($AO6,Уголь_коэфф!$A:$B,2,1)),1+(1-$AU6))</f>
        <v>1</v>
      </c>
      <c r="CP6" s="102">
        <f>MIN(IF($AU6=100%,1,1+VLOOKUP(($AJ6-$AI6-$AH6-$AG6-$AF6-$AE6*(1+CP$3))/$AJ6,Уголь_коэфф!$A:$B,2,1)-VLOOKUP($AO6,Уголь_коэфф!$A:$B,2,1)),1+(1-$AU6))</f>
        <v>1</v>
      </c>
      <c r="CQ6" s="102">
        <f>MIN(IF($AU6=100%,1,1+VLOOKUP(($AJ6-$AI6-$AH6-$AG6-$AF6-$AE6*(1+CQ$3))/$AJ6,Уголь_коэфф!$A:$B,2,1)-VLOOKUP($AO6,Уголь_коэфф!$A:$B,2,1)),1+(1-$AU6))</f>
        <v>1</v>
      </c>
      <c r="CR6" s="102">
        <f>MIN(IF($AU6=100%,1,1+VLOOKUP(($AJ6-$AI6-$AH6-$AG6-$AF6-$AE6*(1+CR$3))/$AJ6,Уголь_коэфф!$A:$B,2,1)-VLOOKUP($AO6,Уголь_коэфф!$A:$B,2,1)),1+(1-$AU6))</f>
        <v>1</v>
      </c>
      <c r="CS6" s="102">
        <f>MIN(IF($AU6=100%,1,1+VLOOKUP(($AJ6-$AI6-$AH6-$AG6-$AF6-$AE6*(1+CS$3))/$AJ6,Уголь_коэфф!$A:$B,2,1)-VLOOKUP($AO6,Уголь_коэфф!$A:$B,2,1)),1+(1-$AU6))</f>
        <v>1</v>
      </c>
      <c r="CT6" s="102">
        <f>MIN(IF($AU6=100%,1,1+VLOOKUP(($AJ6-$AI6-$AH6-$AG6-$AF6-$AE6*(1+CT$3))/$AJ6,Уголь_коэфф!$A:$B,2,1)-VLOOKUP($AO6,Уголь_коэфф!$A:$B,2,1)),1+(1-$AU6))</f>
        <v>1</v>
      </c>
      <c r="CU6" s="102">
        <f>MIN(IF($AU6=100%,1,1+VLOOKUP(($AJ6-$AI6-$AH6-$AG6-$AF6-$AE6*(1+CU$3))/$AJ6,Уголь_коэфф!$A:$B,2,1)-VLOOKUP($AO6,Уголь_коэфф!$A:$B,2,1)),1+(1-$AU6))</f>
        <v>1</v>
      </c>
      <c r="CV6" s="102">
        <f>MIN(IF($AU6=100%,1,1+VLOOKUP(($AJ6-$AI6-$AH6-$AG6-$AF6-$AE6*(1+CV$3))/$AJ6,Уголь_коэфф!$A:$B,2,1)-VLOOKUP($AO6,Уголь_коэфф!$A:$B,2,1)),1+(1-$AU6))</f>
        <v>1</v>
      </c>
      <c r="CW6" s="102">
        <f>MIN(IF($AU6=100%,1,1+VLOOKUP(($AJ6-$AI6-$AH6-$AG6-$AF6-$AE6*(1+CW$3))/$AJ6,Уголь_коэфф!$A:$B,2,1)-VLOOKUP($AO6,Уголь_коэфф!$A:$B,2,1)),1+(1-$AU6))</f>
        <v>1</v>
      </c>
      <c r="CX6" s="102">
        <f>MIN(IF($AU6=100%,1,1+VLOOKUP(($AJ6-$AI6-$AH6-$AG6-$AF6-$AE6*(1+CX$3))/$AJ6,Уголь_коэфф!$A:$B,2,1)-VLOOKUP($AO6,Уголь_коэфф!$A:$B,2,1)),1+(1-$AU6))</f>
        <v>1</v>
      </c>
      <c r="CY6" s="102">
        <f>MIN(IF($AU6=100%,1,1+VLOOKUP(($AJ6-$AI6-$AH6-$AG6-$AF6-$AE6*(1+CY$3))/$AJ6,Уголь_коэфф!$A:$B,2,1)-VLOOKUP($AO6,Уголь_коэфф!$A:$B,2,1)),1+(1-$AU6))</f>
        <v>1</v>
      </c>
      <c r="CZ6" s="102">
        <f>MIN(IF($AU6=100%,1,1+VLOOKUP(($AJ6-$AI6-$AH6-$AG6-$AF6-$AE6*(1+CZ$3))/$AJ6,Уголь_коэфф!$A:$B,2,1)-VLOOKUP($AO6,Уголь_коэфф!$A:$B,2,1)),1+(1-$AU6))</f>
        <v>1</v>
      </c>
      <c r="DA6" s="102">
        <f>MIN(IF($AU6=100%,1,1+VLOOKUP(($AJ6-$AI6-$AH6-$AG6-$AF6-$AE6*(1+DA$3))/$AJ6,Уголь_коэфф!$A:$B,2,1)-VLOOKUP($AO6,Уголь_коэфф!$A:$B,2,1)),1+(1-$AU6))</f>
        <v>1</v>
      </c>
      <c r="DB6" s="102">
        <f>MIN(IF($AU6=100%,1,1+VLOOKUP(($AJ6-$AI6-$AH6-$AG6-$AF6-$AE6*(1+DB$3))/$AJ6,Уголь_коэфф!$A:$B,2,1)-VLOOKUP($AO6,Уголь_коэфф!$A:$B,2,1)),1+(1-$AU6))</f>
        <v>1</v>
      </c>
      <c r="DC6" s="102">
        <f>MIN(IF($AU6=100%,1,1+VLOOKUP(($AJ6-$AI6-$AH6-$AG6-$AF6-$AE6*(1+DC$3))/$AJ6,Уголь_коэфф!$A:$B,2,1)-VLOOKUP($AO6,Уголь_коэфф!$A:$B,2,1)),1+(1-$AU6))</f>
        <v>1</v>
      </c>
      <c r="DD6" s="102">
        <f>MIN(IF($AU6=100%,1,1+VLOOKUP(($AJ6-$AI6-$AH6-$AG6-$AF6-$AE6*(1+DD$3))/$AJ6,Уголь_коэфф!$A:$B,2,1)-VLOOKUP($AO6,Уголь_коэфф!$A:$B,2,1)),1+(1-$AU6))</f>
        <v>1</v>
      </c>
      <c r="DE6" s="102">
        <f>MIN(IF($AU6=100%,1,1+VLOOKUP(($AJ6-$AI6-$AH6-$AG6-$AF6-$AE6*(1+DE$3))/$AJ6,Уголь_коэфф!$A:$B,2,1)-VLOOKUP($AO6,Уголь_коэфф!$A:$B,2,1)),1+(1-$AU6))</f>
        <v>1</v>
      </c>
      <c r="DF6" s="102">
        <f>MIN(IF($AU6=100%,1,1+VLOOKUP(($AJ6-$AI6-$AH6-$AG6-$AF6-$AE6*(1+DF$3))/$AJ6,Уголь_коэфф!$A:$B,2,1)-VLOOKUP($AO6,Уголь_коэфф!$A:$B,2,1)),1+(1-$AU6))</f>
        <v>1</v>
      </c>
      <c r="DG6" s="102">
        <f>MIN(IF($AU6=100%,1,1+VLOOKUP(($AJ6-$AI6-$AH6-$AG6-$AF6-$AE6*(1+DG$3))/$AJ6,Уголь_коэфф!$A:$B,2,1)-VLOOKUP($AO6,Уголь_коэфф!$A:$B,2,1)),1+(1-$AU6))</f>
        <v>1</v>
      </c>
      <c r="DH6" s="102">
        <f>MIN(IF($AU6=100%,1,1+VLOOKUP(($AJ6-$AI6-$AH6-$AG6-$AF6-$AE6*(1+DH$3))/$AJ6,Уголь_коэфф!$A:$B,2,1)-VLOOKUP($AO6,Уголь_коэфф!$A:$B,2,1)),1+(1-$AU6))</f>
        <v>1</v>
      </c>
      <c r="DI6" s="102">
        <f>MIN(IF($AU6=100%,1,1+VLOOKUP(($AJ6-$AI6-$AH6-$AG6-$AF6-$AE6*(1+DI$3))/$AJ6,Уголь_коэфф!$A:$B,2,1)-VLOOKUP($AO6,Уголь_коэфф!$A:$B,2,1)),1+(1-$AU6))</f>
        <v>1</v>
      </c>
      <c r="DJ6" s="102">
        <f>MIN(IF($AU6=100%,1,1+VLOOKUP(($AJ6-$AI6-$AH6-$AG6-$AF6-$AE6*(1+DJ$3))/$AJ6,Уголь_коэфф!$A:$B,2,1)-VLOOKUP($AO6,Уголь_коэфф!$A:$B,2,1)),1+(1-$AU6))</f>
        <v>1</v>
      </c>
      <c r="DK6" s="102">
        <f>MIN(IF($AU6=100%,1,1+VLOOKUP(($AJ6-$AI6-$AH6-$AG6-$AF6-$AE6*(1+DK$3))/$AJ6,Уголь_коэфф!$A:$B,2,1)-VLOOKUP($AO6,Уголь_коэфф!$A:$B,2,1)),1+(1-$AU6))</f>
        <v>1</v>
      </c>
      <c r="DL6" s="102">
        <f>MIN(IF($AU6=100%,1,1+VLOOKUP(($AJ6-$AI6-$AH6-$AG6-$AF6-$AE6*(1+DL$3))/$AJ6,Уголь_коэфф!$A:$B,2,1)-VLOOKUP($AO6,Уголь_коэфф!$A:$B,2,1)),1+(1-$AU6))</f>
        <v>1</v>
      </c>
      <c r="DM6" s="102">
        <f>MIN(IF($AU6=100%,1,1+VLOOKUP(($AJ6-$AI6-$AH6-$AG6-$AF6-$AE6*(1+DM$3))/$AJ6,Уголь_коэфф!$A:$B,2,1)-VLOOKUP($AO6,Уголь_коэфф!$A:$B,2,1)),1+(1-$AU6))</f>
        <v>1</v>
      </c>
      <c r="DN6" s="102">
        <f>MIN(IF($AU6=100%,1,1+VLOOKUP(($AJ6-$AI6-$AH6-$AG6-$AF6-$AE6*(1+DN$3))/$AJ6,Уголь_коэфф!$A:$B,2,1)-VLOOKUP($AO6,Уголь_коэфф!$A:$B,2,1)),1+(1-$AU6))</f>
        <v>1</v>
      </c>
      <c r="DO6" s="102">
        <f>MIN(IF($AU6=100%,1,1+VLOOKUP(($AJ6-$AI6-$AH6-$AG6-$AF6-$AE6*(1+DO$3))/$AJ6,Уголь_коэфф!$A:$B,2,1)-VLOOKUP($AO6,Уголь_коэфф!$A:$B,2,1)),1+(1-$AU6))</f>
        <v>1</v>
      </c>
      <c r="DP6" s="102">
        <f>MIN(IF($AU6=100%,1,1+VLOOKUP(($AJ6-$AI6-$AH6-$AG6-$AF6-$AE6*(1+DP$3))/$AJ6,Уголь_коэфф!$A:$B,2,1)-VLOOKUP($AO6,Уголь_коэфф!$A:$B,2,1)),1+(1-$AU6))</f>
        <v>1</v>
      </c>
      <c r="DQ6" s="102">
        <f>MIN(IF($AU6=100%,1,1+VLOOKUP(($AJ6-$AI6-$AH6-$AG6-$AF6-$AE6*(1+DQ$3))/$AJ6,Уголь_коэфф!$A:$B,2,1)-VLOOKUP($AO6,Уголь_коэфф!$A:$B,2,1)),1+(1-$AU6))</f>
        <v>1</v>
      </c>
      <c r="DR6" s="102">
        <f>MIN(IF($AU6=100%,1,1+VLOOKUP(($AJ6-$AI6-$AH6-$AG6-$AF6-$AE6*(1+DR$3))/$AJ6,Уголь_коэфф!$A:$B,2,1)-VLOOKUP($AO6,Уголь_коэфф!$A:$B,2,1)),1+(1-$AU6))</f>
        <v>1</v>
      </c>
      <c r="DS6" s="102">
        <f>MIN(IF($AU6=100%,1,1+VLOOKUP(($AJ6-$AI6-$AH6-$AG6-$AF6-$AE6*(1+DS$3))/$AJ6,Уголь_коэфф!$A:$B,2,1)-VLOOKUP($AO6,Уголь_коэфф!$A:$B,2,1)),1+(1-$AU6))</f>
        <v>1</v>
      </c>
      <c r="DT6" s="102">
        <f>MIN(IF($AU6=100%,1,1+VLOOKUP(($AJ6-$AI6-$AH6-$AG6-$AF6-$AE6*(1+DT$3))/$AJ6,Уголь_коэфф!$A:$B,2,1)-VLOOKUP($AO6,Уголь_коэфф!$A:$B,2,1)),1+(1-$AU6))</f>
        <v>1</v>
      </c>
      <c r="DU6" s="102">
        <f>MIN(IF($AU6=100%,1,1+VLOOKUP(($AJ6-$AI6-$AH6-$AG6-$AF6-$AE6*(1+DU$3))/$AJ6,Уголь_коэфф!$A:$B,2,1)-VLOOKUP($AO6,Уголь_коэфф!$A:$B,2,1)),1+(1-$AU6))</f>
        <v>1</v>
      </c>
      <c r="DV6" s="102">
        <f>MIN(IF($AU6=100%,1,1+VLOOKUP(($AJ6-$AI6-$AH6-$AG6-$AF6-$AE6*(1+DV$3))/$AJ6,Уголь_коэфф!$A:$B,2,1)-VLOOKUP($AO6,Уголь_коэфф!$A:$B,2,1)),1+(1-$AU6))</f>
        <v>1</v>
      </c>
      <c r="DW6" s="102">
        <f>MIN(IF($AU6=100%,1,1+VLOOKUP(($AJ6-$AI6-$AH6-$AG6-$AF6-$AE6*(1+DW$3))/$AJ6,Уголь_коэфф!$A:$B,2,1)-VLOOKUP($AO6,Уголь_коэфф!$A:$B,2,1)),1+(1-$AU6))</f>
        <v>1</v>
      </c>
      <c r="DX6" s="102">
        <f>MIN(IF($AU6=100%,1,1+VLOOKUP(($AJ6-$AI6-$AH6-$AG6-$AF6-$AE6*(1+DX$3))/$AJ6,Уголь_коэфф!$A:$B,2,1)-VLOOKUP($AO6,Уголь_коэфф!$A:$B,2,1)),1+(1-$AU6))</f>
        <v>1</v>
      </c>
      <c r="DY6" s="102">
        <f>MIN(IF($AU6=100%,1,1+VLOOKUP(($AJ6-$AI6-$AH6-$AG6-$AF6-$AE6*(1+DY$3))/$AJ6,Уголь_коэфф!$A:$B,2,1)-VLOOKUP($AO6,Уголь_коэфф!$A:$B,2,1)),1+(1-$AU6))</f>
        <v>1</v>
      </c>
      <c r="DZ6" s="102">
        <f>MIN(IF($AU6=100%,1,1+VLOOKUP(($AJ6-$AI6-$AH6-$AG6-$AF6-$AE6*(1+DZ$3))/$AJ6,Уголь_коэфф!$A:$B,2,1)-VLOOKUP($AO6,Уголь_коэфф!$A:$B,2,1)),1+(1-$AU6))</f>
        <v>1</v>
      </c>
      <c r="EA6" s="102">
        <f>MIN(IF($AU6=100%,1,1+VLOOKUP(($AJ6-$AI6-$AH6-$AG6-$AF6-$AE6*(1+EA$3))/$AJ6,Уголь_коэфф!$A:$B,2,1)-VLOOKUP($AO6,Уголь_коэфф!$A:$B,2,1)),1+(1-$AU6))</f>
        <v>1</v>
      </c>
      <c r="EB6" s="102">
        <f>MIN(IF($AU6=100%,1,1+VLOOKUP(($AJ6-$AI6-$AH6-$AG6-$AF6-$AE6*(1+EB$3))/$AJ6,Уголь_коэфф!$A:$B,2,1)-VLOOKUP($AO6,Уголь_коэфф!$A:$B,2,1)),1+(1-$AU6))</f>
        <v>1</v>
      </c>
      <c r="EC6" s="102">
        <f>MIN(IF($AU6=100%,1,1+VLOOKUP(($AJ6-$AI6-$AH6-$AG6-$AF6-$AE6*(1+EC$3))/$AJ6,Уголь_коэфф!$A:$B,2,1)-VLOOKUP($AO6,Уголь_коэфф!$A:$B,2,1)),1+(1-$AU6))</f>
        <v>1</v>
      </c>
      <c r="ED6" s="102">
        <f>MIN(IF($AU6=100%,1,1+VLOOKUP(($AJ6-$AI6-$AH6-$AG6-$AF6-$AE6*(1+ED$3))/$AJ6,Уголь_коэфф!$A:$B,2,1)-VLOOKUP($AO6,Уголь_коэфф!$A:$B,2,1)),1+(1-$AU6))</f>
        <v>1</v>
      </c>
      <c r="EE6" s="102">
        <f>MIN(IF($AU6=100%,1,1+VLOOKUP(($AJ6-$AI6-$AH6-$AG6-$AF6-$AE6*(1+EE$3))/$AJ6,Уголь_коэфф!$A:$B,2,1)-VLOOKUP($AO6,Уголь_коэфф!$A:$B,2,1)),1+(1-$AU6))</f>
        <v>1</v>
      </c>
      <c r="EF6" s="102">
        <f>MIN(IF($AU6=100%,1,1+VLOOKUP(($AJ6-$AI6-$AH6-$AG6-$AF6-$AE6*(1+EF$3))/$AJ6,Уголь_коэфф!$A:$B,2,1)-VLOOKUP($AO6,Уголь_коэфф!$A:$B,2,1)),1+(1-$AU6))</f>
        <v>1</v>
      </c>
      <c r="EG6" s="102">
        <f>MIN(IF($AU6=100%,1,1+VLOOKUP(($AJ6-$AI6-$AH6-$AG6-$AF6-$AE6*(1+EG$3))/$AJ6,Уголь_коэфф!$A:$B,2,1)-VLOOKUP($AO6,Уголь_коэфф!$A:$B,2,1)),1+(1-$AU6))</f>
        <v>1</v>
      </c>
      <c r="EH6" s="102">
        <f>MIN(IF($AU6=100%,1,1+VLOOKUP(($AJ6-$AI6-$AH6-$AG6-$AF6-$AE6*(1+EH$3))/$AJ6,Уголь_коэфф!$A:$B,2,1)-VLOOKUP($AO6,Уголь_коэфф!$A:$B,2,1)),1+(1-$AU6))</f>
        <v>1</v>
      </c>
      <c r="EI6" s="102">
        <f>MIN(IF($AU6=100%,1,1+VLOOKUP(($AJ6-$AI6-$AH6-$AG6-$AF6-$AE6*(1+EI$3))/$AJ6,Уголь_коэфф!$A:$B,2,1)-VLOOKUP($AO6,Уголь_коэфф!$A:$B,2,1)),1+(1-$AU6))</f>
        <v>1</v>
      </c>
      <c r="EJ6" s="102">
        <f>MIN(IF($AU6=100%,1,1+VLOOKUP(($AJ6-$AI6-$AH6-$AG6-$AF6-$AE6*(1+EJ$3))/$AJ6,Уголь_коэфф!$A:$B,2,1)-VLOOKUP($AO6,Уголь_коэфф!$A:$B,2,1)),1+(1-$AU6))</f>
        <v>1</v>
      </c>
      <c r="EK6" s="102">
        <f>MIN(IF($AU6=100%,1,1+VLOOKUP(($AJ6-$AI6-$AH6-$AG6-$AF6-$AE6*(1+EK$3))/$AJ6,Уголь_коэфф!$A:$B,2,1)-VLOOKUP($AO6,Уголь_коэфф!$A:$B,2,1)),1+(1-$AU6))</f>
        <v>1</v>
      </c>
      <c r="EL6" s="102">
        <f>MIN(IF($AU6=100%,1,1+VLOOKUP(($AJ6-$AI6-$AH6-$AG6-$AF6-$AE6*(1+EL$3))/$AJ6,Уголь_коэфф!$A:$B,2,1)-VLOOKUP($AO6,Уголь_коэфф!$A:$B,2,1)),1+(1-$AU6))</f>
        <v>1</v>
      </c>
      <c r="EM6" s="102">
        <f>MIN(IF($AU6=100%,1,1+VLOOKUP(($AJ6-$AI6-$AH6-$AG6-$AF6-$AE6*(1+EM$3))/$AJ6,Уголь_коэфф!$A:$B,2,1)-VLOOKUP($AO6,Уголь_коэфф!$A:$B,2,1)),1+(1-$AU6))</f>
        <v>1</v>
      </c>
      <c r="EN6" s="102">
        <f>MIN(IF($AU6=100%,1,1+VLOOKUP(($AJ6-$AI6-$AH6-$AG6-$AF6-$AE6*(1+EN$3))/$AJ6,Уголь_коэфф!$A:$B,2,1)-VLOOKUP($AO6,Уголь_коэфф!$A:$B,2,1)),1+(1-$AU6))</f>
        <v>1</v>
      </c>
      <c r="EO6" s="102">
        <f>MIN(IF($AU6=100%,1,1+VLOOKUP(($AJ6-$AI6-$AH6-$AG6-$AF6-$AE6*(1+EO$3))/$AJ6,Уголь_коэфф!$A:$B,2,1)-VLOOKUP($AO6,Уголь_коэфф!$A:$B,2,1)),1+(1-$AU6))</f>
        <v>1</v>
      </c>
      <c r="EP6" s="102">
        <f>MIN(IF($AU6=100%,1,1+VLOOKUP(($AJ6-$AI6-$AH6-$AG6-$AF6-$AE6*(1+EP$3))/$AJ6,Уголь_коэфф!$A:$B,2,1)-VLOOKUP($AO6,Уголь_коэфф!$A:$B,2,1)),1+(1-$AU6))</f>
        <v>1</v>
      </c>
      <c r="EQ6" s="102">
        <f>MIN(IF($AU6=100%,1,1+VLOOKUP(($AJ6-$AI6-$AH6-$AG6-$AF6-$AE6*(1+EQ$3))/$AJ6,Уголь_коэфф!$A:$B,2,1)-VLOOKUP($AO6,Уголь_коэфф!$A:$B,2,1)),1+(1-$AU6))</f>
        <v>1</v>
      </c>
      <c r="ER6" s="102">
        <f>MIN(IF($AU6=100%,1,1+VLOOKUP(($AJ6-$AI6-$AH6-$AG6-$AF6-$AE6*(1+ER$3))/$AJ6,Уголь_коэфф!$A:$B,2,1)-VLOOKUP($AO6,Уголь_коэфф!$A:$B,2,1)),1+(1-$AU6))</f>
        <v>1</v>
      </c>
      <c r="ES6" s="102">
        <f>MIN(IF($AU6=100%,1,1+VLOOKUP(($AJ6-$AI6-$AH6-$AG6-$AF6-$AE6*(1+ES$3))/$AJ6,Уголь_коэфф!$A:$B,2,1)-VLOOKUP($AO6,Уголь_коэфф!$A:$B,2,1)),1+(1-$AU6))</f>
        <v>1</v>
      </c>
      <c r="ET6" s="102">
        <f>MIN(IF($AU6=100%,1,1+VLOOKUP(($AJ6-$AI6-$AH6-$AG6-$AF6-$AE6*(1+ET$3))/$AJ6,Уголь_коэфф!$A:$B,2,1)-VLOOKUP($AO6,Уголь_коэфф!$A:$B,2,1)),1+(1-$AU6))</f>
        <v>1</v>
      </c>
      <c r="EU6" s="102">
        <f>MIN(IF($AU6=100%,1,1+VLOOKUP(($AJ6-$AI6-$AH6-$AG6-$AF6-$AE6*(1+EU$3))/$AJ6,Уголь_коэфф!$A:$B,2,1)-VLOOKUP($AO6,Уголь_коэфф!$A:$B,2,1)),1+(1-$AU6))</f>
        <v>1</v>
      </c>
      <c r="EV6" s="103">
        <v>1</v>
      </c>
      <c r="EW6" s="102">
        <f>MIN(1,MAX(VLOOKUP(($AJ6-$AI6-$AH6-$AG6-$AF6-$AE6*(1+EW$3))/$AJ6,Уголь_коэфф!$A:$B,2,1),(EV6-0.05)))</f>
        <v>1</v>
      </c>
      <c r="EX6" s="102">
        <f>MIN(1,MAX(VLOOKUP(($AJ6-$AI6-$AH6-$AG6-$AF6-$AE6*(1+EX$3))/$AJ6,Уголь_коэфф!$A:$B,2,1),(EW6-0.05)))</f>
        <v>1</v>
      </c>
      <c r="EY6" s="102">
        <f>MIN(1,MAX(VLOOKUP(($AJ6-$AI6-$AH6-$AG6-$AF6-$AE6*(1+EY$3))/$AJ6,Уголь_коэфф!$A:$B,2,1),(EX6-0.05)))</f>
        <v>1</v>
      </c>
      <c r="EZ6" s="102">
        <f>MIN(1,MAX(VLOOKUP(($AJ6-$AI6-$AH6-$AG6-$AF6-$AE6*(1+EZ$3))/$AJ6,Уголь_коэфф!$A:$B,2,1),(EY6-0.05)))</f>
        <v>1</v>
      </c>
      <c r="FA6" s="102">
        <f>MIN(1,MAX(VLOOKUP(($AJ6-$AI6-$AH6-$AG6-$AF6-$AE6*(1+FA$3))/$AJ6,Уголь_коэфф!$A:$B,2,1),(EZ6-0.05)))</f>
        <v>1</v>
      </c>
      <c r="FB6" s="102">
        <f>MIN(1,MAX(VLOOKUP(($AJ6-$AI6-$AH6-$AG6-$AF6-$AE6*(1+FB$3))/$AJ6,Уголь_коэфф!$A:$B,2,1),(FA6-0.05)))</f>
        <v>1</v>
      </c>
      <c r="FC6" s="102">
        <f>MIN(1,MAX(VLOOKUP(($AJ6-$AI6-$AH6-$AG6-$AF6-$AE6*(1+FC$3))/$AJ6,Уголь_коэфф!$A:$B,2,1),(FB6-0.05)))</f>
        <v>1</v>
      </c>
      <c r="FD6" s="102">
        <f>MIN(1,MAX(VLOOKUP(($AJ6-$AI6-$AH6-$AG6-$AF6-$AE6*(1+FD$3))/$AJ6,Уголь_коэфф!$A:$B,2,1),(FC6-0.05)))</f>
        <v>1</v>
      </c>
      <c r="FE6" s="102">
        <f>MIN(1,MAX(VLOOKUP(($AJ6-$AI6-$AH6-$AG6-$AF6-$AE6*(1+FE$3))/$AJ6,Уголь_коэфф!$A:$B,2,1),(FD6-0.05)))</f>
        <v>1</v>
      </c>
      <c r="FF6" s="102">
        <f>MIN(1,MAX(VLOOKUP(($AJ6-$AI6-$AH6-$AG6-$AF6-$AE6*(1+FF$3))/$AJ6,Уголь_коэфф!$A:$B,2,1),(FE6-0.05)))</f>
        <v>1</v>
      </c>
      <c r="FG6" s="102">
        <f>MIN(1,MAX(VLOOKUP(($AJ6-$AI6-$AH6-$AG6-$AF6-$AE6*(1+FG$3))/$AJ6,Уголь_коэфф!$A:$B,2,1),(FF6-0.05)))</f>
        <v>1</v>
      </c>
      <c r="FH6" s="102">
        <f>MIN(1,MAX(VLOOKUP(($AJ6-$AI6-$AH6-$AG6-$AF6-$AE6*(1+FH$3))/$AJ6,Уголь_коэфф!$A:$B,2,1),(FG6-0.05)))</f>
        <v>1</v>
      </c>
      <c r="FI6" s="102">
        <f>MIN(1,MAX(VLOOKUP(($AJ6-$AI6-$AH6-$AG6-$AF6-$AE6*(1+FI$3))/$AJ6,Уголь_коэфф!$A:$B,2,1),(FH6-0.05)))</f>
        <v>1</v>
      </c>
      <c r="FJ6" s="102">
        <f>MIN(1,MAX(VLOOKUP(($AJ6-$AI6-$AH6-$AG6-$AF6-$AE6*(1+FJ$3))/$AJ6,Уголь_коэфф!$A:$B,2,1),(FI6-0.05)))</f>
        <v>1</v>
      </c>
      <c r="FK6" s="102">
        <f>MIN(1,MAX(VLOOKUP(($AJ6-$AI6-$AH6-$AG6-$AF6-$AE6*(1+FK$3))/$AJ6,Уголь_коэфф!$A:$B,2,1),(FJ6-0.05)))</f>
        <v>1</v>
      </c>
      <c r="FL6" s="102">
        <f>MIN(1,MAX(VLOOKUP(($AJ6-$AI6-$AH6-$AG6-$AF6-$AE6*(1+FL$3))/$AJ6,Уголь_коэфф!$A:$B,2,1),(FK6-0.05)))</f>
        <v>1</v>
      </c>
      <c r="FM6" s="102">
        <f>MIN(1,MAX(VLOOKUP(($AJ6-$AI6-$AH6-$AG6-$AF6-$AE6*(1+FM$3))/$AJ6,Уголь_коэфф!$A:$B,2,1),(FL6-0.05)))</f>
        <v>1</v>
      </c>
      <c r="FN6" s="102">
        <f>MIN(1,MAX(VLOOKUP(($AJ6-$AI6-$AH6-$AG6-$AF6-$AE6*(1+FN$3))/$AJ6,Уголь_коэфф!$A:$B,2,1),(FM6-0.05)))</f>
        <v>1</v>
      </c>
      <c r="FO6" s="102">
        <f>MIN(1,MAX(VLOOKUP(($AJ6-$AI6-$AH6-$AG6-$AF6-$AE6*(1+FO$3))/$AJ6,Уголь_коэфф!$A:$B,2,1),(FN6-0.05)))</f>
        <v>1</v>
      </c>
      <c r="FP6" s="102">
        <f>MIN(1,MAX(VLOOKUP(($AJ6-$AI6-$AH6-$AG6-$AF6-$AE6*(1+FP$3))/$AJ6,Уголь_коэфф!$A:$B,2,1),(FO6-0.05)))</f>
        <v>1</v>
      </c>
      <c r="FQ6" s="102">
        <f>MIN(1,MAX(VLOOKUP(($AJ6-$AI6-$AH6-$AG6-$AF6-$AE6*(1+FQ$3))/$AJ6,Уголь_коэфф!$A:$B,2,1),(FP6-0.05)))</f>
        <v>1</v>
      </c>
      <c r="FR6" s="102">
        <f>MIN(1,MAX(VLOOKUP(($AJ6-$AI6-$AH6-$AG6-$AF6-$AE6*(1+FR$3))/$AJ6,Уголь_коэфф!$A:$B,2,1),(FQ6-0.05)))</f>
        <v>1</v>
      </c>
      <c r="FS6" s="102">
        <f>MIN(1,MAX(VLOOKUP(($AJ6-$AI6-$AH6-$AG6-$AF6-$AE6*(1+FS$3))/$AJ6,Уголь_коэфф!$A:$B,2,1),(FR6-0.05)))</f>
        <v>1</v>
      </c>
      <c r="FT6" s="102">
        <f>MIN(1,MAX(VLOOKUP(($AJ6-$AI6-$AH6-$AG6-$AF6-$AE6*(1+FT$3))/$AJ6,Уголь_коэфф!$A:$B,2,1),(FS6-0.05)))</f>
        <v>1</v>
      </c>
      <c r="FU6" s="102">
        <f>MIN(1,MAX(VLOOKUP(($AJ6-$AI6-$AH6-$AG6-$AF6-$AE6*(1+FU$3))/$AJ6,Уголь_коэфф!$A:$B,2,1),(FT6-0.05)))</f>
        <v>1</v>
      </c>
      <c r="FV6" s="102">
        <f>MIN(1,MAX(VLOOKUP(($AJ6-$AI6-$AH6-$AG6-$AF6-$AE6*(1+FV$3))/$AJ6,Уголь_коэфф!$A:$B,2,1),(FU6-0.05)))</f>
        <v>1</v>
      </c>
      <c r="FW6" s="102">
        <f>MIN(1,MAX(VLOOKUP(($AJ6-$AI6-$AH6-$AG6-$AF6-$AE6*(1+FW$3))/$AJ6,Уголь_коэфф!$A:$B,2,1),(FV6-0.05)))</f>
        <v>1</v>
      </c>
      <c r="FX6" s="102">
        <f>MIN(1,MAX(VLOOKUP(($AJ6-$AI6-$AH6-$AG6-$AF6-$AE6*(1+FX$3))/$AJ6,Уголь_коэфф!$A:$B,2,1),(FW6-0.05)))</f>
        <v>1</v>
      </c>
      <c r="FY6" s="102">
        <f>MIN(1,MAX(VLOOKUP(($AJ6-$AI6-$AH6-$AG6-$AF6-$AE6*(1+FY$3))/$AJ6,Уголь_коэфф!$A:$B,2,1),(FX6-0.05)))</f>
        <v>1</v>
      </c>
      <c r="FZ6" s="102">
        <f>MIN(1,MAX(VLOOKUP(($AJ6-$AI6-$AH6-$AG6-$AF6-$AE6*(1+FZ$3))/$AJ6,Уголь_коэфф!$A:$B,2,1),(FY6-0.05)))</f>
        <v>1</v>
      </c>
      <c r="GA6" s="102">
        <f>MIN(1,MAX(VLOOKUP(($AJ6-$AI6-$AH6-$AG6-$AF6-$AE6*(1+GA$3))/$AJ6,Уголь_коэфф!$A:$B,2,1),(FZ6-0.05)))</f>
        <v>1</v>
      </c>
      <c r="GB6" s="102">
        <f>MIN(1,MAX(VLOOKUP(($AJ6-$AI6-$AH6-$AG6-$AF6-$AE6*(1+GB$3))/$AJ6,Уголь_коэфф!$A:$B,2,1),(GA6-0.05)))</f>
        <v>1</v>
      </c>
      <c r="GC6" s="102">
        <f>MIN(1,MAX(VLOOKUP(($AJ6-$AI6-$AH6-$AG6-$AF6-$AE6*(1+GC$3))/$AJ6,Уголь_коэфф!$A:$B,2,1),(GB6-0.05)))</f>
        <v>1</v>
      </c>
      <c r="GD6" s="102">
        <f>MIN(1,MAX(VLOOKUP(($AJ6-$AI6-$AH6-$AG6-$AF6-$AE6*(1+GD$3))/$AJ6,Уголь_коэфф!$A:$B,2,1),(GC6-0.05)))</f>
        <v>1</v>
      </c>
      <c r="GE6" s="102">
        <f>MIN(1,MAX(VLOOKUP(($AJ6-$AI6-$AH6-$AG6-$AF6-$AE6*(1+GE$3))/$AJ6,Уголь_коэфф!$A:$B,2,1),(GD6-0.05)))</f>
        <v>1</v>
      </c>
      <c r="GF6" s="102">
        <f>MIN(1,MAX(VLOOKUP(($AJ6-$AI6-$AH6-$AG6-$AF6-$AE6*(1+GF$3))/$AJ6,Уголь_коэфф!$A:$B,2,1),(GE6-0.05)))</f>
        <v>1</v>
      </c>
      <c r="GG6" s="102">
        <f>MIN(1,MAX(VLOOKUP(($AJ6-$AI6-$AH6-$AG6-$AF6-$AE6*(1+GG$3))/$AJ6,Уголь_коэфф!$A:$B,2,1),(GF6-0.05)))</f>
        <v>1</v>
      </c>
      <c r="GH6" s="102">
        <f>MIN(1,MAX(VLOOKUP(($AJ6-$AI6-$AH6-$AG6-$AF6-$AE6*(1+GH$3))/$AJ6,Уголь_коэфф!$A:$B,2,1),(GG6-0.05)))</f>
        <v>1</v>
      </c>
      <c r="GI6" s="102">
        <f>MIN(1,MAX(VLOOKUP(($AJ6-$AI6-$AH6-$AG6-$AF6-$AE6*(1+GI$3))/$AJ6,Уголь_коэфф!$A:$B,2,1),(GH6-0.05)))</f>
        <v>1</v>
      </c>
      <c r="GJ6" s="102">
        <f>MIN(1,MAX(VLOOKUP(($AJ6-$AI6-$AH6-$AG6-$AF6-$AE6*(1+GJ$3))/$AJ6,Уголь_коэфф!$A:$B,2,1),(GI6-0.05)))</f>
        <v>1</v>
      </c>
      <c r="GK6" s="102">
        <f>MIN(1,MAX(VLOOKUP(($AJ6-$AI6-$AH6-$AG6-$AF6-$AE6*(1+GK$3))/$AJ6,Уголь_коэфф!$A:$B,2,1),(GJ6-0.05)))</f>
        <v>1</v>
      </c>
      <c r="GL6" s="102">
        <f>MIN(1,MAX(VLOOKUP(($AJ6-$AI6-$AH6-$AG6-$AF6-$AE6*(1+GL$3))/$AJ6,Уголь_коэфф!$A:$B,2,1),(GK6-0.05)))</f>
        <v>1</v>
      </c>
      <c r="GM6" s="102">
        <f>MIN(1,MAX(VLOOKUP(($AJ6-$AI6-$AH6-$AG6-$AF6-$AE6*(1+GM$3))/$AJ6,Уголь_коэфф!$A:$B,2,1),(GL6-0.05)))</f>
        <v>1</v>
      </c>
      <c r="GN6" s="102">
        <f>MIN(1,MAX(VLOOKUP(($AJ6-$AI6-$AH6-$AG6-$AF6-$AE6*(1+GN$3))/$AJ6,Уголь_коэфф!$A:$B,2,1),(GM6-0.05)))</f>
        <v>1</v>
      </c>
      <c r="GO6" s="102">
        <f>MIN(1,MAX(VLOOKUP(($AJ6-$AI6-$AH6-$AG6-$AF6-$AE6*(1+GO$3))/$AJ6,Уголь_коэфф!$A:$B,2,1),(GN6-0.05)))</f>
        <v>1</v>
      </c>
      <c r="GP6" s="102">
        <f>MIN(1,MAX(VLOOKUP(($AJ6-$AI6-$AH6-$AG6-$AF6-$AE6*(1+GP$3))/$AJ6,Уголь_коэфф!$A:$B,2,1),(GO6-0.05)))</f>
        <v>1</v>
      </c>
      <c r="GQ6" s="102">
        <f>MIN(1,MAX(VLOOKUP(($AJ6-$AI6-$AH6-$AG6-$AF6-$AE6*(1+GQ$3))/$AJ6,Уголь_коэфф!$A:$B,2,1),(GP6-0.05)))</f>
        <v>1</v>
      </c>
      <c r="GR6" s="102">
        <f>MIN(1,MAX(VLOOKUP(($AJ6-$AI6-$AH6-$AG6-$AF6-$AE6*(1+GR$3))/$AJ6,Уголь_коэфф!$A:$B,2,1),(GQ6-0.05)))</f>
        <v>1</v>
      </c>
      <c r="GS6" s="102">
        <f>MIN(1,MAX(VLOOKUP(($AJ6-$AI6-$AH6-$AG6-$AF6-$AE6*(1+GS$3))/$AJ6,Уголь_коэфф!$A:$B,2,1),(GR6-0.05)))</f>
        <v>1</v>
      </c>
      <c r="GT6" s="102">
        <f>MIN(1,MAX(VLOOKUP(($AJ6-$AI6-$AH6-$AG6-$AF6-$AE6*(1+GT$3))/$AJ6,Уголь_коэфф!$A:$B,2,1),(GS6-0.05)))</f>
        <v>1</v>
      </c>
      <c r="GU6" s="102">
        <f>MIN(1,MAX(VLOOKUP(($AJ6-$AI6-$AH6-$AG6-$AF6-$AE6*(1+GU$3))/$AJ6,Уголь_коэфф!$A:$B,2,1),(GT6-0.05)))</f>
        <v>1</v>
      </c>
      <c r="GV6" s="102">
        <f>MIN(1,MAX(VLOOKUP(($AJ6-$AI6-$AH6-$AG6-$AF6-$AE6*(1+GV$3))/$AJ6,Уголь_коэфф!$A:$B,2,1),(GU6-0.05)))</f>
        <v>1</v>
      </c>
      <c r="GW6" s="102">
        <f>MIN(1,MAX(VLOOKUP(($AJ6-$AI6-$AH6-$AG6-$AF6-$AE6*(1+GW$3))/$AJ6,Уголь_коэфф!$A:$B,2,1),(GV6-0.05)))</f>
        <v>1</v>
      </c>
      <c r="GX6" s="102">
        <f>MIN(1,MAX(VLOOKUP(($AJ6-$AI6-$AH6-$AG6-$AF6-$AE6*(1+GX$3))/$AJ6,Уголь_коэфф!$A:$B,2,1),(GW6-0.05)))</f>
        <v>1</v>
      </c>
      <c r="GY6" s="102">
        <f>MIN(1,MAX(VLOOKUP(($AJ6-$AI6-$AH6-$AG6-$AF6-$AE6*(1+GY$3))/$AJ6,Уголь_коэфф!$A:$B,2,1),(GX6-0.05)))</f>
        <v>1</v>
      </c>
      <c r="GZ6" s="102">
        <f>MIN(1,MAX(VLOOKUP(($AJ6-$AI6-$AH6-$AG6-$AF6-$AE6*(1+GZ$3))/$AJ6,Уголь_коэфф!$A:$B,2,1),(GY6-0.05)))</f>
        <v>1</v>
      </c>
      <c r="HA6" s="102">
        <f>MIN(1,MAX(VLOOKUP(($AJ6-$AI6-$AH6-$AG6-$AF6-$AE6*(1+HA$3))/$AJ6,Уголь_коэфф!$A:$B,2,1),(GZ6-0.05)))</f>
        <v>1</v>
      </c>
      <c r="HB6" s="102">
        <f>MIN(1,MAX(VLOOKUP(($AJ6-$AI6-$AH6-$AG6-$AF6-$AE6*(1+HB$3))/$AJ6,Уголь_коэфф!$A:$B,2,1),(HA6-0.05)))</f>
        <v>1</v>
      </c>
      <c r="HC6" s="102">
        <f>MIN(1,MAX(VLOOKUP(($AJ6-$AI6-$AH6-$AG6-$AF6-$AE6*(1+HC$3))/$AJ6,Уголь_коэфф!$A:$B,2,1),(HB6-0.05)))</f>
        <v>1</v>
      </c>
      <c r="HD6" s="102">
        <f>MIN(1,MAX(VLOOKUP(($AJ6-$AI6-$AH6-$AG6-$AF6-$AE6*(1+HD$3))/$AJ6,Уголь_коэфф!$A:$B,2,1),(HC6-0.05)))</f>
        <v>1</v>
      </c>
      <c r="HE6" s="102">
        <f>MIN(1,MAX(VLOOKUP(($AJ6-$AI6-$AH6-$AG6-$AF6-$AE6*(1+HE$3))/$AJ6,Уголь_коэфф!$A:$B,2,1),(HD6-0.05)))</f>
        <v>1</v>
      </c>
      <c r="HF6" s="102">
        <f>MIN(1,MAX(VLOOKUP(($AJ6-$AI6-$AH6-$AG6-$AF6-$AE6*(1+HF$3))/$AJ6,Уголь_коэфф!$A:$B,2,1),(HE6-0.05)))</f>
        <v>1</v>
      </c>
      <c r="HG6" s="102">
        <f>MIN(1,MAX(VLOOKUP(($AJ6-$AI6-$AH6-$AG6-$AF6-$AE6*(1+HG$3))/$AJ6,Уголь_коэфф!$A:$B,2,1),(HF6-0.05)))</f>
        <v>1</v>
      </c>
      <c r="HH6" s="102">
        <f>MIN(1,MAX(VLOOKUP(($AJ6-$AI6-$AH6-$AG6-$AF6-$AE6*(1+HH$3))/$AJ6,Уголь_коэфф!$A:$B,2,1),(HG6-0.05)))</f>
        <v>1</v>
      </c>
      <c r="HI6" s="102">
        <f>MIN(1,MAX(VLOOKUP(($AJ6-$AI6-$AH6-$AG6-$AF6-$AE6*(1+HI$3))/$AJ6,Уголь_коэфф!$A:$B,2,1),(HH6-0.05)))</f>
        <v>1</v>
      </c>
      <c r="HJ6" s="102">
        <f>MIN(1,MAX(VLOOKUP(($AJ6-$AI6-$AH6-$AG6-$AF6-$AE6*(1+HJ$3))/$AJ6,Уголь_коэфф!$A:$B,2,1),(HI6-0.05)))</f>
        <v>1</v>
      </c>
      <c r="HK6" s="102">
        <f>MIN(1,MAX(VLOOKUP(($AJ6-$AI6-$AH6-$AG6-$AF6-$AE6*(1+HK$3))/$AJ6,Уголь_коэфф!$A:$B,2,1),(HJ6-0.05)))</f>
        <v>1</v>
      </c>
      <c r="HL6" s="102">
        <f>MIN(1,MAX(VLOOKUP(($AJ6-$AI6-$AH6-$AG6-$AF6-$AE6*(1+HL$3))/$AJ6,Уголь_коэфф!$A:$B,2,1),(HK6-0.05)))</f>
        <v>1</v>
      </c>
      <c r="HM6" s="102">
        <f>MIN(1,MAX(VLOOKUP(($AJ6-$AI6-$AH6-$AG6-$AF6-$AE6*(1+HM$3))/$AJ6,Уголь_коэфф!$A:$B,2,1),(HL6-0.05)))</f>
        <v>1</v>
      </c>
      <c r="HN6" s="102">
        <f>MIN(1,MAX(VLOOKUP(($AJ6-$AI6-$AH6-$AG6-$AF6-$AE6*(1+HN$3))/$AJ6,Уголь_коэфф!$A:$B,2,1),(HM6-0.05)))</f>
        <v>1</v>
      </c>
      <c r="HO6" s="102">
        <f>MIN(1,MAX(VLOOKUP(($AJ6-$AI6-$AH6-$AG6-$AF6-$AE6*(1+HO$3))/$AJ6,Уголь_коэфф!$A:$B,2,1),(HN6-0.05)))</f>
        <v>1</v>
      </c>
      <c r="HP6" s="102">
        <f>MIN(1,MAX(VLOOKUP(($AJ6-$AI6-$AH6-$AG6-$AF6-$AE6*(1+HP$3))/$AJ6,Уголь_коэфф!$A:$B,2,1),(HO6-0.05)))</f>
        <v>1</v>
      </c>
      <c r="HQ6" s="102">
        <f>MIN(1,MAX(VLOOKUP(($AJ6-$AI6-$AH6-$AG6-$AF6-$AE6*(1+HQ$3))/$AJ6,Уголь_коэфф!$A:$B,2,1),(HP6-0.05)))</f>
        <v>1</v>
      </c>
      <c r="HR6" s="102">
        <f>MIN(1,MAX(VLOOKUP(($AJ6-$AI6-$AH6-$AG6-$AF6-$AE6*(1+HR$3))/$AJ6,Уголь_коэфф!$A:$B,2,1),(HQ6-0.05)))</f>
        <v>1</v>
      </c>
      <c r="HS6" s="102">
        <f>MIN(1,MAX(VLOOKUP(($AJ6-$AI6-$AH6-$AG6-$AF6-$AE6*(1+HS$3))/$AJ6,Уголь_коэфф!$A:$B,2,1),(HR6-0.05)))</f>
        <v>1</v>
      </c>
      <c r="HT6" s="102">
        <f>MIN(1,MAX(VLOOKUP(($AJ6-$AI6-$AH6-$AG6-$AF6-$AE6*(1+HT$3))/$AJ6,Уголь_коэфф!$A:$B,2,1),(HS6-0.05)))</f>
        <v>1</v>
      </c>
      <c r="HU6" s="102">
        <f>MIN(1,MAX(VLOOKUP(($AJ6-$AI6-$AH6-$AG6-$AF6-$AE6*(1+HU$3))/$AJ6,Уголь_коэфф!$A:$B,2,1),(HT6-0.05)))</f>
        <v>0.995</v>
      </c>
      <c r="HV6" s="102">
        <f>MIN(1,MAX(VLOOKUP(($AJ6-$AI6-$AH6-$AG6-$AF6-$AE6*(1+HV$3))/$AJ6,Уголь_коэфф!$A:$B,2,1),(HU6-0.05)))</f>
        <v>0.995</v>
      </c>
      <c r="HW6" s="102">
        <f>MIN(1,MAX(VLOOKUP(($AJ6-$AI6-$AH6-$AG6-$AF6-$AE6*(1+HW$3))/$AJ6,Уголь_коэфф!$A:$B,2,1),(HV6-0.05)))</f>
        <v>0.995</v>
      </c>
      <c r="HX6" s="102">
        <f>MIN(1,MAX(VLOOKUP(($AJ6-$AI6-$AH6-$AG6-$AF6-$AE6*(1+HX$3))/$AJ6,Уголь_коэфф!$A:$B,2,1),(HW6-0.05)))</f>
        <v>0.995</v>
      </c>
      <c r="HY6" s="102">
        <f>MIN(1,MAX(VLOOKUP(($AJ6-$AI6-$AH6-$AG6-$AF6-$AE6*(1+HY$3))/$AJ6,Уголь_коэфф!$A:$B,2,1),(HX6-0.05)))</f>
        <v>0.995</v>
      </c>
      <c r="HZ6" s="102">
        <f>MIN(1,MAX(VLOOKUP(($AJ6-$AI6-$AH6-$AG6-$AF6-$AE6*(1+HZ$3))/$AJ6,Уголь_коэфф!$A:$B,2,1),(HY6-0.05)))</f>
        <v>0.99</v>
      </c>
      <c r="IA6" s="102">
        <f>MIN(1,MAX(VLOOKUP(($AJ6-$AI6-$AH6-$AG6-$AF6-$AE6*(1+IA$3))/$AJ6,Уголь_коэфф!$A:$B,2,1),(HZ6-0.05)))</f>
        <v>0.99</v>
      </c>
      <c r="IB6" s="102">
        <f>MIN(1,MAX(VLOOKUP(($AJ6-$AI6-$AH6-$AG6-$AF6-$AE6*(1+IB$3))/$AJ6,Уголь_коэфф!$A:$B,2,1),(IA6-0.05)))</f>
        <v>0.99</v>
      </c>
      <c r="IC6" s="102">
        <f>MIN(1,MAX(VLOOKUP(($AJ6-$AI6-$AH6-$AG6-$AF6-$AE6*(1+IC$3))/$AJ6,Уголь_коэфф!$A:$B,2,1),(IB6-0.05)))</f>
        <v>0.99</v>
      </c>
      <c r="ID6" s="102">
        <f>MIN(1,MAX(VLOOKUP(($AJ6-$AI6-$AH6-$AG6-$AF6-$AE6*(1+ID$3))/$AJ6,Уголь_коэфф!$A:$B,2,1),(IC6-0.05)))</f>
        <v>0.99</v>
      </c>
      <c r="IE6" s="102">
        <f>MIN(1,MAX(VLOOKUP(($AJ6-$AI6-$AH6-$AG6-$AF6-$AE6*(1+IE$3))/$AJ6,Уголь_коэфф!$A:$B,2,1),(ID6-0.05)))</f>
        <v>0.98499999999999999</v>
      </c>
      <c r="IF6" s="102">
        <f>MIN(1,MAX(VLOOKUP(($AJ6-$AI6-$AH6-$AG6-$AF6-$AE6*(1+IF$3))/$AJ6,Уголь_коэфф!$A:$B,2,1),(IE6-0.05)))</f>
        <v>0.98499999999999999</v>
      </c>
      <c r="IG6" s="102">
        <f>MIN(1,MAX(VLOOKUP(($AJ6-$AI6-$AH6-$AG6-$AF6-$AE6*(1+IG$3))/$AJ6,Уголь_коэфф!$A:$B,2,1),(IF6-0.05)))</f>
        <v>0.98499999999999999</v>
      </c>
      <c r="IH6" s="102">
        <f>MIN(1,MAX(VLOOKUP(($AJ6-$AI6-$AH6-$AG6-$AF6-$AE6*(1+IH$3))/$AJ6,Уголь_коэфф!$A:$B,2,1),(IG6-0.05)))</f>
        <v>0.98499999999999999</v>
      </c>
      <c r="II6" s="102">
        <f>MIN(1,MAX(VLOOKUP(($AJ6-$AI6-$AH6-$AG6-$AF6-$AE6*(1+II$3))/$AJ6,Уголь_коэфф!$A:$B,2,1),(IH6-0.05)))</f>
        <v>0.98499999999999999</v>
      </c>
      <c r="IJ6" s="102">
        <f>MIN(1,MAX(VLOOKUP(($AJ6-$AI6-$AH6-$AG6-$AF6-$AE6*(1+IJ$3))/$AJ6,Уголь_коэфф!$A:$B,2,1),(II6-0.05)))</f>
        <v>0.98</v>
      </c>
      <c r="IK6" s="102">
        <f>MIN(1,MAX(VLOOKUP(($AJ6-$AI6-$AH6-$AG6-$AF6-$AE6*(1+IK$3))/$AJ6,Уголь_коэфф!$A:$B,2,1),(IJ6-0.05)))</f>
        <v>0.98</v>
      </c>
      <c r="IL6" s="102">
        <f>MIN(1,MAX(VLOOKUP(($AJ6-$AI6-$AH6-$AG6-$AF6-$AE6*(1+IL$3))/$AJ6,Уголь_коэфф!$A:$B,2,1),(IK6-0.05)))</f>
        <v>0.98</v>
      </c>
      <c r="IM6" s="102">
        <f>MIN(1,MAX(VLOOKUP(($AJ6-$AI6-$AH6-$AG6-$AF6-$AE6*(1+IM$3))/$AJ6,Уголь_коэфф!$A:$B,2,1),(IL6-0.05)))</f>
        <v>0.98</v>
      </c>
      <c r="IN6" s="102">
        <f>MIN(1,MAX(VLOOKUP(($AJ6-$AI6-$AH6-$AG6-$AF6-$AE6*(1+IN$3))/$AJ6,Уголь_коэфф!$A:$B,2,1),(IM6-0.05)))</f>
        <v>0.98</v>
      </c>
      <c r="IO6" s="102">
        <f>MIN(1,MAX(VLOOKUP(($AJ6-$AI6-$AH6-$AG6-$AF6-$AE6*(1+IO$3))/$AJ6,Уголь_коэфф!$A:$B,2,1),(IN6-0.05)))</f>
        <v>0.97499999999999998</v>
      </c>
      <c r="IP6" s="102">
        <f>MIN(1,MAX(VLOOKUP(($AJ6-$AI6-$AH6-$AG6-$AF6-$AE6*(1+IP$3))/$AJ6,Уголь_коэфф!$A:$B,2,1),(IO6-0.05)))</f>
        <v>0.97499999999999998</v>
      </c>
      <c r="IQ6" s="102">
        <f>MIN(1,MAX(VLOOKUP(($AJ6-$AI6-$AH6-$AG6-$AF6-$AE6*(1+IQ$3))/$AJ6,Уголь_коэфф!$A:$B,2,1),(IP6-0.05)))</f>
        <v>0.97499999999999998</v>
      </c>
      <c r="IR6" s="102">
        <f>MIN(1,MAX(VLOOKUP(($AJ6-$AI6-$AH6-$AG6-$AF6-$AE6*(1+IR$3))/$AJ6,Уголь_коэфф!$A:$B,2,1),(IQ6-0.05)))</f>
        <v>0.97499999999999998</v>
      </c>
      <c r="IS6" s="102">
        <f t="shared" si="20"/>
        <v>1</v>
      </c>
      <c r="IT6" s="102">
        <f t="shared" si="7"/>
        <v>1</v>
      </c>
      <c r="IU6" s="110"/>
    </row>
    <row r="7" spans="1:266" ht="14.7" customHeight="1">
      <c r="A7" t="s">
        <v>239</v>
      </c>
      <c r="B7" s="119">
        <v>1</v>
      </c>
      <c r="C7" s="120" t="s">
        <v>16</v>
      </c>
      <c r="D7" s="121">
        <v>16112</v>
      </c>
      <c r="E7" s="121" t="s">
        <v>28</v>
      </c>
      <c r="F7" s="120" t="s">
        <v>18</v>
      </c>
      <c r="G7" s="121" t="s">
        <v>29</v>
      </c>
      <c r="H7" s="121" t="s">
        <v>47</v>
      </c>
      <c r="I7" s="121" t="s">
        <v>48</v>
      </c>
      <c r="J7" s="121" t="s">
        <v>49</v>
      </c>
      <c r="K7" s="121">
        <v>4678</v>
      </c>
      <c r="L7" s="121" t="s">
        <v>22</v>
      </c>
      <c r="M7" s="121" t="s">
        <v>23</v>
      </c>
      <c r="N7" s="121" t="s">
        <v>24</v>
      </c>
      <c r="O7" s="121" t="s">
        <v>25</v>
      </c>
      <c r="P7" s="122">
        <v>1869326</v>
      </c>
      <c r="Q7" s="122" t="s">
        <v>50</v>
      </c>
      <c r="R7" s="121" t="s">
        <v>51</v>
      </c>
      <c r="S7" s="125">
        <v>200545</v>
      </c>
      <c r="T7" s="123">
        <v>938250119</v>
      </c>
      <c r="U7" s="123">
        <v>2877</v>
      </c>
      <c r="V7" s="123"/>
      <c r="W7" s="126">
        <v>485116824</v>
      </c>
      <c r="X7" s="104">
        <v>69</v>
      </c>
      <c r="Y7" s="104" t="s">
        <v>163</v>
      </c>
      <c r="Z7" s="107">
        <v>14</v>
      </c>
      <c r="AA7" s="107">
        <v>14</v>
      </c>
      <c r="AB7" s="107">
        <v>4</v>
      </c>
      <c r="AC7" s="88">
        <v>2198.94</v>
      </c>
      <c r="AD7" s="88">
        <v>1008.9299999999998</v>
      </c>
      <c r="AE7" s="88">
        <f t="shared" ref="AE7:AE9" si="21">AC7+AD7</f>
        <v>3207.87</v>
      </c>
      <c r="AF7" s="89">
        <f>'Цены,перевалка,аренда'!$C$27*SUM(Уголь_эластика_экспорт!Z7+Уголь_эластика_экспорт!AA7+Уголь_эластика_экспорт!AB7)/Уголь_эластика_экспорт!X7</f>
        <v>324.63768115942031</v>
      </c>
      <c r="AG7" s="90"/>
      <c r="AH7" s="47"/>
      <c r="AI7" s="91">
        <v>586</v>
      </c>
      <c r="AJ7" s="92">
        <f>SUMIF('Цены,перевалка,аренда'!$A$5:$A$17,Уголь_эластика_экспорт!A7,'Цены,перевалка,аренда'!$D$5:$D$17)</f>
        <v>8546.2160000000003</v>
      </c>
      <c r="AK7" s="47">
        <f>AJ7/'Цены,перевалка,аренда'!$C$1</f>
        <v>112.00000000000001</v>
      </c>
      <c r="AL7" s="47">
        <f t="shared" si="9"/>
        <v>3532.5076811594204</v>
      </c>
      <c r="AM7" s="47">
        <f t="shared" si="10"/>
        <v>5013.7083188405795</v>
      </c>
      <c r="AN7" s="47">
        <f t="shared" si="11"/>
        <v>4118.5076811594199</v>
      </c>
      <c r="AO7" s="93">
        <f t="shared" si="12"/>
        <v>0.51808991474596244</v>
      </c>
      <c r="AP7" s="94">
        <f t="shared" si="13"/>
        <v>0.41334172704731781</v>
      </c>
      <c r="AQ7" s="94">
        <f t="shared" si="5"/>
        <v>0.37535559597370344</v>
      </c>
      <c r="AR7" s="94">
        <f t="shared" si="6"/>
        <v>0.90809993623202268</v>
      </c>
      <c r="AS7" s="167">
        <f t="shared" si="14"/>
        <v>1</v>
      </c>
      <c r="AT7" s="173">
        <f t="shared" si="15"/>
        <v>200545</v>
      </c>
      <c r="AU7" s="97">
        <v>1</v>
      </c>
      <c r="AV7" s="93">
        <f t="shared" si="16"/>
        <v>0.4730472432291179</v>
      </c>
      <c r="AW7" s="94">
        <f t="shared" si="17"/>
        <v>0.45838439856416224</v>
      </c>
      <c r="AX7" s="94">
        <f t="shared" si="18"/>
        <v>0.42039826749054787</v>
      </c>
      <c r="AY7" s="94">
        <f t="shared" si="19"/>
        <v>0.91713040148704517</v>
      </c>
      <c r="AZ7" s="102">
        <f>MIN(IF($AU7=100%,1,1+VLOOKUP(($AJ7-$AI7-$AH7-$AG7-$AF7-$AE7*(1+AZ$3))/$AJ7,Уголь_коэфф!$A:$B,2,1)-VLOOKUP($AO7,Уголь_коэфф!$A:$B,2,1)),1+(1-$AU7))</f>
        <v>1</v>
      </c>
      <c r="BA7" s="102">
        <f>MIN(IF($AU7=100%,1,1+VLOOKUP(($AJ7-$AI7-$AH7-$AG7-$AF7-$AE7*(1+BA$3))/$AJ7,Уголь_коэфф!$A:$B,2,1)-VLOOKUP($AO7,Уголь_коэфф!$A:$B,2,1)),1+(1-$AU7))</f>
        <v>1</v>
      </c>
      <c r="BB7" s="102">
        <f>MIN(IF($AU7=100%,1,1+VLOOKUP(($AJ7-$AI7-$AH7-$AG7-$AF7-$AE7*(1+BB$3))/$AJ7,Уголь_коэфф!$A:$B,2,1)-VLOOKUP($AO7,Уголь_коэфф!$A:$B,2,1)),1+(1-$AU7))</f>
        <v>1</v>
      </c>
      <c r="BC7" s="102">
        <f>MIN(IF($AU7=100%,1,1+VLOOKUP(($AJ7-$AI7-$AH7-$AG7-$AF7-$AE7*(1+BC$3))/$AJ7,Уголь_коэфф!$A:$B,2,1)-VLOOKUP($AO7,Уголь_коэфф!$A:$B,2,1)),1+(1-$AU7))</f>
        <v>1</v>
      </c>
      <c r="BD7" s="102">
        <f>MIN(IF($AU7=100%,1,1+VLOOKUP(($AJ7-$AI7-$AH7-$AG7-$AF7-$AE7*(1+BD$3))/$AJ7,Уголь_коэфф!$A:$B,2,1)-VLOOKUP($AO7,Уголь_коэфф!$A:$B,2,1)),1+(1-$AU7))</f>
        <v>1</v>
      </c>
      <c r="BE7" s="102">
        <f>MIN(IF($AU7=100%,1,1+VLOOKUP(($AJ7-$AI7-$AH7-$AG7-$AF7-$AE7*(1+BE$3))/$AJ7,Уголь_коэфф!$A:$B,2,1)-VLOOKUP($AO7,Уголь_коэфф!$A:$B,2,1)),1+(1-$AU7))</f>
        <v>1</v>
      </c>
      <c r="BF7" s="102">
        <f>MIN(IF($AU7=100%,1,1+VLOOKUP(($AJ7-$AI7-$AH7-$AG7-$AF7-$AE7*(1+BF$3))/$AJ7,Уголь_коэфф!$A:$B,2,1)-VLOOKUP($AO7,Уголь_коэфф!$A:$B,2,1)),1+(1-$AU7))</f>
        <v>1</v>
      </c>
      <c r="BG7" s="102">
        <f>MIN(IF($AU7=100%,1,1+VLOOKUP(($AJ7-$AI7-$AH7-$AG7-$AF7-$AE7*(1+BG$3))/$AJ7,Уголь_коэфф!$A:$B,2,1)-VLOOKUP($AO7,Уголь_коэфф!$A:$B,2,1)),1+(1-$AU7))</f>
        <v>1</v>
      </c>
      <c r="BH7" s="102">
        <f>MIN(IF($AU7=100%,1,1+VLOOKUP(($AJ7-$AI7-$AH7-$AG7-$AF7-$AE7*(1+BH$3))/$AJ7,Уголь_коэфф!$A:$B,2,1)-VLOOKUP($AO7,Уголь_коэфф!$A:$B,2,1)),1+(1-$AU7))</f>
        <v>1</v>
      </c>
      <c r="BI7" s="102">
        <f>MIN(IF($AU7=100%,1,1+VLOOKUP(($AJ7-$AI7-$AH7-$AG7-$AF7-$AE7*(1+BI$3))/$AJ7,Уголь_коэфф!$A:$B,2,1)-VLOOKUP($AO7,Уголь_коэфф!$A:$B,2,1)),1+(1-$AU7))</f>
        <v>1</v>
      </c>
      <c r="BJ7" s="102">
        <f>MIN(IF($AU7=100%,1,1+VLOOKUP(($AJ7-$AI7-$AH7-$AG7-$AF7-$AE7*(1+BJ$3))/$AJ7,Уголь_коэфф!$A:$B,2,1)-VLOOKUP($AO7,Уголь_коэфф!$A:$B,2,1)),1+(1-$AU7))</f>
        <v>1</v>
      </c>
      <c r="BK7" s="102">
        <f>MIN(IF($AU7=100%,1,1+VLOOKUP(($AJ7-$AI7-$AH7-$AG7-$AF7-$AE7*(1+BK$3))/$AJ7,Уголь_коэфф!$A:$B,2,1)-VLOOKUP($AO7,Уголь_коэфф!$A:$B,2,1)),1+(1-$AU7))</f>
        <v>1</v>
      </c>
      <c r="BL7" s="102">
        <f>MIN(IF($AU7=100%,1,1+VLOOKUP(($AJ7-$AI7-$AH7-$AG7-$AF7-$AE7*(1+BL$3))/$AJ7,Уголь_коэфф!$A:$B,2,1)-VLOOKUP($AO7,Уголь_коэфф!$A:$B,2,1)),1+(1-$AU7))</f>
        <v>1</v>
      </c>
      <c r="BM7" s="102">
        <f>MIN(IF($AU7=100%,1,1+VLOOKUP(($AJ7-$AI7-$AH7-$AG7-$AF7-$AE7*(1+BM$3))/$AJ7,Уголь_коэфф!$A:$B,2,1)-VLOOKUP($AO7,Уголь_коэфф!$A:$B,2,1)),1+(1-$AU7))</f>
        <v>1</v>
      </c>
      <c r="BN7" s="102">
        <f>MIN(IF($AU7=100%,1,1+VLOOKUP(($AJ7-$AI7-$AH7-$AG7-$AF7-$AE7*(1+BN$3))/$AJ7,Уголь_коэфф!$A:$B,2,1)-VLOOKUP($AO7,Уголь_коэфф!$A:$B,2,1)),1+(1-$AU7))</f>
        <v>1</v>
      </c>
      <c r="BO7" s="102">
        <f>MIN(IF($AU7=100%,1,1+VLOOKUP(($AJ7-$AI7-$AH7-$AG7-$AF7-$AE7*(1+BO$3))/$AJ7,Уголь_коэфф!$A:$B,2,1)-VLOOKUP($AO7,Уголь_коэфф!$A:$B,2,1)),1+(1-$AU7))</f>
        <v>1</v>
      </c>
      <c r="BP7" s="102">
        <f>MIN(IF($AU7=100%,1,1+VLOOKUP(($AJ7-$AI7-$AH7-$AG7-$AF7-$AE7*(1+BP$3))/$AJ7,Уголь_коэфф!$A:$B,2,1)-VLOOKUP($AO7,Уголь_коэфф!$A:$B,2,1)),1+(1-$AU7))</f>
        <v>1</v>
      </c>
      <c r="BQ7" s="102">
        <f>MIN(IF($AU7=100%,1,1+VLOOKUP(($AJ7-$AI7-$AH7-$AG7-$AF7-$AE7*(1+BQ$3))/$AJ7,Уголь_коэфф!$A:$B,2,1)-VLOOKUP($AO7,Уголь_коэфф!$A:$B,2,1)),1+(1-$AU7))</f>
        <v>1</v>
      </c>
      <c r="BR7" s="102">
        <f>MIN(IF($AU7=100%,1,1+VLOOKUP(($AJ7-$AI7-$AH7-$AG7-$AF7-$AE7*(1+BR$3))/$AJ7,Уголь_коэфф!$A:$B,2,1)-VLOOKUP($AO7,Уголь_коэфф!$A:$B,2,1)),1+(1-$AU7))</f>
        <v>1</v>
      </c>
      <c r="BS7" s="102">
        <f>MIN(IF($AU7=100%,1,1+VLOOKUP(($AJ7-$AI7-$AH7-$AG7-$AF7-$AE7*(1+BS$3))/$AJ7,Уголь_коэфф!$A:$B,2,1)-VLOOKUP($AO7,Уголь_коэфф!$A:$B,2,1)),1+(1-$AU7))</f>
        <v>1</v>
      </c>
      <c r="BT7" s="102">
        <f>MIN(IF($AU7=100%,1,1+VLOOKUP(($AJ7-$AI7-$AH7-$AG7-$AF7-$AE7*(1+BT$3))/$AJ7,Уголь_коэфф!$A:$B,2,1)-VLOOKUP($AO7,Уголь_коэфф!$A:$B,2,1)),1+(1-$AU7))</f>
        <v>1</v>
      </c>
      <c r="BU7" s="102">
        <f>MIN(IF($AU7=100%,1,1+VLOOKUP(($AJ7-$AI7-$AH7-$AG7-$AF7-$AE7*(1+BU$3))/$AJ7,Уголь_коэфф!$A:$B,2,1)-VLOOKUP($AO7,Уголь_коэфф!$A:$B,2,1)),1+(1-$AU7))</f>
        <v>1</v>
      </c>
      <c r="BV7" s="102">
        <f>MIN(IF($AU7=100%,1,1+VLOOKUP(($AJ7-$AI7-$AH7-$AG7-$AF7-$AE7*(1+BV$3))/$AJ7,Уголь_коэфф!$A:$B,2,1)-VLOOKUP($AO7,Уголь_коэфф!$A:$B,2,1)),1+(1-$AU7))</f>
        <v>1</v>
      </c>
      <c r="BW7" s="102">
        <f>MIN(IF($AU7=100%,1,1+VLOOKUP(($AJ7-$AI7-$AH7-$AG7-$AF7-$AE7*(1+BW$3))/$AJ7,Уголь_коэфф!$A:$B,2,1)-VLOOKUP($AO7,Уголь_коэфф!$A:$B,2,1)),1+(1-$AU7))</f>
        <v>1</v>
      </c>
      <c r="BX7" s="102">
        <f>MIN(IF($AU7=100%,1,1+VLOOKUP(($AJ7-$AI7-$AH7-$AG7-$AF7-$AE7*(1+BX$3))/$AJ7,Уголь_коэфф!$A:$B,2,1)-VLOOKUP($AO7,Уголь_коэфф!$A:$B,2,1)),1+(1-$AU7))</f>
        <v>1</v>
      </c>
      <c r="BY7" s="102">
        <f>MIN(IF($AU7=100%,1,1+VLOOKUP(($AJ7-$AI7-$AH7-$AG7-$AF7-$AE7*(1+BY$3))/$AJ7,Уголь_коэфф!$A:$B,2,1)-VLOOKUP($AO7,Уголь_коэфф!$A:$B,2,1)),1+(1-$AU7))</f>
        <v>1</v>
      </c>
      <c r="BZ7" s="102">
        <f>MIN(IF($AU7=100%,1,1+VLOOKUP(($AJ7-$AI7-$AH7-$AG7-$AF7-$AE7*(1+BZ$3))/$AJ7,Уголь_коэфф!$A:$B,2,1)-VLOOKUP($AO7,Уголь_коэфф!$A:$B,2,1)),1+(1-$AU7))</f>
        <v>1</v>
      </c>
      <c r="CA7" s="102">
        <f>MIN(IF($AU7=100%,1,1+VLOOKUP(($AJ7-$AI7-$AH7-$AG7-$AF7-$AE7*(1+CA$3))/$AJ7,Уголь_коэфф!$A:$B,2,1)-VLOOKUP($AO7,Уголь_коэфф!$A:$B,2,1)),1+(1-$AU7))</f>
        <v>1</v>
      </c>
      <c r="CB7" s="102">
        <f>MIN(IF($AU7=100%,1,1+VLOOKUP(($AJ7-$AI7-$AH7-$AG7-$AF7-$AE7*(1+CB$3))/$AJ7,Уголь_коэфф!$A:$B,2,1)-VLOOKUP($AO7,Уголь_коэфф!$A:$B,2,1)),1+(1-$AU7))</f>
        <v>1</v>
      </c>
      <c r="CC7" s="102">
        <f>MIN(IF($AU7=100%,1,1+VLOOKUP(($AJ7-$AI7-$AH7-$AG7-$AF7-$AE7*(1+CC$3))/$AJ7,Уголь_коэфф!$A:$B,2,1)-VLOOKUP($AO7,Уголь_коэфф!$A:$B,2,1)),1+(1-$AU7))</f>
        <v>1</v>
      </c>
      <c r="CD7" s="102">
        <f>MIN(IF($AU7=100%,1,1+VLOOKUP(($AJ7-$AI7-$AH7-$AG7-$AF7-$AE7*(1+CD$3))/$AJ7,Уголь_коэфф!$A:$B,2,1)-VLOOKUP($AO7,Уголь_коэфф!$A:$B,2,1)),1+(1-$AU7))</f>
        <v>1</v>
      </c>
      <c r="CE7" s="102">
        <f>MIN(IF($AU7=100%,1,1+VLOOKUP(($AJ7-$AI7-$AH7-$AG7-$AF7-$AE7*(1+CE$3))/$AJ7,Уголь_коэфф!$A:$B,2,1)-VLOOKUP($AO7,Уголь_коэфф!$A:$B,2,1)),1+(1-$AU7))</f>
        <v>1</v>
      </c>
      <c r="CF7" s="102">
        <f>MIN(IF($AU7=100%,1,1+VLOOKUP(($AJ7-$AI7-$AH7-$AG7-$AF7-$AE7*(1+CF$3))/$AJ7,Уголь_коэфф!$A:$B,2,1)-VLOOKUP($AO7,Уголь_коэфф!$A:$B,2,1)),1+(1-$AU7))</f>
        <v>1</v>
      </c>
      <c r="CG7" s="102">
        <f>MIN(IF($AU7=100%,1,1+VLOOKUP(($AJ7-$AI7-$AH7-$AG7-$AF7-$AE7*(1+CG$3))/$AJ7,Уголь_коэфф!$A:$B,2,1)-VLOOKUP($AO7,Уголь_коэфф!$A:$B,2,1)),1+(1-$AU7))</f>
        <v>1</v>
      </c>
      <c r="CH7" s="102">
        <f>MIN(IF($AU7=100%,1,1+VLOOKUP(($AJ7-$AI7-$AH7-$AG7-$AF7-$AE7*(1+CH$3))/$AJ7,Уголь_коэфф!$A:$B,2,1)-VLOOKUP($AO7,Уголь_коэфф!$A:$B,2,1)),1+(1-$AU7))</f>
        <v>1</v>
      </c>
      <c r="CI7" s="102">
        <f>MIN(IF($AU7=100%,1,1+VLOOKUP(($AJ7-$AI7-$AH7-$AG7-$AF7-$AE7*(1+CI$3))/$AJ7,Уголь_коэфф!$A:$B,2,1)-VLOOKUP($AO7,Уголь_коэфф!$A:$B,2,1)),1+(1-$AU7))</f>
        <v>1</v>
      </c>
      <c r="CJ7" s="102">
        <f>MIN(IF($AU7=100%,1,1+VLOOKUP(($AJ7-$AI7-$AH7-$AG7-$AF7-$AE7*(1+CJ$3))/$AJ7,Уголь_коэфф!$A:$B,2,1)-VLOOKUP($AO7,Уголь_коэфф!$A:$B,2,1)),1+(1-$AU7))</f>
        <v>1</v>
      </c>
      <c r="CK7" s="102">
        <f>MIN(IF($AU7=100%,1,1+VLOOKUP(($AJ7-$AI7-$AH7-$AG7-$AF7-$AE7*(1+CK$3))/$AJ7,Уголь_коэфф!$A:$B,2,1)-VLOOKUP($AO7,Уголь_коэфф!$A:$B,2,1)),1+(1-$AU7))</f>
        <v>1</v>
      </c>
      <c r="CL7" s="102">
        <f>MIN(IF($AU7=100%,1,1+VLOOKUP(($AJ7-$AI7-$AH7-$AG7-$AF7-$AE7*(1+CL$3))/$AJ7,Уголь_коэфф!$A:$B,2,1)-VLOOKUP($AO7,Уголь_коэфф!$A:$B,2,1)),1+(1-$AU7))</f>
        <v>1</v>
      </c>
      <c r="CM7" s="102">
        <f>MIN(IF($AU7=100%,1,1+VLOOKUP(($AJ7-$AI7-$AH7-$AG7-$AF7-$AE7*(1+CM$3))/$AJ7,Уголь_коэфф!$A:$B,2,1)-VLOOKUP($AO7,Уголь_коэфф!$A:$B,2,1)),1+(1-$AU7))</f>
        <v>1</v>
      </c>
      <c r="CN7" s="102">
        <f>MIN(IF($AU7=100%,1,1+VLOOKUP(($AJ7-$AI7-$AH7-$AG7-$AF7-$AE7*(1+CN$3))/$AJ7,Уголь_коэфф!$A:$B,2,1)-VLOOKUP($AO7,Уголь_коэфф!$A:$B,2,1)),1+(1-$AU7))</f>
        <v>1</v>
      </c>
      <c r="CO7" s="102">
        <f>MIN(IF($AU7=100%,1,1+VLOOKUP(($AJ7-$AI7-$AH7-$AG7-$AF7-$AE7*(1+CO$3))/$AJ7,Уголь_коэфф!$A:$B,2,1)-VLOOKUP($AO7,Уголь_коэфф!$A:$B,2,1)),1+(1-$AU7))</f>
        <v>1</v>
      </c>
      <c r="CP7" s="102">
        <f>MIN(IF($AU7=100%,1,1+VLOOKUP(($AJ7-$AI7-$AH7-$AG7-$AF7-$AE7*(1+CP$3))/$AJ7,Уголь_коэфф!$A:$B,2,1)-VLOOKUP($AO7,Уголь_коэфф!$A:$B,2,1)),1+(1-$AU7))</f>
        <v>1</v>
      </c>
      <c r="CQ7" s="102">
        <f>MIN(IF($AU7=100%,1,1+VLOOKUP(($AJ7-$AI7-$AH7-$AG7-$AF7-$AE7*(1+CQ$3))/$AJ7,Уголь_коэфф!$A:$B,2,1)-VLOOKUP($AO7,Уголь_коэфф!$A:$B,2,1)),1+(1-$AU7))</f>
        <v>1</v>
      </c>
      <c r="CR7" s="102">
        <f>MIN(IF($AU7=100%,1,1+VLOOKUP(($AJ7-$AI7-$AH7-$AG7-$AF7-$AE7*(1+CR$3))/$AJ7,Уголь_коэфф!$A:$B,2,1)-VLOOKUP($AO7,Уголь_коэфф!$A:$B,2,1)),1+(1-$AU7))</f>
        <v>1</v>
      </c>
      <c r="CS7" s="102">
        <f>MIN(IF($AU7=100%,1,1+VLOOKUP(($AJ7-$AI7-$AH7-$AG7-$AF7-$AE7*(1+CS$3))/$AJ7,Уголь_коэфф!$A:$B,2,1)-VLOOKUP($AO7,Уголь_коэфф!$A:$B,2,1)),1+(1-$AU7))</f>
        <v>1</v>
      </c>
      <c r="CT7" s="102">
        <f>MIN(IF($AU7=100%,1,1+VLOOKUP(($AJ7-$AI7-$AH7-$AG7-$AF7-$AE7*(1+CT$3))/$AJ7,Уголь_коэфф!$A:$B,2,1)-VLOOKUP($AO7,Уголь_коэфф!$A:$B,2,1)),1+(1-$AU7))</f>
        <v>1</v>
      </c>
      <c r="CU7" s="102">
        <f>MIN(IF($AU7=100%,1,1+VLOOKUP(($AJ7-$AI7-$AH7-$AG7-$AF7-$AE7*(1+CU$3))/$AJ7,Уголь_коэфф!$A:$B,2,1)-VLOOKUP($AO7,Уголь_коэфф!$A:$B,2,1)),1+(1-$AU7))</f>
        <v>1</v>
      </c>
      <c r="CV7" s="102">
        <f>MIN(IF($AU7=100%,1,1+VLOOKUP(($AJ7-$AI7-$AH7-$AG7-$AF7-$AE7*(1+CV$3))/$AJ7,Уголь_коэфф!$A:$B,2,1)-VLOOKUP($AO7,Уголь_коэфф!$A:$B,2,1)),1+(1-$AU7))</f>
        <v>1</v>
      </c>
      <c r="CW7" s="102">
        <f>MIN(IF($AU7=100%,1,1+VLOOKUP(($AJ7-$AI7-$AH7-$AG7-$AF7-$AE7*(1+CW$3))/$AJ7,Уголь_коэфф!$A:$B,2,1)-VLOOKUP($AO7,Уголь_коэфф!$A:$B,2,1)),1+(1-$AU7))</f>
        <v>1</v>
      </c>
      <c r="CX7" s="102">
        <f>MIN(IF($AU7=100%,1,1+VLOOKUP(($AJ7-$AI7-$AH7-$AG7-$AF7-$AE7*(1+CX$3))/$AJ7,Уголь_коэфф!$A:$B,2,1)-VLOOKUP($AO7,Уголь_коэфф!$A:$B,2,1)),1+(1-$AU7))</f>
        <v>1</v>
      </c>
      <c r="CY7" s="102">
        <f>MIN(IF($AU7=100%,1,1+VLOOKUP(($AJ7-$AI7-$AH7-$AG7-$AF7-$AE7*(1+CY$3))/$AJ7,Уголь_коэфф!$A:$B,2,1)-VLOOKUP($AO7,Уголь_коэфф!$A:$B,2,1)),1+(1-$AU7))</f>
        <v>1</v>
      </c>
      <c r="CZ7" s="102">
        <f>MIN(IF($AU7=100%,1,1+VLOOKUP(($AJ7-$AI7-$AH7-$AG7-$AF7-$AE7*(1+CZ$3))/$AJ7,Уголь_коэфф!$A:$B,2,1)-VLOOKUP($AO7,Уголь_коэфф!$A:$B,2,1)),1+(1-$AU7))</f>
        <v>1</v>
      </c>
      <c r="DA7" s="102">
        <f>MIN(IF($AU7=100%,1,1+VLOOKUP(($AJ7-$AI7-$AH7-$AG7-$AF7-$AE7*(1+DA$3))/$AJ7,Уголь_коэфф!$A:$B,2,1)-VLOOKUP($AO7,Уголь_коэфф!$A:$B,2,1)),1+(1-$AU7))</f>
        <v>1</v>
      </c>
      <c r="DB7" s="102">
        <f>MIN(IF($AU7=100%,1,1+VLOOKUP(($AJ7-$AI7-$AH7-$AG7-$AF7-$AE7*(1+DB$3))/$AJ7,Уголь_коэфф!$A:$B,2,1)-VLOOKUP($AO7,Уголь_коэфф!$A:$B,2,1)),1+(1-$AU7))</f>
        <v>1</v>
      </c>
      <c r="DC7" s="102">
        <f>MIN(IF($AU7=100%,1,1+VLOOKUP(($AJ7-$AI7-$AH7-$AG7-$AF7-$AE7*(1+DC$3))/$AJ7,Уголь_коэфф!$A:$B,2,1)-VLOOKUP($AO7,Уголь_коэфф!$A:$B,2,1)),1+(1-$AU7))</f>
        <v>1</v>
      </c>
      <c r="DD7" s="102">
        <f>MIN(IF($AU7=100%,1,1+VLOOKUP(($AJ7-$AI7-$AH7-$AG7-$AF7-$AE7*(1+DD$3))/$AJ7,Уголь_коэфф!$A:$B,2,1)-VLOOKUP($AO7,Уголь_коэфф!$A:$B,2,1)),1+(1-$AU7))</f>
        <v>1</v>
      </c>
      <c r="DE7" s="102">
        <f>MIN(IF($AU7=100%,1,1+VLOOKUP(($AJ7-$AI7-$AH7-$AG7-$AF7-$AE7*(1+DE$3))/$AJ7,Уголь_коэфф!$A:$B,2,1)-VLOOKUP($AO7,Уголь_коэфф!$A:$B,2,1)),1+(1-$AU7))</f>
        <v>1</v>
      </c>
      <c r="DF7" s="102">
        <f>MIN(IF($AU7=100%,1,1+VLOOKUP(($AJ7-$AI7-$AH7-$AG7-$AF7-$AE7*(1+DF$3))/$AJ7,Уголь_коэфф!$A:$B,2,1)-VLOOKUP($AO7,Уголь_коэфф!$A:$B,2,1)),1+(1-$AU7))</f>
        <v>1</v>
      </c>
      <c r="DG7" s="102">
        <f>MIN(IF($AU7=100%,1,1+VLOOKUP(($AJ7-$AI7-$AH7-$AG7-$AF7-$AE7*(1+DG$3))/$AJ7,Уголь_коэфф!$A:$B,2,1)-VLOOKUP($AO7,Уголь_коэфф!$A:$B,2,1)),1+(1-$AU7))</f>
        <v>1</v>
      </c>
      <c r="DH7" s="102">
        <f>MIN(IF($AU7=100%,1,1+VLOOKUP(($AJ7-$AI7-$AH7-$AG7-$AF7-$AE7*(1+DH$3))/$AJ7,Уголь_коэфф!$A:$B,2,1)-VLOOKUP($AO7,Уголь_коэфф!$A:$B,2,1)),1+(1-$AU7))</f>
        <v>1</v>
      </c>
      <c r="DI7" s="102">
        <f>MIN(IF($AU7=100%,1,1+VLOOKUP(($AJ7-$AI7-$AH7-$AG7-$AF7-$AE7*(1+DI$3))/$AJ7,Уголь_коэфф!$A:$B,2,1)-VLOOKUP($AO7,Уголь_коэфф!$A:$B,2,1)),1+(1-$AU7))</f>
        <v>1</v>
      </c>
      <c r="DJ7" s="102">
        <f>MIN(IF($AU7=100%,1,1+VLOOKUP(($AJ7-$AI7-$AH7-$AG7-$AF7-$AE7*(1+DJ$3))/$AJ7,Уголь_коэфф!$A:$B,2,1)-VLOOKUP($AO7,Уголь_коэфф!$A:$B,2,1)),1+(1-$AU7))</f>
        <v>1</v>
      </c>
      <c r="DK7" s="102">
        <f>MIN(IF($AU7=100%,1,1+VLOOKUP(($AJ7-$AI7-$AH7-$AG7-$AF7-$AE7*(1+DK$3))/$AJ7,Уголь_коэфф!$A:$B,2,1)-VLOOKUP($AO7,Уголь_коэфф!$A:$B,2,1)),1+(1-$AU7))</f>
        <v>1</v>
      </c>
      <c r="DL7" s="102">
        <f>MIN(IF($AU7=100%,1,1+VLOOKUP(($AJ7-$AI7-$AH7-$AG7-$AF7-$AE7*(1+DL$3))/$AJ7,Уголь_коэфф!$A:$B,2,1)-VLOOKUP($AO7,Уголь_коэфф!$A:$B,2,1)),1+(1-$AU7))</f>
        <v>1</v>
      </c>
      <c r="DM7" s="102">
        <f>MIN(IF($AU7=100%,1,1+VLOOKUP(($AJ7-$AI7-$AH7-$AG7-$AF7-$AE7*(1+DM$3))/$AJ7,Уголь_коэфф!$A:$B,2,1)-VLOOKUP($AO7,Уголь_коэфф!$A:$B,2,1)),1+(1-$AU7))</f>
        <v>1</v>
      </c>
      <c r="DN7" s="102">
        <f>MIN(IF($AU7=100%,1,1+VLOOKUP(($AJ7-$AI7-$AH7-$AG7-$AF7-$AE7*(1+DN$3))/$AJ7,Уголь_коэфф!$A:$B,2,1)-VLOOKUP($AO7,Уголь_коэфф!$A:$B,2,1)),1+(1-$AU7))</f>
        <v>1</v>
      </c>
      <c r="DO7" s="102">
        <f>MIN(IF($AU7=100%,1,1+VLOOKUP(($AJ7-$AI7-$AH7-$AG7-$AF7-$AE7*(1+DO$3))/$AJ7,Уголь_коэфф!$A:$B,2,1)-VLOOKUP($AO7,Уголь_коэфф!$A:$B,2,1)),1+(1-$AU7))</f>
        <v>1</v>
      </c>
      <c r="DP7" s="102">
        <f>MIN(IF($AU7=100%,1,1+VLOOKUP(($AJ7-$AI7-$AH7-$AG7-$AF7-$AE7*(1+DP$3))/$AJ7,Уголь_коэфф!$A:$B,2,1)-VLOOKUP($AO7,Уголь_коэфф!$A:$B,2,1)),1+(1-$AU7))</f>
        <v>1</v>
      </c>
      <c r="DQ7" s="102">
        <f>MIN(IF($AU7=100%,1,1+VLOOKUP(($AJ7-$AI7-$AH7-$AG7-$AF7-$AE7*(1+DQ$3))/$AJ7,Уголь_коэфф!$A:$B,2,1)-VLOOKUP($AO7,Уголь_коэфф!$A:$B,2,1)),1+(1-$AU7))</f>
        <v>1</v>
      </c>
      <c r="DR7" s="102">
        <f>MIN(IF($AU7=100%,1,1+VLOOKUP(($AJ7-$AI7-$AH7-$AG7-$AF7-$AE7*(1+DR$3))/$AJ7,Уголь_коэфф!$A:$B,2,1)-VLOOKUP($AO7,Уголь_коэфф!$A:$B,2,1)),1+(1-$AU7))</f>
        <v>1</v>
      </c>
      <c r="DS7" s="102">
        <f>MIN(IF($AU7=100%,1,1+VLOOKUP(($AJ7-$AI7-$AH7-$AG7-$AF7-$AE7*(1+DS$3))/$AJ7,Уголь_коэфф!$A:$B,2,1)-VLOOKUP($AO7,Уголь_коэфф!$A:$B,2,1)),1+(1-$AU7))</f>
        <v>1</v>
      </c>
      <c r="DT7" s="102">
        <f>MIN(IF($AU7=100%,1,1+VLOOKUP(($AJ7-$AI7-$AH7-$AG7-$AF7-$AE7*(1+DT$3))/$AJ7,Уголь_коэфф!$A:$B,2,1)-VLOOKUP($AO7,Уголь_коэфф!$A:$B,2,1)),1+(1-$AU7))</f>
        <v>1</v>
      </c>
      <c r="DU7" s="102">
        <f>MIN(IF($AU7=100%,1,1+VLOOKUP(($AJ7-$AI7-$AH7-$AG7-$AF7-$AE7*(1+DU$3))/$AJ7,Уголь_коэфф!$A:$B,2,1)-VLOOKUP($AO7,Уголь_коэфф!$A:$B,2,1)),1+(1-$AU7))</f>
        <v>1</v>
      </c>
      <c r="DV7" s="102">
        <f>MIN(IF($AU7=100%,1,1+VLOOKUP(($AJ7-$AI7-$AH7-$AG7-$AF7-$AE7*(1+DV$3))/$AJ7,Уголь_коэфф!$A:$B,2,1)-VLOOKUP($AO7,Уголь_коэфф!$A:$B,2,1)),1+(1-$AU7))</f>
        <v>1</v>
      </c>
      <c r="DW7" s="102">
        <f>MIN(IF($AU7=100%,1,1+VLOOKUP(($AJ7-$AI7-$AH7-$AG7-$AF7-$AE7*(1+DW$3))/$AJ7,Уголь_коэфф!$A:$B,2,1)-VLOOKUP($AO7,Уголь_коэфф!$A:$B,2,1)),1+(1-$AU7))</f>
        <v>1</v>
      </c>
      <c r="DX7" s="102">
        <f>MIN(IF($AU7=100%,1,1+VLOOKUP(($AJ7-$AI7-$AH7-$AG7-$AF7-$AE7*(1+DX$3))/$AJ7,Уголь_коэфф!$A:$B,2,1)-VLOOKUP($AO7,Уголь_коэфф!$A:$B,2,1)),1+(1-$AU7))</f>
        <v>1</v>
      </c>
      <c r="DY7" s="102">
        <f>MIN(IF($AU7=100%,1,1+VLOOKUP(($AJ7-$AI7-$AH7-$AG7-$AF7-$AE7*(1+DY$3))/$AJ7,Уголь_коэфф!$A:$B,2,1)-VLOOKUP($AO7,Уголь_коэфф!$A:$B,2,1)),1+(1-$AU7))</f>
        <v>1</v>
      </c>
      <c r="DZ7" s="102">
        <f>MIN(IF($AU7=100%,1,1+VLOOKUP(($AJ7-$AI7-$AH7-$AG7-$AF7-$AE7*(1+DZ$3))/$AJ7,Уголь_коэфф!$A:$B,2,1)-VLOOKUP($AO7,Уголь_коэфф!$A:$B,2,1)),1+(1-$AU7))</f>
        <v>1</v>
      </c>
      <c r="EA7" s="102">
        <f>MIN(IF($AU7=100%,1,1+VLOOKUP(($AJ7-$AI7-$AH7-$AG7-$AF7-$AE7*(1+EA$3))/$AJ7,Уголь_коэфф!$A:$B,2,1)-VLOOKUP($AO7,Уголь_коэфф!$A:$B,2,1)),1+(1-$AU7))</f>
        <v>1</v>
      </c>
      <c r="EB7" s="102">
        <f>MIN(IF($AU7=100%,1,1+VLOOKUP(($AJ7-$AI7-$AH7-$AG7-$AF7-$AE7*(1+EB$3))/$AJ7,Уголь_коэфф!$A:$B,2,1)-VLOOKUP($AO7,Уголь_коэфф!$A:$B,2,1)),1+(1-$AU7))</f>
        <v>1</v>
      </c>
      <c r="EC7" s="102">
        <f>MIN(IF($AU7=100%,1,1+VLOOKUP(($AJ7-$AI7-$AH7-$AG7-$AF7-$AE7*(1+EC$3))/$AJ7,Уголь_коэфф!$A:$B,2,1)-VLOOKUP($AO7,Уголь_коэфф!$A:$B,2,1)),1+(1-$AU7))</f>
        <v>1</v>
      </c>
      <c r="ED7" s="102">
        <f>MIN(IF($AU7=100%,1,1+VLOOKUP(($AJ7-$AI7-$AH7-$AG7-$AF7-$AE7*(1+ED$3))/$AJ7,Уголь_коэфф!$A:$B,2,1)-VLOOKUP($AO7,Уголь_коэфф!$A:$B,2,1)),1+(1-$AU7))</f>
        <v>1</v>
      </c>
      <c r="EE7" s="102">
        <f>MIN(IF($AU7=100%,1,1+VLOOKUP(($AJ7-$AI7-$AH7-$AG7-$AF7-$AE7*(1+EE$3))/$AJ7,Уголь_коэфф!$A:$B,2,1)-VLOOKUP($AO7,Уголь_коэфф!$A:$B,2,1)),1+(1-$AU7))</f>
        <v>1</v>
      </c>
      <c r="EF7" s="102">
        <f>MIN(IF($AU7=100%,1,1+VLOOKUP(($AJ7-$AI7-$AH7-$AG7-$AF7-$AE7*(1+EF$3))/$AJ7,Уголь_коэфф!$A:$B,2,1)-VLOOKUP($AO7,Уголь_коэфф!$A:$B,2,1)),1+(1-$AU7))</f>
        <v>1</v>
      </c>
      <c r="EG7" s="102">
        <f>MIN(IF($AU7=100%,1,1+VLOOKUP(($AJ7-$AI7-$AH7-$AG7-$AF7-$AE7*(1+EG$3))/$AJ7,Уголь_коэфф!$A:$B,2,1)-VLOOKUP($AO7,Уголь_коэфф!$A:$B,2,1)),1+(1-$AU7))</f>
        <v>1</v>
      </c>
      <c r="EH7" s="102">
        <f>MIN(IF($AU7=100%,1,1+VLOOKUP(($AJ7-$AI7-$AH7-$AG7-$AF7-$AE7*(1+EH$3))/$AJ7,Уголь_коэфф!$A:$B,2,1)-VLOOKUP($AO7,Уголь_коэфф!$A:$B,2,1)),1+(1-$AU7))</f>
        <v>1</v>
      </c>
      <c r="EI7" s="102">
        <f>MIN(IF($AU7=100%,1,1+VLOOKUP(($AJ7-$AI7-$AH7-$AG7-$AF7-$AE7*(1+EI$3))/$AJ7,Уголь_коэфф!$A:$B,2,1)-VLOOKUP($AO7,Уголь_коэфф!$A:$B,2,1)),1+(1-$AU7))</f>
        <v>1</v>
      </c>
      <c r="EJ7" s="102">
        <f>MIN(IF($AU7=100%,1,1+VLOOKUP(($AJ7-$AI7-$AH7-$AG7-$AF7-$AE7*(1+EJ$3))/$AJ7,Уголь_коэфф!$A:$B,2,1)-VLOOKUP($AO7,Уголь_коэфф!$A:$B,2,1)),1+(1-$AU7))</f>
        <v>1</v>
      </c>
      <c r="EK7" s="102">
        <f>MIN(IF($AU7=100%,1,1+VLOOKUP(($AJ7-$AI7-$AH7-$AG7-$AF7-$AE7*(1+EK$3))/$AJ7,Уголь_коэфф!$A:$B,2,1)-VLOOKUP($AO7,Уголь_коэфф!$A:$B,2,1)),1+(1-$AU7))</f>
        <v>1</v>
      </c>
      <c r="EL7" s="102">
        <f>MIN(IF($AU7=100%,1,1+VLOOKUP(($AJ7-$AI7-$AH7-$AG7-$AF7-$AE7*(1+EL$3))/$AJ7,Уголь_коэфф!$A:$B,2,1)-VLOOKUP($AO7,Уголь_коэфф!$A:$B,2,1)),1+(1-$AU7))</f>
        <v>1</v>
      </c>
      <c r="EM7" s="102">
        <f>MIN(IF($AU7=100%,1,1+VLOOKUP(($AJ7-$AI7-$AH7-$AG7-$AF7-$AE7*(1+EM$3))/$AJ7,Уголь_коэфф!$A:$B,2,1)-VLOOKUP($AO7,Уголь_коэфф!$A:$B,2,1)),1+(1-$AU7))</f>
        <v>1</v>
      </c>
      <c r="EN7" s="102">
        <f>MIN(IF($AU7=100%,1,1+VLOOKUP(($AJ7-$AI7-$AH7-$AG7-$AF7-$AE7*(1+EN$3))/$AJ7,Уголь_коэфф!$A:$B,2,1)-VLOOKUP($AO7,Уголь_коэфф!$A:$B,2,1)),1+(1-$AU7))</f>
        <v>1</v>
      </c>
      <c r="EO7" s="102">
        <f>MIN(IF($AU7=100%,1,1+VLOOKUP(($AJ7-$AI7-$AH7-$AG7-$AF7-$AE7*(1+EO$3))/$AJ7,Уголь_коэфф!$A:$B,2,1)-VLOOKUP($AO7,Уголь_коэфф!$A:$B,2,1)),1+(1-$AU7))</f>
        <v>1</v>
      </c>
      <c r="EP7" s="102">
        <f>MIN(IF($AU7=100%,1,1+VLOOKUP(($AJ7-$AI7-$AH7-$AG7-$AF7-$AE7*(1+EP$3))/$AJ7,Уголь_коэфф!$A:$B,2,1)-VLOOKUP($AO7,Уголь_коэфф!$A:$B,2,1)),1+(1-$AU7))</f>
        <v>1</v>
      </c>
      <c r="EQ7" s="102">
        <f>MIN(IF($AU7=100%,1,1+VLOOKUP(($AJ7-$AI7-$AH7-$AG7-$AF7-$AE7*(1+EQ$3))/$AJ7,Уголь_коэфф!$A:$B,2,1)-VLOOKUP($AO7,Уголь_коэфф!$A:$B,2,1)),1+(1-$AU7))</f>
        <v>1</v>
      </c>
      <c r="ER7" s="102">
        <f>MIN(IF($AU7=100%,1,1+VLOOKUP(($AJ7-$AI7-$AH7-$AG7-$AF7-$AE7*(1+ER$3))/$AJ7,Уголь_коэфф!$A:$B,2,1)-VLOOKUP($AO7,Уголь_коэфф!$A:$B,2,1)),1+(1-$AU7))</f>
        <v>1</v>
      </c>
      <c r="ES7" s="102">
        <f>MIN(IF($AU7=100%,1,1+VLOOKUP(($AJ7-$AI7-$AH7-$AG7-$AF7-$AE7*(1+ES$3))/$AJ7,Уголь_коэфф!$A:$B,2,1)-VLOOKUP($AO7,Уголь_коэфф!$A:$B,2,1)),1+(1-$AU7))</f>
        <v>1</v>
      </c>
      <c r="ET7" s="102">
        <f>MIN(IF($AU7=100%,1,1+VLOOKUP(($AJ7-$AI7-$AH7-$AG7-$AF7-$AE7*(1+ET$3))/$AJ7,Уголь_коэфф!$A:$B,2,1)-VLOOKUP($AO7,Уголь_коэфф!$A:$B,2,1)),1+(1-$AU7))</f>
        <v>1</v>
      </c>
      <c r="EU7" s="102">
        <f>MIN(IF($AU7=100%,1,1+VLOOKUP(($AJ7-$AI7-$AH7-$AG7-$AF7-$AE7*(1+EU$3))/$AJ7,Уголь_коэфф!$A:$B,2,1)-VLOOKUP($AO7,Уголь_коэфф!$A:$B,2,1)),1+(1-$AU7))</f>
        <v>1</v>
      </c>
      <c r="EV7" s="103">
        <v>1</v>
      </c>
      <c r="EW7" s="102">
        <f>MIN(1,MAX(VLOOKUP(($AJ7-$AI7-$AH7-$AG7-$AF7-$AE7*(1+EW$3))/$AJ7,Уголь_коэфф!$A:$B,2,1),(EV7-0.05)))</f>
        <v>1</v>
      </c>
      <c r="EX7" s="102">
        <f>MIN(1,MAX(VLOOKUP(($AJ7-$AI7-$AH7-$AG7-$AF7-$AE7*(1+EX$3))/$AJ7,Уголь_коэфф!$A:$B,2,1),(EW7-0.05)))</f>
        <v>1</v>
      </c>
      <c r="EY7" s="102">
        <f>MIN(1,MAX(VLOOKUP(($AJ7-$AI7-$AH7-$AG7-$AF7-$AE7*(1+EY$3))/$AJ7,Уголь_коэфф!$A:$B,2,1),(EX7-0.05)))</f>
        <v>1</v>
      </c>
      <c r="EZ7" s="102">
        <f>MIN(1,MAX(VLOOKUP(($AJ7-$AI7-$AH7-$AG7-$AF7-$AE7*(1+EZ$3))/$AJ7,Уголь_коэфф!$A:$B,2,1),(EY7-0.05)))</f>
        <v>1</v>
      </c>
      <c r="FA7" s="102">
        <f>MIN(1,MAX(VLOOKUP(($AJ7-$AI7-$AH7-$AG7-$AF7-$AE7*(1+FA$3))/$AJ7,Уголь_коэфф!$A:$B,2,1),(EZ7-0.05)))</f>
        <v>1</v>
      </c>
      <c r="FB7" s="102">
        <f>MIN(1,MAX(VLOOKUP(($AJ7-$AI7-$AH7-$AG7-$AF7-$AE7*(1+FB$3))/$AJ7,Уголь_коэфф!$A:$B,2,1),(FA7-0.05)))</f>
        <v>1</v>
      </c>
      <c r="FC7" s="102">
        <f>MIN(1,MAX(VLOOKUP(($AJ7-$AI7-$AH7-$AG7-$AF7-$AE7*(1+FC$3))/$AJ7,Уголь_коэфф!$A:$B,2,1),(FB7-0.05)))</f>
        <v>1</v>
      </c>
      <c r="FD7" s="102">
        <f>MIN(1,MAX(VLOOKUP(($AJ7-$AI7-$AH7-$AG7-$AF7-$AE7*(1+FD$3))/$AJ7,Уголь_коэфф!$A:$B,2,1),(FC7-0.05)))</f>
        <v>1</v>
      </c>
      <c r="FE7" s="102">
        <f>MIN(1,MAX(VLOOKUP(($AJ7-$AI7-$AH7-$AG7-$AF7-$AE7*(1+FE$3))/$AJ7,Уголь_коэфф!$A:$B,2,1),(FD7-0.05)))</f>
        <v>1</v>
      </c>
      <c r="FF7" s="102">
        <f>MIN(1,MAX(VLOOKUP(($AJ7-$AI7-$AH7-$AG7-$AF7-$AE7*(1+FF$3))/$AJ7,Уголь_коэфф!$A:$B,2,1),(FE7-0.05)))</f>
        <v>1</v>
      </c>
      <c r="FG7" s="102">
        <f>MIN(1,MAX(VLOOKUP(($AJ7-$AI7-$AH7-$AG7-$AF7-$AE7*(1+FG$3))/$AJ7,Уголь_коэфф!$A:$B,2,1),(FF7-0.05)))</f>
        <v>1</v>
      </c>
      <c r="FH7" s="102">
        <f>MIN(1,MAX(VLOOKUP(($AJ7-$AI7-$AH7-$AG7-$AF7-$AE7*(1+FH$3))/$AJ7,Уголь_коэфф!$A:$B,2,1),(FG7-0.05)))</f>
        <v>1</v>
      </c>
      <c r="FI7" s="102">
        <f>MIN(1,MAX(VLOOKUP(($AJ7-$AI7-$AH7-$AG7-$AF7-$AE7*(1+FI$3))/$AJ7,Уголь_коэфф!$A:$B,2,1),(FH7-0.05)))</f>
        <v>1</v>
      </c>
      <c r="FJ7" s="102">
        <f>MIN(1,MAX(VLOOKUP(($AJ7-$AI7-$AH7-$AG7-$AF7-$AE7*(1+FJ$3))/$AJ7,Уголь_коэфф!$A:$B,2,1),(FI7-0.05)))</f>
        <v>1</v>
      </c>
      <c r="FK7" s="102">
        <f>MIN(1,MAX(VLOOKUP(($AJ7-$AI7-$AH7-$AG7-$AF7-$AE7*(1+FK$3))/$AJ7,Уголь_коэфф!$A:$B,2,1),(FJ7-0.05)))</f>
        <v>1</v>
      </c>
      <c r="FL7" s="102">
        <f>MIN(1,MAX(VLOOKUP(($AJ7-$AI7-$AH7-$AG7-$AF7-$AE7*(1+FL$3))/$AJ7,Уголь_коэфф!$A:$B,2,1),(FK7-0.05)))</f>
        <v>1</v>
      </c>
      <c r="FM7" s="102">
        <f>MIN(1,MAX(VLOOKUP(($AJ7-$AI7-$AH7-$AG7-$AF7-$AE7*(1+FM$3))/$AJ7,Уголь_коэфф!$A:$B,2,1),(FL7-0.05)))</f>
        <v>1</v>
      </c>
      <c r="FN7" s="102">
        <f>MIN(1,MAX(VLOOKUP(($AJ7-$AI7-$AH7-$AG7-$AF7-$AE7*(1+FN$3))/$AJ7,Уголь_коэфф!$A:$B,2,1),(FM7-0.05)))</f>
        <v>1</v>
      </c>
      <c r="FO7" s="102">
        <f>MIN(1,MAX(VLOOKUP(($AJ7-$AI7-$AH7-$AG7-$AF7-$AE7*(1+FO$3))/$AJ7,Уголь_коэфф!$A:$B,2,1),(FN7-0.05)))</f>
        <v>1</v>
      </c>
      <c r="FP7" s="102">
        <f>MIN(1,MAX(VLOOKUP(($AJ7-$AI7-$AH7-$AG7-$AF7-$AE7*(1+FP$3))/$AJ7,Уголь_коэфф!$A:$B,2,1),(FO7-0.05)))</f>
        <v>1</v>
      </c>
      <c r="FQ7" s="102">
        <f>MIN(1,MAX(VLOOKUP(($AJ7-$AI7-$AH7-$AG7-$AF7-$AE7*(1+FQ$3))/$AJ7,Уголь_коэфф!$A:$B,2,1),(FP7-0.05)))</f>
        <v>1</v>
      </c>
      <c r="FR7" s="102">
        <f>MIN(1,MAX(VLOOKUP(($AJ7-$AI7-$AH7-$AG7-$AF7-$AE7*(1+FR$3))/$AJ7,Уголь_коэфф!$A:$B,2,1),(FQ7-0.05)))</f>
        <v>1</v>
      </c>
      <c r="FS7" s="102">
        <f>MIN(1,MAX(VLOOKUP(($AJ7-$AI7-$AH7-$AG7-$AF7-$AE7*(1+FS$3))/$AJ7,Уголь_коэфф!$A:$B,2,1),(FR7-0.05)))</f>
        <v>1</v>
      </c>
      <c r="FT7" s="102">
        <f>MIN(1,MAX(VLOOKUP(($AJ7-$AI7-$AH7-$AG7-$AF7-$AE7*(1+FT$3))/$AJ7,Уголь_коэфф!$A:$B,2,1),(FS7-0.05)))</f>
        <v>1</v>
      </c>
      <c r="FU7" s="102">
        <f>MIN(1,MAX(VLOOKUP(($AJ7-$AI7-$AH7-$AG7-$AF7-$AE7*(1+FU$3))/$AJ7,Уголь_коэфф!$A:$B,2,1),(FT7-0.05)))</f>
        <v>1</v>
      </c>
      <c r="FV7" s="102">
        <f>MIN(1,MAX(VLOOKUP(($AJ7-$AI7-$AH7-$AG7-$AF7-$AE7*(1+FV$3))/$AJ7,Уголь_коэфф!$A:$B,2,1),(FU7-0.05)))</f>
        <v>1</v>
      </c>
      <c r="FW7" s="102">
        <f>MIN(1,MAX(VLOOKUP(($AJ7-$AI7-$AH7-$AG7-$AF7-$AE7*(1+FW$3))/$AJ7,Уголь_коэфф!$A:$B,2,1),(FV7-0.05)))</f>
        <v>1</v>
      </c>
      <c r="FX7" s="102">
        <f>MIN(1,MAX(VLOOKUP(($AJ7-$AI7-$AH7-$AG7-$AF7-$AE7*(1+FX$3))/$AJ7,Уголь_коэфф!$A:$B,2,1),(FW7-0.05)))</f>
        <v>1</v>
      </c>
      <c r="FY7" s="102">
        <f>MIN(1,MAX(VLOOKUP(($AJ7-$AI7-$AH7-$AG7-$AF7-$AE7*(1+FY$3))/$AJ7,Уголь_коэфф!$A:$B,2,1),(FX7-0.05)))</f>
        <v>1</v>
      </c>
      <c r="FZ7" s="102">
        <f>MIN(1,MAX(VLOOKUP(($AJ7-$AI7-$AH7-$AG7-$AF7-$AE7*(1+FZ$3))/$AJ7,Уголь_коэфф!$A:$B,2,1),(FY7-0.05)))</f>
        <v>1</v>
      </c>
      <c r="GA7" s="102">
        <f>MIN(1,MAX(VLOOKUP(($AJ7-$AI7-$AH7-$AG7-$AF7-$AE7*(1+GA$3))/$AJ7,Уголь_коэфф!$A:$B,2,1),(FZ7-0.05)))</f>
        <v>1</v>
      </c>
      <c r="GB7" s="102">
        <f>MIN(1,MAX(VLOOKUP(($AJ7-$AI7-$AH7-$AG7-$AF7-$AE7*(1+GB$3))/$AJ7,Уголь_коэфф!$A:$B,2,1),(GA7-0.05)))</f>
        <v>1</v>
      </c>
      <c r="GC7" s="102">
        <f>MIN(1,MAX(VLOOKUP(($AJ7-$AI7-$AH7-$AG7-$AF7-$AE7*(1+GC$3))/$AJ7,Уголь_коэфф!$A:$B,2,1),(GB7-0.05)))</f>
        <v>1</v>
      </c>
      <c r="GD7" s="102">
        <f>MIN(1,MAX(VLOOKUP(($AJ7-$AI7-$AH7-$AG7-$AF7-$AE7*(1+GD$3))/$AJ7,Уголь_коэфф!$A:$B,2,1),(GC7-0.05)))</f>
        <v>1</v>
      </c>
      <c r="GE7" s="102">
        <f>MIN(1,MAX(VLOOKUP(($AJ7-$AI7-$AH7-$AG7-$AF7-$AE7*(1+GE$3))/$AJ7,Уголь_коэфф!$A:$B,2,1),(GD7-0.05)))</f>
        <v>1</v>
      </c>
      <c r="GF7" s="102">
        <f>MIN(1,MAX(VLOOKUP(($AJ7-$AI7-$AH7-$AG7-$AF7-$AE7*(1+GF$3))/$AJ7,Уголь_коэфф!$A:$B,2,1),(GE7-0.05)))</f>
        <v>1</v>
      </c>
      <c r="GG7" s="102">
        <f>MIN(1,MAX(VLOOKUP(($AJ7-$AI7-$AH7-$AG7-$AF7-$AE7*(1+GG$3))/$AJ7,Уголь_коэфф!$A:$B,2,1),(GF7-0.05)))</f>
        <v>1</v>
      </c>
      <c r="GH7" s="102">
        <f>MIN(1,MAX(VLOOKUP(($AJ7-$AI7-$AH7-$AG7-$AF7-$AE7*(1+GH$3))/$AJ7,Уголь_коэфф!$A:$B,2,1),(GG7-0.05)))</f>
        <v>1</v>
      </c>
      <c r="GI7" s="102">
        <f>MIN(1,MAX(VLOOKUP(($AJ7-$AI7-$AH7-$AG7-$AF7-$AE7*(1+GI$3))/$AJ7,Уголь_коэфф!$A:$B,2,1),(GH7-0.05)))</f>
        <v>1</v>
      </c>
      <c r="GJ7" s="102">
        <f>MIN(1,MAX(VLOOKUP(($AJ7-$AI7-$AH7-$AG7-$AF7-$AE7*(1+GJ$3))/$AJ7,Уголь_коэфф!$A:$B,2,1),(GI7-0.05)))</f>
        <v>1</v>
      </c>
      <c r="GK7" s="102">
        <f>MIN(1,MAX(VLOOKUP(($AJ7-$AI7-$AH7-$AG7-$AF7-$AE7*(1+GK$3))/$AJ7,Уголь_коэфф!$A:$B,2,1),(GJ7-0.05)))</f>
        <v>1</v>
      </c>
      <c r="GL7" s="102">
        <f>MIN(1,MAX(VLOOKUP(($AJ7-$AI7-$AH7-$AG7-$AF7-$AE7*(1+GL$3))/$AJ7,Уголь_коэфф!$A:$B,2,1),(GK7-0.05)))</f>
        <v>1</v>
      </c>
      <c r="GM7" s="102">
        <f>MIN(1,MAX(VLOOKUP(($AJ7-$AI7-$AH7-$AG7-$AF7-$AE7*(1+GM$3))/$AJ7,Уголь_коэфф!$A:$B,2,1),(GL7-0.05)))</f>
        <v>1</v>
      </c>
      <c r="GN7" s="102">
        <f>MIN(1,MAX(VLOOKUP(($AJ7-$AI7-$AH7-$AG7-$AF7-$AE7*(1+GN$3))/$AJ7,Уголь_коэфф!$A:$B,2,1),(GM7-0.05)))</f>
        <v>1</v>
      </c>
      <c r="GO7" s="102">
        <f>MIN(1,MAX(VLOOKUP(($AJ7-$AI7-$AH7-$AG7-$AF7-$AE7*(1+GO$3))/$AJ7,Уголь_коэфф!$A:$B,2,1),(GN7-0.05)))</f>
        <v>1</v>
      </c>
      <c r="GP7" s="102">
        <f>MIN(1,MAX(VLOOKUP(($AJ7-$AI7-$AH7-$AG7-$AF7-$AE7*(1+GP$3))/$AJ7,Уголь_коэфф!$A:$B,2,1),(GO7-0.05)))</f>
        <v>1</v>
      </c>
      <c r="GQ7" s="102">
        <f>MIN(1,MAX(VLOOKUP(($AJ7-$AI7-$AH7-$AG7-$AF7-$AE7*(1+GQ$3))/$AJ7,Уголь_коэфф!$A:$B,2,1),(GP7-0.05)))</f>
        <v>1</v>
      </c>
      <c r="GR7" s="102">
        <f>MIN(1,MAX(VLOOKUP(($AJ7-$AI7-$AH7-$AG7-$AF7-$AE7*(1+GR$3))/$AJ7,Уголь_коэфф!$A:$B,2,1),(GQ7-0.05)))</f>
        <v>1</v>
      </c>
      <c r="GS7" s="102">
        <f>MIN(1,MAX(VLOOKUP(($AJ7-$AI7-$AH7-$AG7-$AF7-$AE7*(1+GS$3))/$AJ7,Уголь_коэфф!$A:$B,2,1),(GR7-0.05)))</f>
        <v>1</v>
      </c>
      <c r="GT7" s="102">
        <f>MIN(1,MAX(VLOOKUP(($AJ7-$AI7-$AH7-$AG7-$AF7-$AE7*(1+GT$3))/$AJ7,Уголь_коэфф!$A:$B,2,1),(GS7-0.05)))</f>
        <v>1</v>
      </c>
      <c r="GU7" s="102">
        <f>MIN(1,MAX(VLOOKUP(($AJ7-$AI7-$AH7-$AG7-$AF7-$AE7*(1+GU$3))/$AJ7,Уголь_коэфф!$A:$B,2,1),(GT7-0.05)))</f>
        <v>1</v>
      </c>
      <c r="GV7" s="102">
        <f>MIN(1,MAX(VLOOKUP(($AJ7-$AI7-$AH7-$AG7-$AF7-$AE7*(1+GV$3))/$AJ7,Уголь_коэфф!$A:$B,2,1),(GU7-0.05)))</f>
        <v>1</v>
      </c>
      <c r="GW7" s="102">
        <f>MIN(1,MAX(VLOOKUP(($AJ7-$AI7-$AH7-$AG7-$AF7-$AE7*(1+GW$3))/$AJ7,Уголь_коэфф!$A:$B,2,1),(GV7-0.05)))</f>
        <v>1</v>
      </c>
      <c r="GX7" s="102">
        <f>MIN(1,MAX(VLOOKUP(($AJ7-$AI7-$AH7-$AG7-$AF7-$AE7*(1+GX$3))/$AJ7,Уголь_коэфф!$A:$B,2,1),(GW7-0.05)))</f>
        <v>1</v>
      </c>
      <c r="GY7" s="102">
        <f>MIN(1,MAX(VLOOKUP(($AJ7-$AI7-$AH7-$AG7-$AF7-$AE7*(1+GY$3))/$AJ7,Уголь_коэфф!$A:$B,2,1),(GX7-0.05)))</f>
        <v>1</v>
      </c>
      <c r="GZ7" s="102">
        <f>MIN(1,MAX(VLOOKUP(($AJ7-$AI7-$AH7-$AG7-$AF7-$AE7*(1+GZ$3))/$AJ7,Уголь_коэфф!$A:$B,2,1),(GY7-0.05)))</f>
        <v>1</v>
      </c>
      <c r="HA7" s="102">
        <f>MIN(1,MAX(VLOOKUP(($AJ7-$AI7-$AH7-$AG7-$AF7-$AE7*(1+HA$3))/$AJ7,Уголь_коэфф!$A:$B,2,1),(GZ7-0.05)))</f>
        <v>1</v>
      </c>
      <c r="HB7" s="102">
        <f>MIN(1,MAX(VLOOKUP(($AJ7-$AI7-$AH7-$AG7-$AF7-$AE7*(1+HB$3))/$AJ7,Уголь_коэфф!$A:$B,2,1),(HA7-0.05)))</f>
        <v>1</v>
      </c>
      <c r="HC7" s="102">
        <f>MIN(1,MAX(VLOOKUP(($AJ7-$AI7-$AH7-$AG7-$AF7-$AE7*(1+HC$3))/$AJ7,Уголь_коэфф!$A:$B,2,1),(HB7-0.05)))</f>
        <v>1</v>
      </c>
      <c r="HD7" s="102">
        <f>MIN(1,MAX(VLOOKUP(($AJ7-$AI7-$AH7-$AG7-$AF7-$AE7*(1+HD$3))/$AJ7,Уголь_коэфф!$A:$B,2,1),(HC7-0.05)))</f>
        <v>1</v>
      </c>
      <c r="HE7" s="102">
        <f>MIN(1,MAX(VLOOKUP(($AJ7-$AI7-$AH7-$AG7-$AF7-$AE7*(1+HE$3))/$AJ7,Уголь_коэфф!$A:$B,2,1),(HD7-0.05)))</f>
        <v>1</v>
      </c>
      <c r="HF7" s="102">
        <f>MIN(1,MAX(VLOOKUP(($AJ7-$AI7-$AH7-$AG7-$AF7-$AE7*(1+HF$3))/$AJ7,Уголь_коэфф!$A:$B,2,1),(HE7-0.05)))</f>
        <v>1</v>
      </c>
      <c r="HG7" s="102">
        <f>MIN(1,MAX(VLOOKUP(($AJ7-$AI7-$AH7-$AG7-$AF7-$AE7*(1+HG$3))/$AJ7,Уголь_коэфф!$A:$B,2,1),(HF7-0.05)))</f>
        <v>1</v>
      </c>
      <c r="HH7" s="102">
        <f>MIN(1,MAX(VLOOKUP(($AJ7-$AI7-$AH7-$AG7-$AF7-$AE7*(1+HH$3))/$AJ7,Уголь_коэфф!$A:$B,2,1),(HG7-0.05)))</f>
        <v>1</v>
      </c>
      <c r="HI7" s="102">
        <f>MIN(1,MAX(VLOOKUP(($AJ7-$AI7-$AH7-$AG7-$AF7-$AE7*(1+HI$3))/$AJ7,Уголь_коэфф!$A:$B,2,1),(HH7-0.05)))</f>
        <v>1</v>
      </c>
      <c r="HJ7" s="102">
        <f>MIN(1,MAX(VLOOKUP(($AJ7-$AI7-$AH7-$AG7-$AF7-$AE7*(1+HJ$3))/$AJ7,Уголь_коэфф!$A:$B,2,1),(HI7-0.05)))</f>
        <v>1</v>
      </c>
      <c r="HK7" s="102">
        <f>MIN(1,MAX(VLOOKUP(($AJ7-$AI7-$AH7-$AG7-$AF7-$AE7*(1+HK$3))/$AJ7,Уголь_коэфф!$A:$B,2,1),(HJ7-0.05)))</f>
        <v>1</v>
      </c>
      <c r="HL7" s="102">
        <f>MIN(1,MAX(VLOOKUP(($AJ7-$AI7-$AH7-$AG7-$AF7-$AE7*(1+HL$3))/$AJ7,Уголь_коэфф!$A:$B,2,1),(HK7-0.05)))</f>
        <v>1</v>
      </c>
      <c r="HM7" s="102">
        <f>MIN(1,MAX(VLOOKUP(($AJ7-$AI7-$AH7-$AG7-$AF7-$AE7*(1+HM$3))/$AJ7,Уголь_коэфф!$A:$B,2,1),(HL7-0.05)))</f>
        <v>1</v>
      </c>
      <c r="HN7" s="102">
        <f>MIN(1,MAX(VLOOKUP(($AJ7-$AI7-$AH7-$AG7-$AF7-$AE7*(1+HN$3))/$AJ7,Уголь_коэфф!$A:$B,2,1),(HM7-0.05)))</f>
        <v>1</v>
      </c>
      <c r="HO7" s="102">
        <f>MIN(1,MAX(VLOOKUP(($AJ7-$AI7-$AH7-$AG7-$AF7-$AE7*(1+HO$3))/$AJ7,Уголь_коэфф!$A:$B,2,1),(HN7-0.05)))</f>
        <v>1</v>
      </c>
      <c r="HP7" s="102">
        <f>MIN(1,MAX(VLOOKUP(($AJ7-$AI7-$AH7-$AG7-$AF7-$AE7*(1+HP$3))/$AJ7,Уголь_коэфф!$A:$B,2,1),(HO7-0.05)))</f>
        <v>1</v>
      </c>
      <c r="HQ7" s="102">
        <f>MIN(1,MAX(VLOOKUP(($AJ7-$AI7-$AH7-$AG7-$AF7-$AE7*(1+HQ$3))/$AJ7,Уголь_коэфф!$A:$B,2,1),(HP7-0.05)))</f>
        <v>1</v>
      </c>
      <c r="HR7" s="102">
        <f>MIN(1,MAX(VLOOKUP(($AJ7-$AI7-$AH7-$AG7-$AF7-$AE7*(1+HR$3))/$AJ7,Уголь_коэфф!$A:$B,2,1),(HQ7-0.05)))</f>
        <v>1</v>
      </c>
      <c r="HS7" s="102">
        <f>MIN(1,MAX(VLOOKUP(($AJ7-$AI7-$AH7-$AG7-$AF7-$AE7*(1+HS$3))/$AJ7,Уголь_коэфф!$A:$B,2,1),(HR7-0.05)))</f>
        <v>1</v>
      </c>
      <c r="HT7" s="102">
        <f>MIN(1,MAX(VLOOKUP(($AJ7-$AI7-$AH7-$AG7-$AF7-$AE7*(1+HT$3))/$AJ7,Уголь_коэфф!$A:$B,2,1),(HS7-0.05)))</f>
        <v>1</v>
      </c>
      <c r="HU7" s="102">
        <f>MIN(1,MAX(VLOOKUP(($AJ7-$AI7-$AH7-$AG7-$AF7-$AE7*(1+HU$3))/$AJ7,Уголь_коэфф!$A:$B,2,1),(HT7-0.05)))</f>
        <v>1</v>
      </c>
      <c r="HV7" s="102">
        <f>MIN(1,MAX(VLOOKUP(($AJ7-$AI7-$AH7-$AG7-$AF7-$AE7*(1+HV$3))/$AJ7,Уголь_коэфф!$A:$B,2,1),(HU7-0.05)))</f>
        <v>1</v>
      </c>
      <c r="HW7" s="102">
        <f>MIN(1,MAX(VLOOKUP(($AJ7-$AI7-$AH7-$AG7-$AF7-$AE7*(1+HW$3))/$AJ7,Уголь_коэфф!$A:$B,2,1),(HV7-0.05)))</f>
        <v>1</v>
      </c>
      <c r="HX7" s="102">
        <f>MIN(1,MAX(VLOOKUP(($AJ7-$AI7-$AH7-$AG7-$AF7-$AE7*(1+HX$3))/$AJ7,Уголь_коэфф!$A:$B,2,1),(HW7-0.05)))</f>
        <v>1</v>
      </c>
      <c r="HY7" s="102">
        <f>MIN(1,MAX(VLOOKUP(($AJ7-$AI7-$AH7-$AG7-$AF7-$AE7*(1+HY$3))/$AJ7,Уголь_коэфф!$A:$B,2,1),(HX7-0.05)))</f>
        <v>1</v>
      </c>
      <c r="HZ7" s="102">
        <f>MIN(1,MAX(VLOOKUP(($AJ7-$AI7-$AH7-$AG7-$AF7-$AE7*(1+HZ$3))/$AJ7,Уголь_коэфф!$A:$B,2,1),(HY7-0.05)))</f>
        <v>1</v>
      </c>
      <c r="IA7" s="102">
        <f>MIN(1,MAX(VLOOKUP(($AJ7-$AI7-$AH7-$AG7-$AF7-$AE7*(1+IA$3))/$AJ7,Уголь_коэфф!$A:$B,2,1),(HZ7-0.05)))</f>
        <v>1</v>
      </c>
      <c r="IB7" s="102">
        <f>MIN(1,MAX(VLOOKUP(($AJ7-$AI7-$AH7-$AG7-$AF7-$AE7*(1+IB$3))/$AJ7,Уголь_коэфф!$A:$B,2,1),(IA7-0.05)))</f>
        <v>1</v>
      </c>
      <c r="IC7" s="102">
        <f>MIN(1,MAX(VLOOKUP(($AJ7-$AI7-$AH7-$AG7-$AF7-$AE7*(1+IC$3))/$AJ7,Уголь_коэфф!$A:$B,2,1),(IB7-0.05)))</f>
        <v>1</v>
      </c>
      <c r="ID7" s="102">
        <f>MIN(1,MAX(VLOOKUP(($AJ7-$AI7-$AH7-$AG7-$AF7-$AE7*(1+ID$3))/$AJ7,Уголь_коэфф!$A:$B,2,1),(IC7-0.05)))</f>
        <v>1</v>
      </c>
      <c r="IE7" s="102">
        <f>MIN(1,MAX(VLOOKUP(($AJ7-$AI7-$AH7-$AG7-$AF7-$AE7*(1+IE$3))/$AJ7,Уголь_коэфф!$A:$B,2,1),(ID7-0.05)))</f>
        <v>1</v>
      </c>
      <c r="IF7" s="102">
        <f>MIN(1,MAX(VLOOKUP(($AJ7-$AI7-$AH7-$AG7-$AF7-$AE7*(1+IF$3))/$AJ7,Уголь_коэфф!$A:$B,2,1),(IE7-0.05)))</f>
        <v>1</v>
      </c>
      <c r="IG7" s="102">
        <f>MIN(1,MAX(VLOOKUP(($AJ7-$AI7-$AH7-$AG7-$AF7-$AE7*(1+IG$3))/$AJ7,Уголь_коэфф!$A:$B,2,1),(IF7-0.05)))</f>
        <v>1</v>
      </c>
      <c r="IH7" s="102">
        <f>MIN(1,MAX(VLOOKUP(($AJ7-$AI7-$AH7-$AG7-$AF7-$AE7*(1+IH$3))/$AJ7,Уголь_коэфф!$A:$B,2,1),(IG7-0.05)))</f>
        <v>1</v>
      </c>
      <c r="II7" s="102">
        <f>MIN(1,MAX(VLOOKUP(($AJ7-$AI7-$AH7-$AG7-$AF7-$AE7*(1+II$3))/$AJ7,Уголь_коэфф!$A:$B,2,1),(IH7-0.05)))</f>
        <v>1</v>
      </c>
      <c r="IJ7" s="102">
        <f>MIN(1,MAX(VLOOKUP(($AJ7-$AI7-$AH7-$AG7-$AF7-$AE7*(1+IJ$3))/$AJ7,Уголь_коэфф!$A:$B,2,1),(II7-0.05)))</f>
        <v>1</v>
      </c>
      <c r="IK7" s="102">
        <f>MIN(1,MAX(VLOOKUP(($AJ7-$AI7-$AH7-$AG7-$AF7-$AE7*(1+IK$3))/$AJ7,Уголь_коэфф!$A:$B,2,1),(IJ7-0.05)))</f>
        <v>1</v>
      </c>
      <c r="IL7" s="102">
        <f>MIN(1,MAX(VLOOKUP(($AJ7-$AI7-$AH7-$AG7-$AF7-$AE7*(1+IL$3))/$AJ7,Уголь_коэфф!$A:$B,2,1),(IK7-0.05)))</f>
        <v>1</v>
      </c>
      <c r="IM7" s="102">
        <f>MIN(1,MAX(VLOOKUP(($AJ7-$AI7-$AH7-$AG7-$AF7-$AE7*(1+IM$3))/$AJ7,Уголь_коэфф!$A:$B,2,1),(IL7-0.05)))</f>
        <v>1</v>
      </c>
      <c r="IN7" s="102">
        <f>MIN(1,MAX(VLOOKUP(($AJ7-$AI7-$AH7-$AG7-$AF7-$AE7*(1+IN$3))/$AJ7,Уголь_коэфф!$A:$B,2,1),(IM7-0.05)))</f>
        <v>1</v>
      </c>
      <c r="IO7" s="102">
        <f>MIN(1,MAX(VLOOKUP(($AJ7-$AI7-$AH7-$AG7-$AF7-$AE7*(1+IO$3))/$AJ7,Уголь_коэфф!$A:$B,2,1),(IN7-0.05)))</f>
        <v>1</v>
      </c>
      <c r="IP7" s="102">
        <f>MIN(1,MAX(VLOOKUP(($AJ7-$AI7-$AH7-$AG7-$AF7-$AE7*(1+IP$3))/$AJ7,Уголь_коэфф!$A:$B,2,1),(IO7-0.05)))</f>
        <v>1</v>
      </c>
      <c r="IQ7" s="102">
        <f>MIN(1,MAX(VLOOKUP(($AJ7-$AI7-$AH7-$AG7-$AF7-$AE7*(1+IQ$3))/$AJ7,Уголь_коэфф!$A:$B,2,1),(IP7-0.05)))</f>
        <v>1</v>
      </c>
      <c r="IR7" s="102">
        <f>MIN(1,MAX(VLOOKUP(($AJ7-$AI7-$AH7-$AG7-$AF7-$AE7*(1+IR$3))/$AJ7,Уголь_коэфф!$A:$B,2,1),(IQ7-0.05)))</f>
        <v>1</v>
      </c>
      <c r="IS7" s="102">
        <f t="shared" si="20"/>
        <v>1</v>
      </c>
      <c r="IT7" s="102">
        <f t="shared" si="7"/>
        <v>1</v>
      </c>
      <c r="IU7" s="110"/>
    </row>
    <row r="8" spans="1:266" ht="14.6" customHeight="1">
      <c r="A8" t="s">
        <v>240</v>
      </c>
      <c r="B8" s="119">
        <v>1</v>
      </c>
      <c r="C8" s="120" t="s">
        <v>16</v>
      </c>
      <c r="D8" s="121">
        <v>16111</v>
      </c>
      <c r="E8" s="121" t="s">
        <v>17</v>
      </c>
      <c r="F8" s="120" t="s">
        <v>18</v>
      </c>
      <c r="G8" s="120" t="s">
        <v>29</v>
      </c>
      <c r="H8" s="121" t="s">
        <v>30</v>
      </c>
      <c r="I8" s="121" t="s">
        <v>52</v>
      </c>
      <c r="J8" s="121" t="s">
        <v>53</v>
      </c>
      <c r="K8" s="121">
        <v>4972</v>
      </c>
      <c r="L8" s="121" t="s">
        <v>22</v>
      </c>
      <c r="M8" s="121" t="s">
        <v>23</v>
      </c>
      <c r="N8" s="121" t="s">
        <v>24</v>
      </c>
      <c r="O8" s="121" t="s">
        <v>33</v>
      </c>
      <c r="P8" s="122">
        <v>78465421</v>
      </c>
      <c r="Q8" s="122" t="s">
        <v>54</v>
      </c>
      <c r="R8" s="121" t="s">
        <v>51</v>
      </c>
      <c r="S8" s="125">
        <v>55119</v>
      </c>
      <c r="T8" s="123">
        <v>274033646</v>
      </c>
      <c r="U8" s="123">
        <v>786</v>
      </c>
      <c r="V8" s="123"/>
      <c r="W8" s="126">
        <v>109968398</v>
      </c>
      <c r="X8" s="104">
        <v>69</v>
      </c>
      <c r="Y8" s="104" t="s">
        <v>163</v>
      </c>
      <c r="Z8" s="107">
        <v>12</v>
      </c>
      <c r="AA8" s="107">
        <v>12</v>
      </c>
      <c r="AB8" s="107">
        <v>4</v>
      </c>
      <c r="AC8" s="88">
        <v>2243.1</v>
      </c>
      <c r="AD8" s="88">
        <v>1024.44</v>
      </c>
      <c r="AE8" s="88">
        <f t="shared" si="21"/>
        <v>3267.54</v>
      </c>
      <c r="AF8" s="89">
        <f>'Цены,перевалка,аренда'!$C$27*SUM(Уголь_эластика_экспорт!Z8+Уголь_эластика_экспорт!AA8+Уголь_эластика_экспорт!AB8)/Уголь_эластика_экспорт!X8</f>
        <v>284.05797101449275</v>
      </c>
      <c r="AG8" s="90">
        <f>SUMIF('Цены,перевалка,аренда'!$A$20:$A$22,Уголь_эластика_экспорт!$O8,'Цены,перевалка,аренда'!$D$20:$D$22)</f>
        <v>610.44399999999996</v>
      </c>
      <c r="AH8" s="47"/>
      <c r="AI8" s="91">
        <v>586</v>
      </c>
      <c r="AJ8" s="92">
        <f>SUMIF('Цены,перевалка,аренда'!$A$5:$A$17,Уголь_эластика_экспорт!A8,'Цены,перевалка,аренда'!$D$5:$D$17)</f>
        <v>6485.9674999999997</v>
      </c>
      <c r="AK8" s="47">
        <f>AJ8/'Цены,перевалка,аренда'!$C$1</f>
        <v>85</v>
      </c>
      <c r="AL8" s="47">
        <f t="shared" si="9"/>
        <v>4162.0419710144924</v>
      </c>
      <c r="AM8" s="47">
        <f t="shared" si="10"/>
        <v>2323.9255289855073</v>
      </c>
      <c r="AN8" s="47">
        <f t="shared" si="11"/>
        <v>4748.0419710144924</v>
      </c>
      <c r="AO8" s="93">
        <f t="shared" si="12"/>
        <v>0.26795162463973299</v>
      </c>
      <c r="AP8" s="94">
        <f t="shared" si="13"/>
        <v>0.64169947984082443</v>
      </c>
      <c r="AQ8" s="94">
        <f t="shared" si="5"/>
        <v>0.50378605813242205</v>
      </c>
      <c r="AR8" s="94">
        <f t="shared" si="6"/>
        <v>0.78508098254558001</v>
      </c>
      <c r="AS8" s="167">
        <f t="shared" si="14"/>
        <v>1</v>
      </c>
      <c r="AT8" s="173">
        <f t="shared" si="15"/>
        <v>55119</v>
      </c>
      <c r="AU8" s="97">
        <v>1</v>
      </c>
      <c r="AV8" s="93">
        <f t="shared" si="16"/>
        <v>0.2074972976638422</v>
      </c>
      <c r="AW8" s="94">
        <f t="shared" si="17"/>
        <v>0.70215380681671524</v>
      </c>
      <c r="AX8" s="94">
        <f t="shared" si="18"/>
        <v>0.56424038510831276</v>
      </c>
      <c r="AY8" s="94">
        <f t="shared" si="19"/>
        <v>0.8035851684210803</v>
      </c>
      <c r="AZ8" s="102">
        <f>MIN(IF($AU8=100%,1,1+VLOOKUP(($AJ8-$AI8-$AH8-$AG8-$AF8-$AE8*(1+AZ$3))/$AJ8,Уголь_коэфф!$A:$B,2,1)-VLOOKUP($AO8,Уголь_коэфф!$A:$B,2,1)),1+(1-$AU8))</f>
        <v>1</v>
      </c>
      <c r="BA8" s="102">
        <f>MIN(IF($AU8=100%,1,1+VLOOKUP(($AJ8-$AI8-$AH8-$AG8-$AF8-$AE8*(1+BA$3))/$AJ8,Уголь_коэфф!$A:$B,2,1)-VLOOKUP($AO8,Уголь_коэфф!$A:$B,2,1)),1+(1-$AU8))</f>
        <v>1</v>
      </c>
      <c r="BB8" s="102">
        <f>MIN(IF($AU8=100%,1,1+VLOOKUP(($AJ8-$AI8-$AH8-$AG8-$AF8-$AE8*(1+BB$3))/$AJ8,Уголь_коэфф!$A:$B,2,1)-VLOOKUP($AO8,Уголь_коэфф!$A:$B,2,1)),1+(1-$AU8))</f>
        <v>1</v>
      </c>
      <c r="BC8" s="102">
        <f>MIN(IF($AU8=100%,1,1+VLOOKUP(($AJ8-$AI8-$AH8-$AG8-$AF8-$AE8*(1+BC$3))/$AJ8,Уголь_коэфф!$A:$B,2,1)-VLOOKUP($AO8,Уголь_коэфф!$A:$B,2,1)),1+(1-$AU8))</f>
        <v>1</v>
      </c>
      <c r="BD8" s="102">
        <f>MIN(IF($AU8=100%,1,1+VLOOKUP(($AJ8-$AI8-$AH8-$AG8-$AF8-$AE8*(1+BD$3))/$AJ8,Уголь_коэфф!$A:$B,2,1)-VLOOKUP($AO8,Уголь_коэфф!$A:$B,2,1)),1+(1-$AU8))</f>
        <v>1</v>
      </c>
      <c r="BE8" s="102">
        <f>MIN(IF($AU8=100%,1,1+VLOOKUP(($AJ8-$AI8-$AH8-$AG8-$AF8-$AE8*(1+BE$3))/$AJ8,Уголь_коэфф!$A:$B,2,1)-VLOOKUP($AO8,Уголь_коэфф!$A:$B,2,1)),1+(1-$AU8))</f>
        <v>1</v>
      </c>
      <c r="BF8" s="102">
        <f>MIN(IF($AU8=100%,1,1+VLOOKUP(($AJ8-$AI8-$AH8-$AG8-$AF8-$AE8*(1+BF$3))/$AJ8,Уголь_коэфф!$A:$B,2,1)-VLOOKUP($AO8,Уголь_коэфф!$A:$B,2,1)),1+(1-$AU8))</f>
        <v>1</v>
      </c>
      <c r="BG8" s="102">
        <f>MIN(IF($AU8=100%,1,1+VLOOKUP(($AJ8-$AI8-$AH8-$AG8-$AF8-$AE8*(1+BG$3))/$AJ8,Уголь_коэфф!$A:$B,2,1)-VLOOKUP($AO8,Уголь_коэфф!$A:$B,2,1)),1+(1-$AU8))</f>
        <v>1</v>
      </c>
      <c r="BH8" s="102">
        <f>MIN(IF($AU8=100%,1,1+VLOOKUP(($AJ8-$AI8-$AH8-$AG8-$AF8-$AE8*(1+BH$3))/$AJ8,Уголь_коэфф!$A:$B,2,1)-VLOOKUP($AO8,Уголь_коэфф!$A:$B,2,1)),1+(1-$AU8))</f>
        <v>1</v>
      </c>
      <c r="BI8" s="102">
        <f>MIN(IF($AU8=100%,1,1+VLOOKUP(($AJ8-$AI8-$AH8-$AG8-$AF8-$AE8*(1+BI$3))/$AJ8,Уголь_коэфф!$A:$B,2,1)-VLOOKUP($AO8,Уголь_коэфф!$A:$B,2,1)),1+(1-$AU8))</f>
        <v>1</v>
      </c>
      <c r="BJ8" s="102">
        <f>MIN(IF($AU8=100%,1,1+VLOOKUP(($AJ8-$AI8-$AH8-$AG8-$AF8-$AE8*(1+BJ$3))/$AJ8,Уголь_коэфф!$A:$B,2,1)-VLOOKUP($AO8,Уголь_коэфф!$A:$B,2,1)),1+(1-$AU8))</f>
        <v>1</v>
      </c>
      <c r="BK8" s="102">
        <f>MIN(IF($AU8=100%,1,1+VLOOKUP(($AJ8-$AI8-$AH8-$AG8-$AF8-$AE8*(1+BK$3))/$AJ8,Уголь_коэфф!$A:$B,2,1)-VLOOKUP($AO8,Уголь_коэфф!$A:$B,2,1)),1+(1-$AU8))</f>
        <v>1</v>
      </c>
      <c r="BL8" s="102">
        <f>MIN(IF($AU8=100%,1,1+VLOOKUP(($AJ8-$AI8-$AH8-$AG8-$AF8-$AE8*(1+BL$3))/$AJ8,Уголь_коэфф!$A:$B,2,1)-VLOOKUP($AO8,Уголь_коэфф!$A:$B,2,1)),1+(1-$AU8))</f>
        <v>1</v>
      </c>
      <c r="BM8" s="102">
        <f>MIN(IF($AU8=100%,1,1+VLOOKUP(($AJ8-$AI8-$AH8-$AG8-$AF8-$AE8*(1+BM$3))/$AJ8,Уголь_коэфф!$A:$B,2,1)-VLOOKUP($AO8,Уголь_коэфф!$A:$B,2,1)),1+(1-$AU8))</f>
        <v>1</v>
      </c>
      <c r="BN8" s="102">
        <f>MIN(IF($AU8=100%,1,1+VLOOKUP(($AJ8-$AI8-$AH8-$AG8-$AF8-$AE8*(1+BN$3))/$AJ8,Уголь_коэфф!$A:$B,2,1)-VLOOKUP($AO8,Уголь_коэфф!$A:$B,2,1)),1+(1-$AU8))</f>
        <v>1</v>
      </c>
      <c r="BO8" s="102">
        <f>MIN(IF($AU8=100%,1,1+VLOOKUP(($AJ8-$AI8-$AH8-$AG8-$AF8-$AE8*(1+BO$3))/$AJ8,Уголь_коэфф!$A:$B,2,1)-VLOOKUP($AO8,Уголь_коэфф!$A:$B,2,1)),1+(1-$AU8))</f>
        <v>1</v>
      </c>
      <c r="BP8" s="102">
        <f>MIN(IF($AU8=100%,1,1+VLOOKUP(($AJ8-$AI8-$AH8-$AG8-$AF8-$AE8*(1+BP$3))/$AJ8,Уголь_коэфф!$A:$B,2,1)-VLOOKUP($AO8,Уголь_коэфф!$A:$B,2,1)),1+(1-$AU8))</f>
        <v>1</v>
      </c>
      <c r="BQ8" s="102">
        <f>MIN(IF($AU8=100%,1,1+VLOOKUP(($AJ8-$AI8-$AH8-$AG8-$AF8-$AE8*(1+BQ$3))/$AJ8,Уголь_коэфф!$A:$B,2,1)-VLOOKUP($AO8,Уголь_коэфф!$A:$B,2,1)),1+(1-$AU8))</f>
        <v>1</v>
      </c>
      <c r="BR8" s="102">
        <f>MIN(IF($AU8=100%,1,1+VLOOKUP(($AJ8-$AI8-$AH8-$AG8-$AF8-$AE8*(1+BR$3))/$AJ8,Уголь_коэфф!$A:$B,2,1)-VLOOKUP($AO8,Уголь_коэфф!$A:$B,2,1)),1+(1-$AU8))</f>
        <v>1</v>
      </c>
      <c r="BS8" s="102">
        <f>MIN(IF($AU8=100%,1,1+VLOOKUP(($AJ8-$AI8-$AH8-$AG8-$AF8-$AE8*(1+BS$3))/$AJ8,Уголь_коэфф!$A:$B,2,1)-VLOOKUP($AO8,Уголь_коэфф!$A:$B,2,1)),1+(1-$AU8))</f>
        <v>1</v>
      </c>
      <c r="BT8" s="102">
        <f>MIN(IF($AU8=100%,1,1+VLOOKUP(($AJ8-$AI8-$AH8-$AG8-$AF8-$AE8*(1+BT$3))/$AJ8,Уголь_коэфф!$A:$B,2,1)-VLOOKUP($AO8,Уголь_коэфф!$A:$B,2,1)),1+(1-$AU8))</f>
        <v>1</v>
      </c>
      <c r="BU8" s="102">
        <f>MIN(IF($AU8=100%,1,1+VLOOKUP(($AJ8-$AI8-$AH8-$AG8-$AF8-$AE8*(1+BU$3))/$AJ8,Уголь_коэфф!$A:$B,2,1)-VLOOKUP($AO8,Уголь_коэфф!$A:$B,2,1)),1+(1-$AU8))</f>
        <v>1</v>
      </c>
      <c r="BV8" s="102">
        <f>MIN(IF($AU8=100%,1,1+VLOOKUP(($AJ8-$AI8-$AH8-$AG8-$AF8-$AE8*(1+BV$3))/$AJ8,Уголь_коэфф!$A:$B,2,1)-VLOOKUP($AO8,Уголь_коэфф!$A:$B,2,1)),1+(1-$AU8))</f>
        <v>1</v>
      </c>
      <c r="BW8" s="102">
        <f>MIN(IF($AU8=100%,1,1+VLOOKUP(($AJ8-$AI8-$AH8-$AG8-$AF8-$AE8*(1+BW$3))/$AJ8,Уголь_коэфф!$A:$B,2,1)-VLOOKUP($AO8,Уголь_коэфф!$A:$B,2,1)),1+(1-$AU8))</f>
        <v>1</v>
      </c>
      <c r="BX8" s="102">
        <f>MIN(IF($AU8=100%,1,1+VLOOKUP(($AJ8-$AI8-$AH8-$AG8-$AF8-$AE8*(1+BX$3))/$AJ8,Уголь_коэфф!$A:$B,2,1)-VLOOKUP($AO8,Уголь_коэфф!$A:$B,2,1)),1+(1-$AU8))</f>
        <v>1</v>
      </c>
      <c r="BY8" s="102">
        <f>MIN(IF($AU8=100%,1,1+VLOOKUP(($AJ8-$AI8-$AH8-$AG8-$AF8-$AE8*(1+BY$3))/$AJ8,Уголь_коэфф!$A:$B,2,1)-VLOOKUP($AO8,Уголь_коэфф!$A:$B,2,1)),1+(1-$AU8))</f>
        <v>1</v>
      </c>
      <c r="BZ8" s="102">
        <f>MIN(IF($AU8=100%,1,1+VLOOKUP(($AJ8-$AI8-$AH8-$AG8-$AF8-$AE8*(1+BZ$3))/$AJ8,Уголь_коэфф!$A:$B,2,1)-VLOOKUP($AO8,Уголь_коэфф!$A:$B,2,1)),1+(1-$AU8))</f>
        <v>1</v>
      </c>
      <c r="CA8" s="102">
        <f>MIN(IF($AU8=100%,1,1+VLOOKUP(($AJ8-$AI8-$AH8-$AG8-$AF8-$AE8*(1+CA$3))/$AJ8,Уголь_коэфф!$A:$B,2,1)-VLOOKUP($AO8,Уголь_коэфф!$A:$B,2,1)),1+(1-$AU8))</f>
        <v>1</v>
      </c>
      <c r="CB8" s="102">
        <f>MIN(IF($AU8=100%,1,1+VLOOKUP(($AJ8-$AI8-$AH8-$AG8-$AF8-$AE8*(1+CB$3))/$AJ8,Уголь_коэфф!$A:$B,2,1)-VLOOKUP($AO8,Уголь_коэфф!$A:$B,2,1)),1+(1-$AU8))</f>
        <v>1</v>
      </c>
      <c r="CC8" s="102">
        <f>MIN(IF($AU8=100%,1,1+VLOOKUP(($AJ8-$AI8-$AH8-$AG8-$AF8-$AE8*(1+CC$3))/$AJ8,Уголь_коэфф!$A:$B,2,1)-VLOOKUP($AO8,Уголь_коэфф!$A:$B,2,1)),1+(1-$AU8))</f>
        <v>1</v>
      </c>
      <c r="CD8" s="102">
        <f>MIN(IF($AU8=100%,1,1+VLOOKUP(($AJ8-$AI8-$AH8-$AG8-$AF8-$AE8*(1+CD$3))/$AJ8,Уголь_коэфф!$A:$B,2,1)-VLOOKUP($AO8,Уголь_коэфф!$A:$B,2,1)),1+(1-$AU8))</f>
        <v>1</v>
      </c>
      <c r="CE8" s="102">
        <f>MIN(IF($AU8=100%,1,1+VLOOKUP(($AJ8-$AI8-$AH8-$AG8-$AF8-$AE8*(1+CE$3))/$AJ8,Уголь_коэфф!$A:$B,2,1)-VLOOKUP($AO8,Уголь_коэфф!$A:$B,2,1)),1+(1-$AU8))</f>
        <v>1</v>
      </c>
      <c r="CF8" s="102">
        <f>MIN(IF($AU8=100%,1,1+VLOOKUP(($AJ8-$AI8-$AH8-$AG8-$AF8-$AE8*(1+CF$3))/$AJ8,Уголь_коэфф!$A:$B,2,1)-VLOOKUP($AO8,Уголь_коэфф!$A:$B,2,1)),1+(1-$AU8))</f>
        <v>1</v>
      </c>
      <c r="CG8" s="102">
        <f>MIN(IF($AU8=100%,1,1+VLOOKUP(($AJ8-$AI8-$AH8-$AG8-$AF8-$AE8*(1+CG$3))/$AJ8,Уголь_коэфф!$A:$B,2,1)-VLOOKUP($AO8,Уголь_коэфф!$A:$B,2,1)),1+(1-$AU8))</f>
        <v>1</v>
      </c>
      <c r="CH8" s="102">
        <f>MIN(IF($AU8=100%,1,1+VLOOKUP(($AJ8-$AI8-$AH8-$AG8-$AF8-$AE8*(1+CH$3))/$AJ8,Уголь_коэфф!$A:$B,2,1)-VLOOKUP($AO8,Уголь_коэфф!$A:$B,2,1)),1+(1-$AU8))</f>
        <v>1</v>
      </c>
      <c r="CI8" s="102">
        <f>MIN(IF($AU8=100%,1,1+VLOOKUP(($AJ8-$AI8-$AH8-$AG8-$AF8-$AE8*(1+CI$3))/$AJ8,Уголь_коэфф!$A:$B,2,1)-VLOOKUP($AO8,Уголь_коэфф!$A:$B,2,1)),1+(1-$AU8))</f>
        <v>1</v>
      </c>
      <c r="CJ8" s="102">
        <f>MIN(IF($AU8=100%,1,1+VLOOKUP(($AJ8-$AI8-$AH8-$AG8-$AF8-$AE8*(1+CJ$3))/$AJ8,Уголь_коэфф!$A:$B,2,1)-VLOOKUP($AO8,Уголь_коэфф!$A:$B,2,1)),1+(1-$AU8))</f>
        <v>1</v>
      </c>
      <c r="CK8" s="102">
        <f>MIN(IF($AU8=100%,1,1+VLOOKUP(($AJ8-$AI8-$AH8-$AG8-$AF8-$AE8*(1+CK$3))/$AJ8,Уголь_коэфф!$A:$B,2,1)-VLOOKUP($AO8,Уголь_коэфф!$A:$B,2,1)),1+(1-$AU8))</f>
        <v>1</v>
      </c>
      <c r="CL8" s="102">
        <f>MIN(IF($AU8=100%,1,1+VLOOKUP(($AJ8-$AI8-$AH8-$AG8-$AF8-$AE8*(1+CL$3))/$AJ8,Уголь_коэфф!$A:$B,2,1)-VLOOKUP($AO8,Уголь_коэфф!$A:$B,2,1)),1+(1-$AU8))</f>
        <v>1</v>
      </c>
      <c r="CM8" s="102">
        <f>MIN(IF($AU8=100%,1,1+VLOOKUP(($AJ8-$AI8-$AH8-$AG8-$AF8-$AE8*(1+CM$3))/$AJ8,Уголь_коэфф!$A:$B,2,1)-VLOOKUP($AO8,Уголь_коэфф!$A:$B,2,1)),1+(1-$AU8))</f>
        <v>1</v>
      </c>
      <c r="CN8" s="102">
        <f>MIN(IF($AU8=100%,1,1+VLOOKUP(($AJ8-$AI8-$AH8-$AG8-$AF8-$AE8*(1+CN$3))/$AJ8,Уголь_коэфф!$A:$B,2,1)-VLOOKUP($AO8,Уголь_коэфф!$A:$B,2,1)),1+(1-$AU8))</f>
        <v>1</v>
      </c>
      <c r="CO8" s="102">
        <f>MIN(IF($AU8=100%,1,1+VLOOKUP(($AJ8-$AI8-$AH8-$AG8-$AF8-$AE8*(1+CO$3))/$AJ8,Уголь_коэфф!$A:$B,2,1)-VLOOKUP($AO8,Уголь_коэфф!$A:$B,2,1)),1+(1-$AU8))</f>
        <v>1</v>
      </c>
      <c r="CP8" s="102">
        <f>MIN(IF($AU8=100%,1,1+VLOOKUP(($AJ8-$AI8-$AH8-$AG8-$AF8-$AE8*(1+CP$3))/$AJ8,Уголь_коэфф!$A:$B,2,1)-VLOOKUP($AO8,Уголь_коэфф!$A:$B,2,1)),1+(1-$AU8))</f>
        <v>1</v>
      </c>
      <c r="CQ8" s="102">
        <f>MIN(IF($AU8=100%,1,1+VLOOKUP(($AJ8-$AI8-$AH8-$AG8-$AF8-$AE8*(1+CQ$3))/$AJ8,Уголь_коэфф!$A:$B,2,1)-VLOOKUP($AO8,Уголь_коэфф!$A:$B,2,1)),1+(1-$AU8))</f>
        <v>1</v>
      </c>
      <c r="CR8" s="102">
        <f>MIN(IF($AU8=100%,1,1+VLOOKUP(($AJ8-$AI8-$AH8-$AG8-$AF8-$AE8*(1+CR$3))/$AJ8,Уголь_коэфф!$A:$B,2,1)-VLOOKUP($AO8,Уголь_коэфф!$A:$B,2,1)),1+(1-$AU8))</f>
        <v>1</v>
      </c>
      <c r="CS8" s="102">
        <f>MIN(IF($AU8=100%,1,1+VLOOKUP(($AJ8-$AI8-$AH8-$AG8-$AF8-$AE8*(1+CS$3))/$AJ8,Уголь_коэфф!$A:$B,2,1)-VLOOKUP($AO8,Уголь_коэфф!$A:$B,2,1)),1+(1-$AU8))</f>
        <v>1</v>
      </c>
      <c r="CT8" s="102">
        <f>MIN(IF($AU8=100%,1,1+VLOOKUP(($AJ8-$AI8-$AH8-$AG8-$AF8-$AE8*(1+CT$3))/$AJ8,Уголь_коэфф!$A:$B,2,1)-VLOOKUP($AO8,Уголь_коэфф!$A:$B,2,1)),1+(1-$AU8))</f>
        <v>1</v>
      </c>
      <c r="CU8" s="102">
        <f>MIN(IF($AU8=100%,1,1+VLOOKUP(($AJ8-$AI8-$AH8-$AG8-$AF8-$AE8*(1+CU$3))/$AJ8,Уголь_коэфф!$A:$B,2,1)-VLOOKUP($AO8,Уголь_коэфф!$A:$B,2,1)),1+(1-$AU8))</f>
        <v>1</v>
      </c>
      <c r="CV8" s="102">
        <f>MIN(IF($AU8=100%,1,1+VLOOKUP(($AJ8-$AI8-$AH8-$AG8-$AF8-$AE8*(1+CV$3))/$AJ8,Уголь_коэфф!$A:$B,2,1)-VLOOKUP($AO8,Уголь_коэфф!$A:$B,2,1)),1+(1-$AU8))</f>
        <v>1</v>
      </c>
      <c r="CW8" s="102">
        <f>MIN(IF($AU8=100%,1,1+VLOOKUP(($AJ8-$AI8-$AH8-$AG8-$AF8-$AE8*(1+CW$3))/$AJ8,Уголь_коэфф!$A:$B,2,1)-VLOOKUP($AO8,Уголь_коэфф!$A:$B,2,1)),1+(1-$AU8))</f>
        <v>1</v>
      </c>
      <c r="CX8" s="102">
        <f>MIN(IF($AU8=100%,1,1+VLOOKUP(($AJ8-$AI8-$AH8-$AG8-$AF8-$AE8*(1+CX$3))/$AJ8,Уголь_коэфф!$A:$B,2,1)-VLOOKUP($AO8,Уголь_коэфф!$A:$B,2,1)),1+(1-$AU8))</f>
        <v>1</v>
      </c>
      <c r="CY8" s="102">
        <f>MIN(IF($AU8=100%,1,1+VLOOKUP(($AJ8-$AI8-$AH8-$AG8-$AF8-$AE8*(1+CY$3))/$AJ8,Уголь_коэфф!$A:$B,2,1)-VLOOKUP($AO8,Уголь_коэфф!$A:$B,2,1)),1+(1-$AU8))</f>
        <v>1</v>
      </c>
      <c r="CZ8" s="102">
        <f>MIN(IF($AU8=100%,1,1+VLOOKUP(($AJ8-$AI8-$AH8-$AG8-$AF8-$AE8*(1+CZ$3))/$AJ8,Уголь_коэфф!$A:$B,2,1)-VLOOKUP($AO8,Уголь_коэфф!$A:$B,2,1)),1+(1-$AU8))</f>
        <v>1</v>
      </c>
      <c r="DA8" s="102">
        <f>MIN(IF($AU8=100%,1,1+VLOOKUP(($AJ8-$AI8-$AH8-$AG8-$AF8-$AE8*(1+DA$3))/$AJ8,Уголь_коэфф!$A:$B,2,1)-VLOOKUP($AO8,Уголь_коэфф!$A:$B,2,1)),1+(1-$AU8))</f>
        <v>1</v>
      </c>
      <c r="DB8" s="102">
        <f>MIN(IF($AU8=100%,1,1+VLOOKUP(($AJ8-$AI8-$AH8-$AG8-$AF8-$AE8*(1+DB$3))/$AJ8,Уголь_коэфф!$A:$B,2,1)-VLOOKUP($AO8,Уголь_коэфф!$A:$B,2,1)),1+(1-$AU8))</f>
        <v>1</v>
      </c>
      <c r="DC8" s="102">
        <f>MIN(IF($AU8=100%,1,1+VLOOKUP(($AJ8-$AI8-$AH8-$AG8-$AF8-$AE8*(1+DC$3))/$AJ8,Уголь_коэфф!$A:$B,2,1)-VLOOKUP($AO8,Уголь_коэфф!$A:$B,2,1)),1+(1-$AU8))</f>
        <v>1</v>
      </c>
      <c r="DD8" s="102">
        <f>MIN(IF($AU8=100%,1,1+VLOOKUP(($AJ8-$AI8-$AH8-$AG8-$AF8-$AE8*(1+DD$3))/$AJ8,Уголь_коэфф!$A:$B,2,1)-VLOOKUP($AO8,Уголь_коэфф!$A:$B,2,1)),1+(1-$AU8))</f>
        <v>1</v>
      </c>
      <c r="DE8" s="102">
        <f>MIN(IF($AU8=100%,1,1+VLOOKUP(($AJ8-$AI8-$AH8-$AG8-$AF8-$AE8*(1+DE$3))/$AJ8,Уголь_коэфф!$A:$B,2,1)-VLOOKUP($AO8,Уголь_коэфф!$A:$B,2,1)),1+(1-$AU8))</f>
        <v>1</v>
      </c>
      <c r="DF8" s="102">
        <f>MIN(IF($AU8=100%,1,1+VLOOKUP(($AJ8-$AI8-$AH8-$AG8-$AF8-$AE8*(1+DF$3))/$AJ8,Уголь_коэфф!$A:$B,2,1)-VLOOKUP($AO8,Уголь_коэфф!$A:$B,2,1)),1+(1-$AU8))</f>
        <v>1</v>
      </c>
      <c r="DG8" s="102">
        <f>MIN(IF($AU8=100%,1,1+VLOOKUP(($AJ8-$AI8-$AH8-$AG8-$AF8-$AE8*(1+DG$3))/$AJ8,Уголь_коэфф!$A:$B,2,1)-VLOOKUP($AO8,Уголь_коэфф!$A:$B,2,1)),1+(1-$AU8))</f>
        <v>1</v>
      </c>
      <c r="DH8" s="102">
        <f>MIN(IF($AU8=100%,1,1+VLOOKUP(($AJ8-$AI8-$AH8-$AG8-$AF8-$AE8*(1+DH$3))/$AJ8,Уголь_коэфф!$A:$B,2,1)-VLOOKUP($AO8,Уголь_коэфф!$A:$B,2,1)),1+(1-$AU8))</f>
        <v>1</v>
      </c>
      <c r="DI8" s="102">
        <f>MIN(IF($AU8=100%,1,1+VLOOKUP(($AJ8-$AI8-$AH8-$AG8-$AF8-$AE8*(1+DI$3))/$AJ8,Уголь_коэфф!$A:$B,2,1)-VLOOKUP($AO8,Уголь_коэфф!$A:$B,2,1)),1+(1-$AU8))</f>
        <v>1</v>
      </c>
      <c r="DJ8" s="102">
        <f>MIN(IF($AU8=100%,1,1+VLOOKUP(($AJ8-$AI8-$AH8-$AG8-$AF8-$AE8*(1+DJ$3))/$AJ8,Уголь_коэфф!$A:$B,2,1)-VLOOKUP($AO8,Уголь_коэфф!$A:$B,2,1)),1+(1-$AU8))</f>
        <v>1</v>
      </c>
      <c r="DK8" s="102">
        <f>MIN(IF($AU8=100%,1,1+VLOOKUP(($AJ8-$AI8-$AH8-$AG8-$AF8-$AE8*(1+DK$3))/$AJ8,Уголь_коэфф!$A:$B,2,1)-VLOOKUP($AO8,Уголь_коэфф!$A:$B,2,1)),1+(1-$AU8))</f>
        <v>1</v>
      </c>
      <c r="DL8" s="102">
        <f>MIN(IF($AU8=100%,1,1+VLOOKUP(($AJ8-$AI8-$AH8-$AG8-$AF8-$AE8*(1+DL$3))/$AJ8,Уголь_коэфф!$A:$B,2,1)-VLOOKUP($AO8,Уголь_коэфф!$A:$B,2,1)),1+(1-$AU8))</f>
        <v>1</v>
      </c>
      <c r="DM8" s="102">
        <f>MIN(IF($AU8=100%,1,1+VLOOKUP(($AJ8-$AI8-$AH8-$AG8-$AF8-$AE8*(1+DM$3))/$AJ8,Уголь_коэфф!$A:$B,2,1)-VLOOKUP($AO8,Уголь_коэфф!$A:$B,2,1)),1+(1-$AU8))</f>
        <v>1</v>
      </c>
      <c r="DN8" s="102">
        <f>MIN(IF($AU8=100%,1,1+VLOOKUP(($AJ8-$AI8-$AH8-$AG8-$AF8-$AE8*(1+DN$3))/$AJ8,Уголь_коэфф!$A:$B,2,1)-VLOOKUP($AO8,Уголь_коэфф!$A:$B,2,1)),1+(1-$AU8))</f>
        <v>1</v>
      </c>
      <c r="DO8" s="102">
        <f>MIN(IF($AU8=100%,1,1+VLOOKUP(($AJ8-$AI8-$AH8-$AG8-$AF8-$AE8*(1+DO$3))/$AJ8,Уголь_коэфф!$A:$B,2,1)-VLOOKUP($AO8,Уголь_коэфф!$A:$B,2,1)),1+(1-$AU8))</f>
        <v>1</v>
      </c>
      <c r="DP8" s="102">
        <f>MIN(IF($AU8=100%,1,1+VLOOKUP(($AJ8-$AI8-$AH8-$AG8-$AF8-$AE8*(1+DP$3))/$AJ8,Уголь_коэфф!$A:$B,2,1)-VLOOKUP($AO8,Уголь_коэфф!$A:$B,2,1)),1+(1-$AU8))</f>
        <v>1</v>
      </c>
      <c r="DQ8" s="102">
        <f>MIN(IF($AU8=100%,1,1+VLOOKUP(($AJ8-$AI8-$AH8-$AG8-$AF8-$AE8*(1+DQ$3))/$AJ8,Уголь_коэфф!$A:$B,2,1)-VLOOKUP($AO8,Уголь_коэфф!$A:$B,2,1)),1+(1-$AU8))</f>
        <v>1</v>
      </c>
      <c r="DR8" s="102">
        <f>MIN(IF($AU8=100%,1,1+VLOOKUP(($AJ8-$AI8-$AH8-$AG8-$AF8-$AE8*(1+DR$3))/$AJ8,Уголь_коэфф!$A:$B,2,1)-VLOOKUP($AO8,Уголь_коэфф!$A:$B,2,1)),1+(1-$AU8))</f>
        <v>1</v>
      </c>
      <c r="DS8" s="102">
        <f>MIN(IF($AU8=100%,1,1+VLOOKUP(($AJ8-$AI8-$AH8-$AG8-$AF8-$AE8*(1+DS$3))/$AJ8,Уголь_коэфф!$A:$B,2,1)-VLOOKUP($AO8,Уголь_коэфф!$A:$B,2,1)),1+(1-$AU8))</f>
        <v>1</v>
      </c>
      <c r="DT8" s="102">
        <f>MIN(IF($AU8=100%,1,1+VLOOKUP(($AJ8-$AI8-$AH8-$AG8-$AF8-$AE8*(1+DT$3))/$AJ8,Уголь_коэфф!$A:$B,2,1)-VLOOKUP($AO8,Уголь_коэфф!$A:$B,2,1)),1+(1-$AU8))</f>
        <v>1</v>
      </c>
      <c r="DU8" s="102">
        <f>MIN(IF($AU8=100%,1,1+VLOOKUP(($AJ8-$AI8-$AH8-$AG8-$AF8-$AE8*(1+DU$3))/$AJ8,Уголь_коэфф!$A:$B,2,1)-VLOOKUP($AO8,Уголь_коэфф!$A:$B,2,1)),1+(1-$AU8))</f>
        <v>1</v>
      </c>
      <c r="DV8" s="102">
        <f>MIN(IF($AU8=100%,1,1+VLOOKUP(($AJ8-$AI8-$AH8-$AG8-$AF8-$AE8*(1+DV$3))/$AJ8,Уголь_коэфф!$A:$B,2,1)-VLOOKUP($AO8,Уголь_коэфф!$A:$B,2,1)),1+(1-$AU8))</f>
        <v>1</v>
      </c>
      <c r="DW8" s="102">
        <f>MIN(IF($AU8=100%,1,1+VLOOKUP(($AJ8-$AI8-$AH8-$AG8-$AF8-$AE8*(1+DW$3))/$AJ8,Уголь_коэфф!$A:$B,2,1)-VLOOKUP($AO8,Уголь_коэфф!$A:$B,2,1)),1+(1-$AU8))</f>
        <v>1</v>
      </c>
      <c r="DX8" s="102">
        <f>MIN(IF($AU8=100%,1,1+VLOOKUP(($AJ8-$AI8-$AH8-$AG8-$AF8-$AE8*(1+DX$3))/$AJ8,Уголь_коэфф!$A:$B,2,1)-VLOOKUP($AO8,Уголь_коэфф!$A:$B,2,1)),1+(1-$AU8))</f>
        <v>1</v>
      </c>
      <c r="DY8" s="102">
        <f>MIN(IF($AU8=100%,1,1+VLOOKUP(($AJ8-$AI8-$AH8-$AG8-$AF8-$AE8*(1+DY$3))/$AJ8,Уголь_коэфф!$A:$B,2,1)-VLOOKUP($AO8,Уголь_коэфф!$A:$B,2,1)),1+(1-$AU8))</f>
        <v>1</v>
      </c>
      <c r="DZ8" s="102">
        <f>MIN(IF($AU8=100%,1,1+VLOOKUP(($AJ8-$AI8-$AH8-$AG8-$AF8-$AE8*(1+DZ$3))/$AJ8,Уголь_коэфф!$A:$B,2,1)-VLOOKUP($AO8,Уголь_коэфф!$A:$B,2,1)),1+(1-$AU8))</f>
        <v>1</v>
      </c>
      <c r="EA8" s="102">
        <f>MIN(IF($AU8=100%,1,1+VLOOKUP(($AJ8-$AI8-$AH8-$AG8-$AF8-$AE8*(1+EA$3))/$AJ8,Уголь_коэфф!$A:$B,2,1)-VLOOKUP($AO8,Уголь_коэфф!$A:$B,2,1)),1+(1-$AU8))</f>
        <v>1</v>
      </c>
      <c r="EB8" s="102">
        <f>MIN(IF($AU8=100%,1,1+VLOOKUP(($AJ8-$AI8-$AH8-$AG8-$AF8-$AE8*(1+EB$3))/$AJ8,Уголь_коэфф!$A:$B,2,1)-VLOOKUP($AO8,Уголь_коэфф!$A:$B,2,1)),1+(1-$AU8))</f>
        <v>1</v>
      </c>
      <c r="EC8" s="102">
        <f>MIN(IF($AU8=100%,1,1+VLOOKUP(($AJ8-$AI8-$AH8-$AG8-$AF8-$AE8*(1+EC$3))/$AJ8,Уголь_коэфф!$A:$B,2,1)-VLOOKUP($AO8,Уголь_коэфф!$A:$B,2,1)),1+(1-$AU8))</f>
        <v>1</v>
      </c>
      <c r="ED8" s="102">
        <f>MIN(IF($AU8=100%,1,1+VLOOKUP(($AJ8-$AI8-$AH8-$AG8-$AF8-$AE8*(1+ED$3))/$AJ8,Уголь_коэфф!$A:$B,2,1)-VLOOKUP($AO8,Уголь_коэфф!$A:$B,2,1)),1+(1-$AU8))</f>
        <v>1</v>
      </c>
      <c r="EE8" s="102">
        <f>MIN(IF($AU8=100%,1,1+VLOOKUP(($AJ8-$AI8-$AH8-$AG8-$AF8-$AE8*(1+EE$3))/$AJ8,Уголь_коэфф!$A:$B,2,1)-VLOOKUP($AO8,Уголь_коэфф!$A:$B,2,1)),1+(1-$AU8))</f>
        <v>1</v>
      </c>
      <c r="EF8" s="102">
        <f>MIN(IF($AU8=100%,1,1+VLOOKUP(($AJ8-$AI8-$AH8-$AG8-$AF8-$AE8*(1+EF$3))/$AJ8,Уголь_коэфф!$A:$B,2,1)-VLOOKUP($AO8,Уголь_коэфф!$A:$B,2,1)),1+(1-$AU8))</f>
        <v>1</v>
      </c>
      <c r="EG8" s="102">
        <f>MIN(IF($AU8=100%,1,1+VLOOKUP(($AJ8-$AI8-$AH8-$AG8-$AF8-$AE8*(1+EG$3))/$AJ8,Уголь_коэфф!$A:$B,2,1)-VLOOKUP($AO8,Уголь_коэфф!$A:$B,2,1)),1+(1-$AU8))</f>
        <v>1</v>
      </c>
      <c r="EH8" s="102">
        <f>MIN(IF($AU8=100%,1,1+VLOOKUP(($AJ8-$AI8-$AH8-$AG8-$AF8-$AE8*(1+EH$3))/$AJ8,Уголь_коэфф!$A:$B,2,1)-VLOOKUP($AO8,Уголь_коэфф!$A:$B,2,1)),1+(1-$AU8))</f>
        <v>1</v>
      </c>
      <c r="EI8" s="102">
        <f>MIN(IF($AU8=100%,1,1+VLOOKUP(($AJ8-$AI8-$AH8-$AG8-$AF8-$AE8*(1+EI$3))/$AJ8,Уголь_коэфф!$A:$B,2,1)-VLOOKUP($AO8,Уголь_коэфф!$A:$B,2,1)),1+(1-$AU8))</f>
        <v>1</v>
      </c>
      <c r="EJ8" s="102">
        <f>MIN(IF($AU8=100%,1,1+VLOOKUP(($AJ8-$AI8-$AH8-$AG8-$AF8-$AE8*(1+EJ$3))/$AJ8,Уголь_коэфф!$A:$B,2,1)-VLOOKUP($AO8,Уголь_коэфф!$A:$B,2,1)),1+(1-$AU8))</f>
        <v>1</v>
      </c>
      <c r="EK8" s="102">
        <f>MIN(IF($AU8=100%,1,1+VLOOKUP(($AJ8-$AI8-$AH8-$AG8-$AF8-$AE8*(1+EK$3))/$AJ8,Уголь_коэфф!$A:$B,2,1)-VLOOKUP($AO8,Уголь_коэфф!$A:$B,2,1)),1+(1-$AU8))</f>
        <v>1</v>
      </c>
      <c r="EL8" s="102">
        <f>MIN(IF($AU8=100%,1,1+VLOOKUP(($AJ8-$AI8-$AH8-$AG8-$AF8-$AE8*(1+EL$3))/$AJ8,Уголь_коэфф!$A:$B,2,1)-VLOOKUP($AO8,Уголь_коэфф!$A:$B,2,1)),1+(1-$AU8))</f>
        <v>1</v>
      </c>
      <c r="EM8" s="102">
        <f>MIN(IF($AU8=100%,1,1+VLOOKUP(($AJ8-$AI8-$AH8-$AG8-$AF8-$AE8*(1+EM$3))/$AJ8,Уголь_коэфф!$A:$B,2,1)-VLOOKUP($AO8,Уголь_коэфф!$A:$B,2,1)),1+(1-$AU8))</f>
        <v>1</v>
      </c>
      <c r="EN8" s="102">
        <f>MIN(IF($AU8=100%,1,1+VLOOKUP(($AJ8-$AI8-$AH8-$AG8-$AF8-$AE8*(1+EN$3))/$AJ8,Уголь_коэфф!$A:$B,2,1)-VLOOKUP($AO8,Уголь_коэфф!$A:$B,2,1)),1+(1-$AU8))</f>
        <v>1</v>
      </c>
      <c r="EO8" s="102">
        <f>MIN(IF($AU8=100%,1,1+VLOOKUP(($AJ8-$AI8-$AH8-$AG8-$AF8-$AE8*(1+EO$3))/$AJ8,Уголь_коэфф!$A:$B,2,1)-VLOOKUP($AO8,Уголь_коэфф!$A:$B,2,1)),1+(1-$AU8))</f>
        <v>1</v>
      </c>
      <c r="EP8" s="102">
        <f>MIN(IF($AU8=100%,1,1+VLOOKUP(($AJ8-$AI8-$AH8-$AG8-$AF8-$AE8*(1+EP$3))/$AJ8,Уголь_коэфф!$A:$B,2,1)-VLOOKUP($AO8,Уголь_коэфф!$A:$B,2,1)),1+(1-$AU8))</f>
        <v>1</v>
      </c>
      <c r="EQ8" s="102">
        <f>MIN(IF($AU8=100%,1,1+VLOOKUP(($AJ8-$AI8-$AH8-$AG8-$AF8-$AE8*(1+EQ$3))/$AJ8,Уголь_коэфф!$A:$B,2,1)-VLOOKUP($AO8,Уголь_коэфф!$A:$B,2,1)),1+(1-$AU8))</f>
        <v>1</v>
      </c>
      <c r="ER8" s="102">
        <f>MIN(IF($AU8=100%,1,1+VLOOKUP(($AJ8-$AI8-$AH8-$AG8-$AF8-$AE8*(1+ER$3))/$AJ8,Уголь_коэфф!$A:$B,2,1)-VLOOKUP($AO8,Уголь_коэфф!$A:$B,2,1)),1+(1-$AU8))</f>
        <v>1</v>
      </c>
      <c r="ES8" s="102">
        <f>MIN(IF($AU8=100%,1,1+VLOOKUP(($AJ8-$AI8-$AH8-$AG8-$AF8-$AE8*(1+ES$3))/$AJ8,Уголь_коэфф!$A:$B,2,1)-VLOOKUP($AO8,Уголь_коэфф!$A:$B,2,1)),1+(1-$AU8))</f>
        <v>1</v>
      </c>
      <c r="ET8" s="102">
        <f>MIN(IF($AU8=100%,1,1+VLOOKUP(($AJ8-$AI8-$AH8-$AG8-$AF8-$AE8*(1+ET$3))/$AJ8,Уголь_коэфф!$A:$B,2,1)-VLOOKUP($AO8,Уголь_коэфф!$A:$B,2,1)),1+(1-$AU8))</f>
        <v>1</v>
      </c>
      <c r="EU8" s="102">
        <f>MIN(IF($AU8=100%,1,1+VLOOKUP(($AJ8-$AI8-$AH8-$AG8-$AF8-$AE8*(1+EU$3))/$AJ8,Уголь_коэфф!$A:$B,2,1)-VLOOKUP($AO8,Уголь_коэфф!$A:$B,2,1)),1+(1-$AU8))</f>
        <v>1</v>
      </c>
      <c r="EV8" s="103">
        <v>1</v>
      </c>
      <c r="EW8" s="102">
        <f>MIN(1,MAX(VLOOKUP(($AJ8-$AI8-$AH8-$AG8-$AF8-$AE8*(1+EW$3))/$AJ8,Уголь_коэфф!$A:$B,2,1),(EV8-0.05)))</f>
        <v>1</v>
      </c>
      <c r="EX8" s="102">
        <f>MIN(1,MAX(VLOOKUP(($AJ8-$AI8-$AH8-$AG8-$AF8-$AE8*(1+EX$3))/$AJ8,Уголь_коэфф!$A:$B,2,1),(EW8-0.05)))</f>
        <v>1</v>
      </c>
      <c r="EY8" s="102">
        <f>MIN(1,MAX(VLOOKUP(($AJ8-$AI8-$AH8-$AG8-$AF8-$AE8*(1+EY$3))/$AJ8,Уголь_коэфф!$A:$B,2,1),(EX8-0.05)))</f>
        <v>1</v>
      </c>
      <c r="EZ8" s="102">
        <f>MIN(1,MAX(VLOOKUP(($AJ8-$AI8-$AH8-$AG8-$AF8-$AE8*(1+EZ$3))/$AJ8,Уголь_коэфф!$A:$B,2,1),(EY8-0.05)))</f>
        <v>1</v>
      </c>
      <c r="FA8" s="102">
        <f>MIN(1,MAX(VLOOKUP(($AJ8-$AI8-$AH8-$AG8-$AF8-$AE8*(1+FA$3))/$AJ8,Уголь_коэфф!$A:$B,2,1),(EZ8-0.05)))</f>
        <v>1</v>
      </c>
      <c r="FB8" s="102">
        <f>MIN(1,MAX(VLOOKUP(($AJ8-$AI8-$AH8-$AG8-$AF8-$AE8*(1+FB$3))/$AJ8,Уголь_коэфф!$A:$B,2,1),(FA8-0.05)))</f>
        <v>1</v>
      </c>
      <c r="FC8" s="102">
        <f>MIN(1,MAX(VLOOKUP(($AJ8-$AI8-$AH8-$AG8-$AF8-$AE8*(1+FC$3))/$AJ8,Уголь_коэфф!$A:$B,2,1),(FB8-0.05)))</f>
        <v>1</v>
      </c>
      <c r="FD8" s="102">
        <f>MIN(1,MAX(VLOOKUP(($AJ8-$AI8-$AH8-$AG8-$AF8-$AE8*(1+FD$3))/$AJ8,Уголь_коэфф!$A:$B,2,1),(FC8-0.05)))</f>
        <v>1</v>
      </c>
      <c r="FE8" s="102">
        <f>MIN(1,MAX(VLOOKUP(($AJ8-$AI8-$AH8-$AG8-$AF8-$AE8*(1+FE$3))/$AJ8,Уголь_коэфф!$A:$B,2,1),(FD8-0.05)))</f>
        <v>1</v>
      </c>
      <c r="FF8" s="102">
        <f>MIN(1,MAX(VLOOKUP(($AJ8-$AI8-$AH8-$AG8-$AF8-$AE8*(1+FF$3))/$AJ8,Уголь_коэфф!$A:$B,2,1),(FE8-0.05)))</f>
        <v>1</v>
      </c>
      <c r="FG8" s="102">
        <f>MIN(1,MAX(VLOOKUP(($AJ8-$AI8-$AH8-$AG8-$AF8-$AE8*(1+FG$3))/$AJ8,Уголь_коэфф!$A:$B,2,1),(FF8-0.05)))</f>
        <v>1</v>
      </c>
      <c r="FH8" s="102">
        <f>MIN(1,MAX(VLOOKUP(($AJ8-$AI8-$AH8-$AG8-$AF8-$AE8*(1+FH$3))/$AJ8,Уголь_коэфф!$A:$B,2,1),(FG8-0.05)))</f>
        <v>1</v>
      </c>
      <c r="FI8" s="102">
        <f>MIN(1,MAX(VLOOKUP(($AJ8-$AI8-$AH8-$AG8-$AF8-$AE8*(1+FI$3))/$AJ8,Уголь_коэфф!$A:$B,2,1),(FH8-0.05)))</f>
        <v>1</v>
      </c>
      <c r="FJ8" s="102">
        <f>MIN(1,MAX(VLOOKUP(($AJ8-$AI8-$AH8-$AG8-$AF8-$AE8*(1+FJ$3))/$AJ8,Уголь_коэфф!$A:$B,2,1),(FI8-0.05)))</f>
        <v>1</v>
      </c>
      <c r="FK8" s="102">
        <f>MIN(1,MAX(VLOOKUP(($AJ8-$AI8-$AH8-$AG8-$AF8-$AE8*(1+FK$3))/$AJ8,Уголь_коэфф!$A:$B,2,1),(FJ8-0.05)))</f>
        <v>1</v>
      </c>
      <c r="FL8" s="102">
        <f>MIN(1,MAX(VLOOKUP(($AJ8-$AI8-$AH8-$AG8-$AF8-$AE8*(1+FL$3))/$AJ8,Уголь_коэфф!$A:$B,2,1),(FK8-0.05)))</f>
        <v>1</v>
      </c>
      <c r="FM8" s="102">
        <f>MIN(1,MAX(VLOOKUP(($AJ8-$AI8-$AH8-$AG8-$AF8-$AE8*(1+FM$3))/$AJ8,Уголь_коэфф!$A:$B,2,1),(FL8-0.05)))</f>
        <v>1</v>
      </c>
      <c r="FN8" s="102">
        <f>MIN(1,MAX(VLOOKUP(($AJ8-$AI8-$AH8-$AG8-$AF8-$AE8*(1+FN$3))/$AJ8,Уголь_коэфф!$A:$B,2,1),(FM8-0.05)))</f>
        <v>1</v>
      </c>
      <c r="FO8" s="102">
        <f>MIN(1,MAX(VLOOKUP(($AJ8-$AI8-$AH8-$AG8-$AF8-$AE8*(1+FO$3))/$AJ8,Уголь_коэфф!$A:$B,2,1),(FN8-0.05)))</f>
        <v>1</v>
      </c>
      <c r="FP8" s="102">
        <f>MIN(1,MAX(VLOOKUP(($AJ8-$AI8-$AH8-$AG8-$AF8-$AE8*(1+FP$3))/$AJ8,Уголь_коэфф!$A:$B,2,1),(FO8-0.05)))</f>
        <v>1</v>
      </c>
      <c r="FQ8" s="102">
        <f>MIN(1,MAX(VLOOKUP(($AJ8-$AI8-$AH8-$AG8-$AF8-$AE8*(1+FQ$3))/$AJ8,Уголь_коэфф!$A:$B,2,1),(FP8-0.05)))</f>
        <v>1</v>
      </c>
      <c r="FR8" s="102">
        <f>MIN(1,MAX(VLOOKUP(($AJ8-$AI8-$AH8-$AG8-$AF8-$AE8*(1+FR$3))/$AJ8,Уголь_коэфф!$A:$B,2,1),(FQ8-0.05)))</f>
        <v>1</v>
      </c>
      <c r="FS8" s="102">
        <f>MIN(1,MAX(VLOOKUP(($AJ8-$AI8-$AH8-$AG8-$AF8-$AE8*(1+FS$3))/$AJ8,Уголь_коэфф!$A:$B,2,1),(FR8-0.05)))</f>
        <v>1</v>
      </c>
      <c r="FT8" s="102">
        <f>MIN(1,MAX(VLOOKUP(($AJ8-$AI8-$AH8-$AG8-$AF8-$AE8*(1+FT$3))/$AJ8,Уголь_коэфф!$A:$B,2,1),(FS8-0.05)))</f>
        <v>1</v>
      </c>
      <c r="FU8" s="102">
        <f>MIN(1,MAX(VLOOKUP(($AJ8-$AI8-$AH8-$AG8-$AF8-$AE8*(1+FU$3))/$AJ8,Уголь_коэфф!$A:$B,2,1),(FT8-0.05)))</f>
        <v>1</v>
      </c>
      <c r="FV8" s="102">
        <f>MIN(1,MAX(VLOOKUP(($AJ8-$AI8-$AH8-$AG8-$AF8-$AE8*(1+FV$3))/$AJ8,Уголь_коэфф!$A:$B,2,1),(FU8-0.05)))</f>
        <v>1</v>
      </c>
      <c r="FW8" s="102">
        <f>MIN(1,MAX(VLOOKUP(($AJ8-$AI8-$AH8-$AG8-$AF8-$AE8*(1+FW$3))/$AJ8,Уголь_коэфф!$A:$B,2,1),(FV8-0.05)))</f>
        <v>1</v>
      </c>
      <c r="FX8" s="102">
        <f>MIN(1,MAX(VLOOKUP(($AJ8-$AI8-$AH8-$AG8-$AF8-$AE8*(1+FX$3))/$AJ8,Уголь_коэфф!$A:$B,2,1),(FW8-0.05)))</f>
        <v>1</v>
      </c>
      <c r="FY8" s="102">
        <f>MIN(1,MAX(VLOOKUP(($AJ8-$AI8-$AH8-$AG8-$AF8-$AE8*(1+FY$3))/$AJ8,Уголь_коэфф!$A:$B,2,1),(FX8-0.05)))</f>
        <v>1</v>
      </c>
      <c r="FZ8" s="102">
        <f>MIN(1,MAX(VLOOKUP(($AJ8-$AI8-$AH8-$AG8-$AF8-$AE8*(1+FZ$3))/$AJ8,Уголь_коэфф!$A:$B,2,1),(FY8-0.05)))</f>
        <v>1</v>
      </c>
      <c r="GA8" s="102">
        <f>MIN(1,MAX(VLOOKUP(($AJ8-$AI8-$AH8-$AG8-$AF8-$AE8*(1+GA$3))/$AJ8,Уголь_коэфф!$A:$B,2,1),(FZ8-0.05)))</f>
        <v>1</v>
      </c>
      <c r="GB8" s="102">
        <f>MIN(1,MAX(VLOOKUP(($AJ8-$AI8-$AH8-$AG8-$AF8-$AE8*(1+GB$3))/$AJ8,Уголь_коэфф!$A:$B,2,1),(GA8-0.05)))</f>
        <v>1</v>
      </c>
      <c r="GC8" s="102">
        <f>MIN(1,MAX(VLOOKUP(($AJ8-$AI8-$AH8-$AG8-$AF8-$AE8*(1+GC$3))/$AJ8,Уголь_коэфф!$A:$B,2,1),(GB8-0.05)))</f>
        <v>1</v>
      </c>
      <c r="GD8" s="102">
        <f>MIN(1,MAX(VLOOKUP(($AJ8-$AI8-$AH8-$AG8-$AF8-$AE8*(1+GD$3))/$AJ8,Уголь_коэфф!$A:$B,2,1),(GC8-0.05)))</f>
        <v>1</v>
      </c>
      <c r="GE8" s="102">
        <f>MIN(1,MAX(VLOOKUP(($AJ8-$AI8-$AH8-$AG8-$AF8-$AE8*(1+GE$3))/$AJ8,Уголь_коэфф!$A:$B,2,1),(GD8-0.05)))</f>
        <v>1</v>
      </c>
      <c r="GF8" s="102">
        <f>MIN(1,MAX(VLOOKUP(($AJ8-$AI8-$AH8-$AG8-$AF8-$AE8*(1+GF$3))/$AJ8,Уголь_коэфф!$A:$B,2,1),(GE8-0.05)))</f>
        <v>1</v>
      </c>
      <c r="GG8" s="102">
        <f>MIN(1,MAX(VLOOKUP(($AJ8-$AI8-$AH8-$AG8-$AF8-$AE8*(1+GG$3))/$AJ8,Уголь_коэфф!$A:$B,2,1),(GF8-0.05)))</f>
        <v>1</v>
      </c>
      <c r="GH8" s="102">
        <f>MIN(1,MAX(VLOOKUP(($AJ8-$AI8-$AH8-$AG8-$AF8-$AE8*(1+GH$3))/$AJ8,Уголь_коэфф!$A:$B,2,1),(GG8-0.05)))</f>
        <v>1</v>
      </c>
      <c r="GI8" s="102">
        <f>MIN(1,MAX(VLOOKUP(($AJ8-$AI8-$AH8-$AG8-$AF8-$AE8*(1+GI$3))/$AJ8,Уголь_коэфф!$A:$B,2,1),(GH8-0.05)))</f>
        <v>1</v>
      </c>
      <c r="GJ8" s="102">
        <f>MIN(1,MAX(VLOOKUP(($AJ8-$AI8-$AH8-$AG8-$AF8-$AE8*(1+GJ$3))/$AJ8,Уголь_коэфф!$A:$B,2,1),(GI8-0.05)))</f>
        <v>1</v>
      </c>
      <c r="GK8" s="102">
        <f>MIN(1,MAX(VLOOKUP(($AJ8-$AI8-$AH8-$AG8-$AF8-$AE8*(1+GK$3))/$AJ8,Уголь_коэфф!$A:$B,2,1),(GJ8-0.05)))</f>
        <v>1</v>
      </c>
      <c r="GL8" s="102">
        <f>MIN(1,MAX(VLOOKUP(($AJ8-$AI8-$AH8-$AG8-$AF8-$AE8*(1+GL$3))/$AJ8,Уголь_коэфф!$A:$B,2,1),(GK8-0.05)))</f>
        <v>1</v>
      </c>
      <c r="GM8" s="102">
        <f>MIN(1,MAX(VLOOKUP(($AJ8-$AI8-$AH8-$AG8-$AF8-$AE8*(1+GM$3))/$AJ8,Уголь_коэфф!$A:$B,2,1),(GL8-0.05)))</f>
        <v>1</v>
      </c>
      <c r="GN8" s="102">
        <f>MIN(1,MAX(VLOOKUP(($AJ8-$AI8-$AH8-$AG8-$AF8-$AE8*(1+GN$3))/$AJ8,Уголь_коэфф!$A:$B,2,1),(GM8-0.05)))</f>
        <v>1</v>
      </c>
      <c r="GO8" s="102">
        <f>MIN(1,MAX(VLOOKUP(($AJ8-$AI8-$AH8-$AG8-$AF8-$AE8*(1+GO$3))/$AJ8,Уголь_коэфф!$A:$B,2,1),(GN8-0.05)))</f>
        <v>1</v>
      </c>
      <c r="GP8" s="102">
        <f>MIN(1,MAX(VLOOKUP(($AJ8-$AI8-$AH8-$AG8-$AF8-$AE8*(1+GP$3))/$AJ8,Уголь_коэфф!$A:$B,2,1),(GO8-0.05)))</f>
        <v>1</v>
      </c>
      <c r="GQ8" s="102">
        <f>MIN(1,MAX(VLOOKUP(($AJ8-$AI8-$AH8-$AG8-$AF8-$AE8*(1+GQ$3))/$AJ8,Уголь_коэфф!$A:$B,2,1),(GP8-0.05)))</f>
        <v>1</v>
      </c>
      <c r="GR8" s="102">
        <f>MIN(1,MAX(VLOOKUP(($AJ8-$AI8-$AH8-$AG8-$AF8-$AE8*(1+GR$3))/$AJ8,Уголь_коэфф!$A:$B,2,1),(GQ8-0.05)))</f>
        <v>1</v>
      </c>
      <c r="GS8" s="102">
        <f>MIN(1,MAX(VLOOKUP(($AJ8-$AI8-$AH8-$AG8-$AF8-$AE8*(1+GS$3))/$AJ8,Уголь_коэфф!$A:$B,2,1),(GR8-0.05)))</f>
        <v>1</v>
      </c>
      <c r="GT8" s="102">
        <f>MIN(1,MAX(VLOOKUP(($AJ8-$AI8-$AH8-$AG8-$AF8-$AE8*(1+GT$3))/$AJ8,Уголь_коэфф!$A:$B,2,1),(GS8-0.05)))</f>
        <v>1</v>
      </c>
      <c r="GU8" s="102">
        <f>MIN(1,MAX(VLOOKUP(($AJ8-$AI8-$AH8-$AG8-$AF8-$AE8*(1+GU$3))/$AJ8,Уголь_коэфф!$A:$B,2,1),(GT8-0.05)))</f>
        <v>1</v>
      </c>
      <c r="GV8" s="102">
        <f>MIN(1,MAX(VLOOKUP(($AJ8-$AI8-$AH8-$AG8-$AF8-$AE8*(1+GV$3))/$AJ8,Уголь_коэфф!$A:$B,2,1),(GU8-0.05)))</f>
        <v>1</v>
      </c>
      <c r="GW8" s="102">
        <f>MIN(1,MAX(VLOOKUP(($AJ8-$AI8-$AH8-$AG8-$AF8-$AE8*(1+GW$3))/$AJ8,Уголь_коэфф!$A:$B,2,1),(GV8-0.05)))</f>
        <v>1</v>
      </c>
      <c r="GX8" s="102">
        <f>MIN(1,MAX(VLOOKUP(($AJ8-$AI8-$AH8-$AG8-$AF8-$AE8*(1+GX$3))/$AJ8,Уголь_коэфф!$A:$B,2,1),(GW8-0.05)))</f>
        <v>1</v>
      </c>
      <c r="GY8" s="102">
        <f>MIN(1,MAX(VLOOKUP(($AJ8-$AI8-$AH8-$AG8-$AF8-$AE8*(1+GY$3))/$AJ8,Уголь_коэфф!$A:$B,2,1),(GX8-0.05)))</f>
        <v>1</v>
      </c>
      <c r="GZ8" s="102">
        <f>MIN(1,MAX(VLOOKUP(($AJ8-$AI8-$AH8-$AG8-$AF8-$AE8*(1+GZ$3))/$AJ8,Уголь_коэфф!$A:$B,2,1),(GY8-0.05)))</f>
        <v>1</v>
      </c>
      <c r="HA8" s="102">
        <f>MIN(1,MAX(VLOOKUP(($AJ8-$AI8-$AH8-$AG8-$AF8-$AE8*(1+HA$3))/$AJ8,Уголь_коэфф!$A:$B,2,1),(GZ8-0.05)))</f>
        <v>1</v>
      </c>
      <c r="HB8" s="102">
        <f>MIN(1,MAX(VLOOKUP(($AJ8-$AI8-$AH8-$AG8-$AF8-$AE8*(1+HB$3))/$AJ8,Уголь_коэфф!$A:$B,2,1),(HA8-0.05)))</f>
        <v>1</v>
      </c>
      <c r="HC8" s="102">
        <f>MIN(1,MAX(VLOOKUP(($AJ8-$AI8-$AH8-$AG8-$AF8-$AE8*(1+HC$3))/$AJ8,Уголь_коэфф!$A:$B,2,1),(HB8-0.05)))</f>
        <v>1</v>
      </c>
      <c r="HD8" s="102">
        <f>MIN(1,MAX(VLOOKUP(($AJ8-$AI8-$AH8-$AG8-$AF8-$AE8*(1+HD$3))/$AJ8,Уголь_коэфф!$A:$B,2,1),(HC8-0.05)))</f>
        <v>1</v>
      </c>
      <c r="HE8" s="102">
        <f>MIN(1,MAX(VLOOKUP(($AJ8-$AI8-$AH8-$AG8-$AF8-$AE8*(1+HE$3))/$AJ8,Уголь_коэфф!$A:$B,2,1),(HD8-0.05)))</f>
        <v>1</v>
      </c>
      <c r="HF8" s="102">
        <f>MIN(1,MAX(VLOOKUP(($AJ8-$AI8-$AH8-$AG8-$AF8-$AE8*(1+HF$3))/$AJ8,Уголь_коэфф!$A:$B,2,1),(HE8-0.05)))</f>
        <v>1</v>
      </c>
      <c r="HG8" s="102">
        <f>MIN(1,MAX(VLOOKUP(($AJ8-$AI8-$AH8-$AG8-$AF8-$AE8*(1+HG$3))/$AJ8,Уголь_коэфф!$A:$B,2,1),(HF8-0.05)))</f>
        <v>1</v>
      </c>
      <c r="HH8" s="102">
        <f>MIN(1,MAX(VLOOKUP(($AJ8-$AI8-$AH8-$AG8-$AF8-$AE8*(1+HH$3))/$AJ8,Уголь_коэфф!$A:$B,2,1),(HG8-0.05)))</f>
        <v>1</v>
      </c>
      <c r="HI8" s="102">
        <f>MIN(1,MAX(VLOOKUP(($AJ8-$AI8-$AH8-$AG8-$AF8-$AE8*(1+HI$3))/$AJ8,Уголь_коэфф!$A:$B,2,1),(HH8-0.05)))</f>
        <v>1</v>
      </c>
      <c r="HJ8" s="102">
        <f>MIN(1,MAX(VLOOKUP(($AJ8-$AI8-$AH8-$AG8-$AF8-$AE8*(1+HJ$3))/$AJ8,Уголь_коэфф!$A:$B,2,1),(HI8-0.05)))</f>
        <v>1</v>
      </c>
      <c r="HK8" s="102">
        <f>MIN(1,MAX(VLOOKUP(($AJ8-$AI8-$AH8-$AG8-$AF8-$AE8*(1+HK$3))/$AJ8,Уголь_коэфф!$A:$B,2,1),(HJ8-0.05)))</f>
        <v>1</v>
      </c>
      <c r="HL8" s="102">
        <f>MIN(1,MAX(VLOOKUP(($AJ8-$AI8-$AH8-$AG8-$AF8-$AE8*(1+HL$3))/$AJ8,Уголь_коэфф!$A:$B,2,1),(HK8-0.05)))</f>
        <v>1</v>
      </c>
      <c r="HM8" s="102">
        <f>MIN(1,MAX(VLOOKUP(($AJ8-$AI8-$AH8-$AG8-$AF8-$AE8*(1+HM$3))/$AJ8,Уголь_коэфф!$A:$B,2,1),(HL8-0.05)))</f>
        <v>1</v>
      </c>
      <c r="HN8" s="102">
        <f>MIN(1,MAX(VLOOKUP(($AJ8-$AI8-$AH8-$AG8-$AF8-$AE8*(1+HN$3))/$AJ8,Уголь_коэфф!$A:$B,2,1),(HM8-0.05)))</f>
        <v>1</v>
      </c>
      <c r="HO8" s="102">
        <f>MIN(1,MAX(VLOOKUP(($AJ8-$AI8-$AH8-$AG8-$AF8-$AE8*(1+HO$3))/$AJ8,Уголь_коэфф!$A:$B,2,1),(HN8-0.05)))</f>
        <v>1</v>
      </c>
      <c r="HP8" s="102">
        <f>MIN(1,MAX(VLOOKUP(($AJ8-$AI8-$AH8-$AG8-$AF8-$AE8*(1+HP$3))/$AJ8,Уголь_коэфф!$A:$B,2,1),(HO8-0.05)))</f>
        <v>1</v>
      </c>
      <c r="HQ8" s="102">
        <f>MIN(1,MAX(VLOOKUP(($AJ8-$AI8-$AH8-$AG8-$AF8-$AE8*(1+HQ$3))/$AJ8,Уголь_коэфф!$A:$B,2,1),(HP8-0.05)))</f>
        <v>1</v>
      </c>
      <c r="HR8" s="102">
        <f>MIN(1,MAX(VLOOKUP(($AJ8-$AI8-$AH8-$AG8-$AF8-$AE8*(1+HR$3))/$AJ8,Уголь_коэфф!$A:$B,2,1),(HQ8-0.05)))</f>
        <v>1</v>
      </c>
      <c r="HS8" s="102">
        <f>MIN(1,MAX(VLOOKUP(($AJ8-$AI8-$AH8-$AG8-$AF8-$AE8*(1+HS$3))/$AJ8,Уголь_коэфф!$A:$B,2,1),(HR8-0.05)))</f>
        <v>1</v>
      </c>
      <c r="HT8" s="102">
        <f>MIN(1,MAX(VLOOKUP(($AJ8-$AI8-$AH8-$AG8-$AF8-$AE8*(1+HT$3))/$AJ8,Уголь_коэфф!$A:$B,2,1),(HS8-0.05)))</f>
        <v>1</v>
      </c>
      <c r="HU8" s="102">
        <f>MIN(1,MAX(VLOOKUP(($AJ8-$AI8-$AH8-$AG8-$AF8-$AE8*(1+HU$3))/$AJ8,Уголь_коэфф!$A:$B,2,1),(HT8-0.05)))</f>
        <v>1</v>
      </c>
      <c r="HV8" s="102">
        <f>MIN(1,MAX(VLOOKUP(($AJ8-$AI8-$AH8-$AG8-$AF8-$AE8*(1+HV$3))/$AJ8,Уголь_коэфф!$A:$B,2,1),(HU8-0.05)))</f>
        <v>1</v>
      </c>
      <c r="HW8" s="102">
        <f>MIN(1,MAX(VLOOKUP(($AJ8-$AI8-$AH8-$AG8-$AF8-$AE8*(1+HW$3))/$AJ8,Уголь_коэфф!$A:$B,2,1),(HV8-0.05)))</f>
        <v>1</v>
      </c>
      <c r="HX8" s="102">
        <f>MIN(1,MAX(VLOOKUP(($AJ8-$AI8-$AH8-$AG8-$AF8-$AE8*(1+HX$3))/$AJ8,Уголь_коэфф!$A:$B,2,1),(HW8-0.05)))</f>
        <v>1</v>
      </c>
      <c r="HY8" s="102">
        <f>MIN(1,MAX(VLOOKUP(($AJ8-$AI8-$AH8-$AG8-$AF8-$AE8*(1+HY$3))/$AJ8,Уголь_коэфф!$A:$B,2,1),(HX8-0.05)))</f>
        <v>1</v>
      </c>
      <c r="HZ8" s="102">
        <f>MIN(1,MAX(VLOOKUP(($AJ8-$AI8-$AH8-$AG8-$AF8-$AE8*(1+HZ$3))/$AJ8,Уголь_коэфф!$A:$B,2,1),(HY8-0.05)))</f>
        <v>1</v>
      </c>
      <c r="IA8" s="102">
        <f>MIN(1,MAX(VLOOKUP(($AJ8-$AI8-$AH8-$AG8-$AF8-$AE8*(1+IA$3))/$AJ8,Уголь_коэфф!$A:$B,2,1),(HZ8-0.05)))</f>
        <v>1</v>
      </c>
      <c r="IB8" s="102">
        <f>MIN(1,MAX(VLOOKUP(($AJ8-$AI8-$AH8-$AG8-$AF8-$AE8*(1+IB$3))/$AJ8,Уголь_коэфф!$A:$B,2,1),(IA8-0.05)))</f>
        <v>1</v>
      </c>
      <c r="IC8" s="102">
        <f>MIN(1,MAX(VLOOKUP(($AJ8-$AI8-$AH8-$AG8-$AF8-$AE8*(1+IC$3))/$AJ8,Уголь_коэфф!$A:$B,2,1),(IB8-0.05)))</f>
        <v>1</v>
      </c>
      <c r="ID8" s="102">
        <f>MIN(1,MAX(VLOOKUP(($AJ8-$AI8-$AH8-$AG8-$AF8-$AE8*(1+ID$3))/$AJ8,Уголь_коэфф!$A:$B,2,1),(IC8-0.05)))</f>
        <v>1</v>
      </c>
      <c r="IE8" s="102">
        <f>MIN(1,MAX(VLOOKUP(($AJ8-$AI8-$AH8-$AG8-$AF8-$AE8*(1+IE$3))/$AJ8,Уголь_коэфф!$A:$B,2,1),(ID8-0.05)))</f>
        <v>1</v>
      </c>
      <c r="IF8" s="102">
        <f>MIN(1,MAX(VLOOKUP(($AJ8-$AI8-$AH8-$AG8-$AF8-$AE8*(1+IF$3))/$AJ8,Уголь_коэфф!$A:$B,2,1),(IE8-0.05)))</f>
        <v>1</v>
      </c>
      <c r="IG8" s="102">
        <f>MIN(1,MAX(VLOOKUP(($AJ8-$AI8-$AH8-$AG8-$AF8-$AE8*(1+IG$3))/$AJ8,Уголь_коэфф!$A:$B,2,1),(IF8-0.05)))</f>
        <v>1</v>
      </c>
      <c r="IH8" s="102">
        <f>MIN(1,MAX(VLOOKUP(($AJ8-$AI8-$AH8-$AG8-$AF8-$AE8*(1+IH$3))/$AJ8,Уголь_коэфф!$A:$B,2,1),(IG8-0.05)))</f>
        <v>1</v>
      </c>
      <c r="II8" s="102">
        <f>MIN(1,MAX(VLOOKUP(($AJ8-$AI8-$AH8-$AG8-$AF8-$AE8*(1+II$3))/$AJ8,Уголь_коэфф!$A:$B,2,1),(IH8-0.05)))</f>
        <v>1</v>
      </c>
      <c r="IJ8" s="102">
        <f>MIN(1,MAX(VLOOKUP(($AJ8-$AI8-$AH8-$AG8-$AF8-$AE8*(1+IJ$3))/$AJ8,Уголь_коэфф!$A:$B,2,1),(II8-0.05)))</f>
        <v>1</v>
      </c>
      <c r="IK8" s="102">
        <f>MIN(1,MAX(VLOOKUP(($AJ8-$AI8-$AH8-$AG8-$AF8-$AE8*(1+IK$3))/$AJ8,Уголь_коэфф!$A:$B,2,1),(IJ8-0.05)))</f>
        <v>1</v>
      </c>
      <c r="IL8" s="102">
        <f>MIN(1,MAX(VLOOKUP(($AJ8-$AI8-$AH8-$AG8-$AF8-$AE8*(1+IL$3))/$AJ8,Уголь_коэфф!$A:$B,2,1),(IK8-0.05)))</f>
        <v>1</v>
      </c>
      <c r="IM8" s="102">
        <f>MIN(1,MAX(VLOOKUP(($AJ8-$AI8-$AH8-$AG8-$AF8-$AE8*(1+IM$3))/$AJ8,Уголь_коэфф!$A:$B,2,1),(IL8-0.05)))</f>
        <v>1</v>
      </c>
      <c r="IN8" s="102">
        <f>MIN(1,MAX(VLOOKUP(($AJ8-$AI8-$AH8-$AG8-$AF8-$AE8*(1+IN$3))/$AJ8,Уголь_коэфф!$A:$B,2,1),(IM8-0.05)))</f>
        <v>1</v>
      </c>
      <c r="IO8" s="102">
        <f>MIN(1,MAX(VLOOKUP(($AJ8-$AI8-$AH8-$AG8-$AF8-$AE8*(1+IO$3))/$AJ8,Уголь_коэфф!$A:$B,2,1),(IN8-0.05)))</f>
        <v>1</v>
      </c>
      <c r="IP8" s="102">
        <f>MIN(1,MAX(VLOOKUP(($AJ8-$AI8-$AH8-$AG8-$AF8-$AE8*(1+IP$3))/$AJ8,Уголь_коэфф!$A:$B,2,1),(IO8-0.05)))</f>
        <v>1</v>
      </c>
      <c r="IQ8" s="102">
        <f>MIN(1,MAX(VLOOKUP(($AJ8-$AI8-$AH8-$AG8-$AF8-$AE8*(1+IQ$3))/$AJ8,Уголь_коэфф!$A:$B,2,1),(IP8-0.05)))</f>
        <v>1</v>
      </c>
      <c r="IR8" s="102">
        <f>MIN(1,MAX(VLOOKUP(($AJ8-$AI8-$AH8-$AG8-$AF8-$AE8*(1+IR$3))/$AJ8,Уголь_коэфф!$A:$B,2,1),(IQ8-0.05)))</f>
        <v>1</v>
      </c>
      <c r="IS8" s="102">
        <f t="shared" si="20"/>
        <v>1</v>
      </c>
      <c r="IT8" s="102">
        <f t="shared" si="7"/>
        <v>1</v>
      </c>
      <c r="IU8" s="110"/>
    </row>
    <row r="9" spans="1:266" ht="14.6" customHeight="1">
      <c r="A9" t="s">
        <v>241</v>
      </c>
      <c r="B9" s="119">
        <v>1</v>
      </c>
      <c r="C9" s="120" t="s">
        <v>16</v>
      </c>
      <c r="D9" s="121">
        <v>16111</v>
      </c>
      <c r="E9" s="121" t="s">
        <v>17</v>
      </c>
      <c r="F9" s="120" t="s">
        <v>18</v>
      </c>
      <c r="G9" s="120" t="s">
        <v>29</v>
      </c>
      <c r="H9" s="121" t="s">
        <v>34</v>
      </c>
      <c r="I9" s="120" t="s">
        <v>52</v>
      </c>
      <c r="J9" s="121" t="s">
        <v>55</v>
      </c>
      <c r="K9" s="121">
        <v>5362</v>
      </c>
      <c r="L9" s="121" t="s">
        <v>22</v>
      </c>
      <c r="M9" s="121" t="s">
        <v>23</v>
      </c>
      <c r="N9" s="121" t="s">
        <v>24</v>
      </c>
      <c r="O9" s="121" t="s">
        <v>36</v>
      </c>
      <c r="P9" s="124">
        <v>78465421</v>
      </c>
      <c r="Q9" s="122" t="s">
        <v>54</v>
      </c>
      <c r="R9" s="121" t="s">
        <v>51</v>
      </c>
      <c r="S9" s="125">
        <v>744502</v>
      </c>
      <c r="T9" s="123">
        <v>3991785157</v>
      </c>
      <c r="U9" s="123">
        <v>10404</v>
      </c>
      <c r="V9" s="123"/>
      <c r="W9" s="126">
        <v>1516719886</v>
      </c>
      <c r="X9" s="104">
        <v>69</v>
      </c>
      <c r="Y9" s="104" t="s">
        <v>163</v>
      </c>
      <c r="Z9" s="107">
        <v>12</v>
      </c>
      <c r="AA9" s="107">
        <v>12</v>
      </c>
      <c r="AB9" s="107">
        <v>4</v>
      </c>
      <c r="AC9" s="88">
        <v>2334.86</v>
      </c>
      <c r="AD9" s="88">
        <v>1086.3399999999997</v>
      </c>
      <c r="AE9" s="88">
        <f t="shared" si="21"/>
        <v>3421.2</v>
      </c>
      <c r="AF9" s="89">
        <f>'Цены,перевалка,аренда'!$C$27*SUM(Уголь_эластика_экспорт!Z9+Уголь_эластика_экспорт!AA9+Уголь_эластика_экспорт!AB9)/Уголь_эластика_экспорт!X9</f>
        <v>284.05797101449275</v>
      </c>
      <c r="AG9" s="90">
        <f>SUMIF('Цены,перевалка,аренда'!$A$20:$A$22,Уголь_эластика_экспорт!$O9,'Цены,перевалка,аренда'!$D$20:$D$22)</f>
        <v>991.97149999999988</v>
      </c>
      <c r="AH9" s="47"/>
      <c r="AI9" s="91">
        <v>586</v>
      </c>
      <c r="AJ9" s="92">
        <f>SUMIF('Цены,перевалка,аренда'!$A$5:$A$17,Уголь_эластика_экспорт!A9,'Цены,перевалка,аренда'!$D$5:$D$17)</f>
        <v>7249.0224999999991</v>
      </c>
      <c r="AK9" s="47">
        <f>AJ9/'Цены,перевалка,аренда'!$C$1</f>
        <v>95</v>
      </c>
      <c r="AL9" s="47">
        <f t="shared" si="9"/>
        <v>4697.2294710144924</v>
      </c>
      <c r="AM9" s="47">
        <f t="shared" si="10"/>
        <v>2551.7930289855067</v>
      </c>
      <c r="AN9" s="47">
        <f t="shared" si="11"/>
        <v>5283.2294710144924</v>
      </c>
      <c r="AO9" s="93">
        <f t="shared" si="12"/>
        <v>0.27118042866959052</v>
      </c>
      <c r="AP9" s="94">
        <f t="shared" si="13"/>
        <v>0.64798108586564507</v>
      </c>
      <c r="AQ9" s="94">
        <f t="shared" si="5"/>
        <v>0.47195328749496918</v>
      </c>
      <c r="AR9" s="94">
        <f t="shared" si="6"/>
        <v>0.72834423378960456</v>
      </c>
      <c r="AS9" s="167">
        <f t="shared" si="14"/>
        <v>1</v>
      </c>
      <c r="AT9" s="173">
        <f t="shared" si="15"/>
        <v>744502</v>
      </c>
      <c r="AU9" s="97">
        <v>1</v>
      </c>
      <c r="AV9" s="93">
        <f t="shared" si="16"/>
        <v>0.21454603417019424</v>
      </c>
      <c r="AW9" s="94">
        <f t="shared" si="17"/>
        <v>0.70461548036504129</v>
      </c>
      <c r="AX9" s="94">
        <f t="shared" si="18"/>
        <v>0.52858768199436557</v>
      </c>
      <c r="AY9" s="94">
        <f t="shared" si="19"/>
        <v>0.75017892272324083</v>
      </c>
      <c r="AZ9" s="102">
        <f>MIN(IF($AU9=100%,1,1+VLOOKUP(($AJ9-$AI9-$AH9-$AG9-$AF9-$AE9*(1+AZ$3))/$AJ9,Уголь_коэфф!$A:$B,2,1)-VLOOKUP($AO9,Уголь_коэфф!$A:$B,2,1)),1+(1-$AU9))</f>
        <v>1</v>
      </c>
      <c r="BA9" s="102">
        <f>MIN(IF($AU9=100%,1,1+VLOOKUP(($AJ9-$AI9-$AH9-$AG9-$AF9-$AE9*(1+BA$3))/$AJ9,Уголь_коэфф!$A:$B,2,1)-VLOOKUP($AO9,Уголь_коэфф!$A:$B,2,1)),1+(1-$AU9))</f>
        <v>1</v>
      </c>
      <c r="BB9" s="102">
        <f>MIN(IF($AU9=100%,1,1+VLOOKUP(($AJ9-$AI9-$AH9-$AG9-$AF9-$AE9*(1+BB$3))/$AJ9,Уголь_коэфф!$A:$B,2,1)-VLOOKUP($AO9,Уголь_коэфф!$A:$B,2,1)),1+(1-$AU9))</f>
        <v>1</v>
      </c>
      <c r="BC9" s="102">
        <f>MIN(IF($AU9=100%,1,1+VLOOKUP(($AJ9-$AI9-$AH9-$AG9-$AF9-$AE9*(1+BC$3))/$AJ9,Уголь_коэфф!$A:$B,2,1)-VLOOKUP($AO9,Уголь_коэфф!$A:$B,2,1)),1+(1-$AU9))</f>
        <v>1</v>
      </c>
      <c r="BD9" s="102">
        <f>MIN(IF($AU9=100%,1,1+VLOOKUP(($AJ9-$AI9-$AH9-$AG9-$AF9-$AE9*(1+BD$3))/$AJ9,Уголь_коэфф!$A:$B,2,1)-VLOOKUP($AO9,Уголь_коэфф!$A:$B,2,1)),1+(1-$AU9))</f>
        <v>1</v>
      </c>
      <c r="BE9" s="102">
        <f>MIN(IF($AU9=100%,1,1+VLOOKUP(($AJ9-$AI9-$AH9-$AG9-$AF9-$AE9*(1+BE$3))/$AJ9,Уголь_коэфф!$A:$B,2,1)-VLOOKUP($AO9,Уголь_коэфф!$A:$B,2,1)),1+(1-$AU9))</f>
        <v>1</v>
      </c>
      <c r="BF9" s="102">
        <f>MIN(IF($AU9=100%,1,1+VLOOKUP(($AJ9-$AI9-$AH9-$AG9-$AF9-$AE9*(1+BF$3))/$AJ9,Уголь_коэфф!$A:$B,2,1)-VLOOKUP($AO9,Уголь_коэфф!$A:$B,2,1)),1+(1-$AU9))</f>
        <v>1</v>
      </c>
      <c r="BG9" s="102">
        <f>MIN(IF($AU9=100%,1,1+VLOOKUP(($AJ9-$AI9-$AH9-$AG9-$AF9-$AE9*(1+BG$3))/$AJ9,Уголь_коэфф!$A:$B,2,1)-VLOOKUP($AO9,Уголь_коэфф!$A:$B,2,1)),1+(1-$AU9))</f>
        <v>1</v>
      </c>
      <c r="BH9" s="102">
        <f>MIN(IF($AU9=100%,1,1+VLOOKUP(($AJ9-$AI9-$AH9-$AG9-$AF9-$AE9*(1+BH$3))/$AJ9,Уголь_коэфф!$A:$B,2,1)-VLOOKUP($AO9,Уголь_коэфф!$A:$B,2,1)),1+(1-$AU9))</f>
        <v>1</v>
      </c>
      <c r="BI9" s="102">
        <f>MIN(IF($AU9=100%,1,1+VLOOKUP(($AJ9-$AI9-$AH9-$AG9-$AF9-$AE9*(1+BI$3))/$AJ9,Уголь_коэфф!$A:$B,2,1)-VLOOKUP($AO9,Уголь_коэфф!$A:$B,2,1)),1+(1-$AU9))</f>
        <v>1</v>
      </c>
      <c r="BJ9" s="102">
        <f>MIN(IF($AU9=100%,1,1+VLOOKUP(($AJ9-$AI9-$AH9-$AG9-$AF9-$AE9*(1+BJ$3))/$AJ9,Уголь_коэфф!$A:$B,2,1)-VLOOKUP($AO9,Уголь_коэфф!$A:$B,2,1)),1+(1-$AU9))</f>
        <v>1</v>
      </c>
      <c r="BK9" s="102">
        <f>MIN(IF($AU9=100%,1,1+VLOOKUP(($AJ9-$AI9-$AH9-$AG9-$AF9-$AE9*(1+BK$3))/$AJ9,Уголь_коэфф!$A:$B,2,1)-VLOOKUP($AO9,Уголь_коэфф!$A:$B,2,1)),1+(1-$AU9))</f>
        <v>1</v>
      </c>
      <c r="BL9" s="102">
        <f>MIN(IF($AU9=100%,1,1+VLOOKUP(($AJ9-$AI9-$AH9-$AG9-$AF9-$AE9*(1+BL$3))/$AJ9,Уголь_коэфф!$A:$B,2,1)-VLOOKUP($AO9,Уголь_коэфф!$A:$B,2,1)),1+(1-$AU9))</f>
        <v>1</v>
      </c>
      <c r="BM9" s="102">
        <f>MIN(IF($AU9=100%,1,1+VLOOKUP(($AJ9-$AI9-$AH9-$AG9-$AF9-$AE9*(1+BM$3))/$AJ9,Уголь_коэфф!$A:$B,2,1)-VLOOKUP($AO9,Уголь_коэфф!$A:$B,2,1)),1+(1-$AU9))</f>
        <v>1</v>
      </c>
      <c r="BN9" s="102">
        <f>MIN(IF($AU9=100%,1,1+VLOOKUP(($AJ9-$AI9-$AH9-$AG9-$AF9-$AE9*(1+BN$3))/$AJ9,Уголь_коэфф!$A:$B,2,1)-VLOOKUP($AO9,Уголь_коэфф!$A:$B,2,1)),1+(1-$AU9))</f>
        <v>1</v>
      </c>
      <c r="BO9" s="102">
        <f>MIN(IF($AU9=100%,1,1+VLOOKUP(($AJ9-$AI9-$AH9-$AG9-$AF9-$AE9*(1+BO$3))/$AJ9,Уголь_коэфф!$A:$B,2,1)-VLOOKUP($AO9,Уголь_коэфф!$A:$B,2,1)),1+(1-$AU9))</f>
        <v>1</v>
      </c>
      <c r="BP9" s="102">
        <f>MIN(IF($AU9=100%,1,1+VLOOKUP(($AJ9-$AI9-$AH9-$AG9-$AF9-$AE9*(1+BP$3))/$AJ9,Уголь_коэфф!$A:$B,2,1)-VLOOKUP($AO9,Уголь_коэфф!$A:$B,2,1)),1+(1-$AU9))</f>
        <v>1</v>
      </c>
      <c r="BQ9" s="102">
        <f>MIN(IF($AU9=100%,1,1+VLOOKUP(($AJ9-$AI9-$AH9-$AG9-$AF9-$AE9*(1+BQ$3))/$AJ9,Уголь_коэфф!$A:$B,2,1)-VLOOKUP($AO9,Уголь_коэфф!$A:$B,2,1)),1+(1-$AU9))</f>
        <v>1</v>
      </c>
      <c r="BR9" s="102">
        <f>MIN(IF($AU9=100%,1,1+VLOOKUP(($AJ9-$AI9-$AH9-$AG9-$AF9-$AE9*(1+BR$3))/$AJ9,Уголь_коэфф!$A:$B,2,1)-VLOOKUP($AO9,Уголь_коэфф!$A:$B,2,1)),1+(1-$AU9))</f>
        <v>1</v>
      </c>
      <c r="BS9" s="102">
        <f>MIN(IF($AU9=100%,1,1+VLOOKUP(($AJ9-$AI9-$AH9-$AG9-$AF9-$AE9*(1+BS$3))/$AJ9,Уголь_коэфф!$A:$B,2,1)-VLOOKUP($AO9,Уголь_коэфф!$A:$B,2,1)),1+(1-$AU9))</f>
        <v>1</v>
      </c>
      <c r="BT9" s="102">
        <f>MIN(IF($AU9=100%,1,1+VLOOKUP(($AJ9-$AI9-$AH9-$AG9-$AF9-$AE9*(1+BT$3))/$AJ9,Уголь_коэфф!$A:$B,2,1)-VLOOKUP($AO9,Уголь_коэфф!$A:$B,2,1)),1+(1-$AU9))</f>
        <v>1</v>
      </c>
      <c r="BU9" s="102">
        <f>MIN(IF($AU9=100%,1,1+VLOOKUP(($AJ9-$AI9-$AH9-$AG9-$AF9-$AE9*(1+BU$3))/$AJ9,Уголь_коэфф!$A:$B,2,1)-VLOOKUP($AO9,Уголь_коэфф!$A:$B,2,1)),1+(1-$AU9))</f>
        <v>1</v>
      </c>
      <c r="BV9" s="102">
        <f>MIN(IF($AU9=100%,1,1+VLOOKUP(($AJ9-$AI9-$AH9-$AG9-$AF9-$AE9*(1+BV$3))/$AJ9,Уголь_коэфф!$A:$B,2,1)-VLOOKUP($AO9,Уголь_коэфф!$A:$B,2,1)),1+(1-$AU9))</f>
        <v>1</v>
      </c>
      <c r="BW9" s="102">
        <f>MIN(IF($AU9=100%,1,1+VLOOKUP(($AJ9-$AI9-$AH9-$AG9-$AF9-$AE9*(1+BW$3))/$AJ9,Уголь_коэфф!$A:$B,2,1)-VLOOKUP($AO9,Уголь_коэфф!$A:$B,2,1)),1+(1-$AU9))</f>
        <v>1</v>
      </c>
      <c r="BX9" s="102">
        <f>MIN(IF($AU9=100%,1,1+VLOOKUP(($AJ9-$AI9-$AH9-$AG9-$AF9-$AE9*(1+BX$3))/$AJ9,Уголь_коэфф!$A:$B,2,1)-VLOOKUP($AO9,Уголь_коэфф!$A:$B,2,1)),1+(1-$AU9))</f>
        <v>1</v>
      </c>
      <c r="BY9" s="102">
        <f>MIN(IF($AU9=100%,1,1+VLOOKUP(($AJ9-$AI9-$AH9-$AG9-$AF9-$AE9*(1+BY$3))/$AJ9,Уголь_коэфф!$A:$B,2,1)-VLOOKUP($AO9,Уголь_коэфф!$A:$B,2,1)),1+(1-$AU9))</f>
        <v>1</v>
      </c>
      <c r="BZ9" s="102">
        <f>MIN(IF($AU9=100%,1,1+VLOOKUP(($AJ9-$AI9-$AH9-$AG9-$AF9-$AE9*(1+BZ$3))/$AJ9,Уголь_коэфф!$A:$B,2,1)-VLOOKUP($AO9,Уголь_коэфф!$A:$B,2,1)),1+(1-$AU9))</f>
        <v>1</v>
      </c>
      <c r="CA9" s="102">
        <f>MIN(IF($AU9=100%,1,1+VLOOKUP(($AJ9-$AI9-$AH9-$AG9-$AF9-$AE9*(1+CA$3))/$AJ9,Уголь_коэфф!$A:$B,2,1)-VLOOKUP($AO9,Уголь_коэфф!$A:$B,2,1)),1+(1-$AU9))</f>
        <v>1</v>
      </c>
      <c r="CB9" s="102">
        <f>MIN(IF($AU9=100%,1,1+VLOOKUP(($AJ9-$AI9-$AH9-$AG9-$AF9-$AE9*(1+CB$3))/$AJ9,Уголь_коэфф!$A:$B,2,1)-VLOOKUP($AO9,Уголь_коэфф!$A:$B,2,1)),1+(1-$AU9))</f>
        <v>1</v>
      </c>
      <c r="CC9" s="102">
        <f>MIN(IF($AU9=100%,1,1+VLOOKUP(($AJ9-$AI9-$AH9-$AG9-$AF9-$AE9*(1+CC$3))/$AJ9,Уголь_коэфф!$A:$B,2,1)-VLOOKUP($AO9,Уголь_коэфф!$A:$B,2,1)),1+(1-$AU9))</f>
        <v>1</v>
      </c>
      <c r="CD9" s="102">
        <f>MIN(IF($AU9=100%,1,1+VLOOKUP(($AJ9-$AI9-$AH9-$AG9-$AF9-$AE9*(1+CD$3))/$AJ9,Уголь_коэфф!$A:$B,2,1)-VLOOKUP($AO9,Уголь_коэфф!$A:$B,2,1)),1+(1-$AU9))</f>
        <v>1</v>
      </c>
      <c r="CE9" s="102">
        <f>MIN(IF($AU9=100%,1,1+VLOOKUP(($AJ9-$AI9-$AH9-$AG9-$AF9-$AE9*(1+CE$3))/$AJ9,Уголь_коэфф!$A:$B,2,1)-VLOOKUP($AO9,Уголь_коэфф!$A:$B,2,1)),1+(1-$AU9))</f>
        <v>1</v>
      </c>
      <c r="CF9" s="102">
        <f>MIN(IF($AU9=100%,1,1+VLOOKUP(($AJ9-$AI9-$AH9-$AG9-$AF9-$AE9*(1+CF$3))/$AJ9,Уголь_коэфф!$A:$B,2,1)-VLOOKUP($AO9,Уголь_коэфф!$A:$B,2,1)),1+(1-$AU9))</f>
        <v>1</v>
      </c>
      <c r="CG9" s="102">
        <f>MIN(IF($AU9=100%,1,1+VLOOKUP(($AJ9-$AI9-$AH9-$AG9-$AF9-$AE9*(1+CG$3))/$AJ9,Уголь_коэфф!$A:$B,2,1)-VLOOKUP($AO9,Уголь_коэфф!$A:$B,2,1)),1+(1-$AU9))</f>
        <v>1</v>
      </c>
      <c r="CH9" s="102">
        <f>MIN(IF($AU9=100%,1,1+VLOOKUP(($AJ9-$AI9-$AH9-$AG9-$AF9-$AE9*(1+CH$3))/$AJ9,Уголь_коэфф!$A:$B,2,1)-VLOOKUP($AO9,Уголь_коэфф!$A:$B,2,1)),1+(1-$AU9))</f>
        <v>1</v>
      </c>
      <c r="CI9" s="102">
        <f>MIN(IF($AU9=100%,1,1+VLOOKUP(($AJ9-$AI9-$AH9-$AG9-$AF9-$AE9*(1+CI$3))/$AJ9,Уголь_коэфф!$A:$B,2,1)-VLOOKUP($AO9,Уголь_коэфф!$A:$B,2,1)),1+(1-$AU9))</f>
        <v>1</v>
      </c>
      <c r="CJ9" s="102">
        <f>MIN(IF($AU9=100%,1,1+VLOOKUP(($AJ9-$AI9-$AH9-$AG9-$AF9-$AE9*(1+CJ$3))/$AJ9,Уголь_коэфф!$A:$B,2,1)-VLOOKUP($AO9,Уголь_коэфф!$A:$B,2,1)),1+(1-$AU9))</f>
        <v>1</v>
      </c>
      <c r="CK9" s="102">
        <f>MIN(IF($AU9=100%,1,1+VLOOKUP(($AJ9-$AI9-$AH9-$AG9-$AF9-$AE9*(1+CK$3))/$AJ9,Уголь_коэфф!$A:$B,2,1)-VLOOKUP($AO9,Уголь_коэфф!$A:$B,2,1)),1+(1-$AU9))</f>
        <v>1</v>
      </c>
      <c r="CL9" s="102">
        <f>MIN(IF($AU9=100%,1,1+VLOOKUP(($AJ9-$AI9-$AH9-$AG9-$AF9-$AE9*(1+CL$3))/$AJ9,Уголь_коэфф!$A:$B,2,1)-VLOOKUP($AO9,Уголь_коэфф!$A:$B,2,1)),1+(1-$AU9))</f>
        <v>1</v>
      </c>
      <c r="CM9" s="102">
        <f>MIN(IF($AU9=100%,1,1+VLOOKUP(($AJ9-$AI9-$AH9-$AG9-$AF9-$AE9*(1+CM$3))/$AJ9,Уголь_коэфф!$A:$B,2,1)-VLOOKUP($AO9,Уголь_коэфф!$A:$B,2,1)),1+(1-$AU9))</f>
        <v>1</v>
      </c>
      <c r="CN9" s="102">
        <f>MIN(IF($AU9=100%,1,1+VLOOKUP(($AJ9-$AI9-$AH9-$AG9-$AF9-$AE9*(1+CN$3))/$AJ9,Уголь_коэфф!$A:$B,2,1)-VLOOKUP($AO9,Уголь_коэфф!$A:$B,2,1)),1+(1-$AU9))</f>
        <v>1</v>
      </c>
      <c r="CO9" s="102">
        <f>MIN(IF($AU9=100%,1,1+VLOOKUP(($AJ9-$AI9-$AH9-$AG9-$AF9-$AE9*(1+CO$3))/$AJ9,Уголь_коэфф!$A:$B,2,1)-VLOOKUP($AO9,Уголь_коэфф!$A:$B,2,1)),1+(1-$AU9))</f>
        <v>1</v>
      </c>
      <c r="CP9" s="102">
        <f>MIN(IF($AU9=100%,1,1+VLOOKUP(($AJ9-$AI9-$AH9-$AG9-$AF9-$AE9*(1+CP$3))/$AJ9,Уголь_коэфф!$A:$B,2,1)-VLOOKUP($AO9,Уголь_коэфф!$A:$B,2,1)),1+(1-$AU9))</f>
        <v>1</v>
      </c>
      <c r="CQ9" s="102">
        <f>MIN(IF($AU9=100%,1,1+VLOOKUP(($AJ9-$AI9-$AH9-$AG9-$AF9-$AE9*(1+CQ$3))/$AJ9,Уголь_коэфф!$A:$B,2,1)-VLOOKUP($AO9,Уголь_коэфф!$A:$B,2,1)),1+(1-$AU9))</f>
        <v>1</v>
      </c>
      <c r="CR9" s="102">
        <f>MIN(IF($AU9=100%,1,1+VLOOKUP(($AJ9-$AI9-$AH9-$AG9-$AF9-$AE9*(1+CR$3))/$AJ9,Уголь_коэфф!$A:$B,2,1)-VLOOKUP($AO9,Уголь_коэфф!$A:$B,2,1)),1+(1-$AU9))</f>
        <v>1</v>
      </c>
      <c r="CS9" s="102">
        <f>MIN(IF($AU9=100%,1,1+VLOOKUP(($AJ9-$AI9-$AH9-$AG9-$AF9-$AE9*(1+CS$3))/$AJ9,Уголь_коэфф!$A:$B,2,1)-VLOOKUP($AO9,Уголь_коэфф!$A:$B,2,1)),1+(1-$AU9))</f>
        <v>1</v>
      </c>
      <c r="CT9" s="102">
        <f>MIN(IF($AU9=100%,1,1+VLOOKUP(($AJ9-$AI9-$AH9-$AG9-$AF9-$AE9*(1+CT$3))/$AJ9,Уголь_коэфф!$A:$B,2,1)-VLOOKUP($AO9,Уголь_коэфф!$A:$B,2,1)),1+(1-$AU9))</f>
        <v>1</v>
      </c>
      <c r="CU9" s="102">
        <f>MIN(IF($AU9=100%,1,1+VLOOKUP(($AJ9-$AI9-$AH9-$AG9-$AF9-$AE9*(1+CU$3))/$AJ9,Уголь_коэфф!$A:$B,2,1)-VLOOKUP($AO9,Уголь_коэфф!$A:$B,2,1)),1+(1-$AU9))</f>
        <v>1</v>
      </c>
      <c r="CV9" s="102">
        <f>MIN(IF($AU9=100%,1,1+VLOOKUP(($AJ9-$AI9-$AH9-$AG9-$AF9-$AE9*(1+CV$3))/$AJ9,Уголь_коэфф!$A:$B,2,1)-VLOOKUP($AO9,Уголь_коэфф!$A:$B,2,1)),1+(1-$AU9))</f>
        <v>1</v>
      </c>
      <c r="CW9" s="102">
        <f>MIN(IF($AU9=100%,1,1+VLOOKUP(($AJ9-$AI9-$AH9-$AG9-$AF9-$AE9*(1+CW$3))/$AJ9,Уголь_коэфф!$A:$B,2,1)-VLOOKUP($AO9,Уголь_коэфф!$A:$B,2,1)),1+(1-$AU9))</f>
        <v>1</v>
      </c>
      <c r="CX9" s="102">
        <f>MIN(IF($AU9=100%,1,1+VLOOKUP(($AJ9-$AI9-$AH9-$AG9-$AF9-$AE9*(1+CX$3))/$AJ9,Уголь_коэфф!$A:$B,2,1)-VLOOKUP($AO9,Уголь_коэфф!$A:$B,2,1)),1+(1-$AU9))</f>
        <v>1</v>
      </c>
      <c r="CY9" s="102">
        <f>MIN(IF($AU9=100%,1,1+VLOOKUP(($AJ9-$AI9-$AH9-$AG9-$AF9-$AE9*(1+CY$3))/$AJ9,Уголь_коэфф!$A:$B,2,1)-VLOOKUP($AO9,Уголь_коэфф!$A:$B,2,1)),1+(1-$AU9))</f>
        <v>1</v>
      </c>
      <c r="CZ9" s="102">
        <f>MIN(IF($AU9=100%,1,1+VLOOKUP(($AJ9-$AI9-$AH9-$AG9-$AF9-$AE9*(1+CZ$3))/$AJ9,Уголь_коэфф!$A:$B,2,1)-VLOOKUP($AO9,Уголь_коэфф!$A:$B,2,1)),1+(1-$AU9))</f>
        <v>1</v>
      </c>
      <c r="DA9" s="102">
        <f>MIN(IF($AU9=100%,1,1+VLOOKUP(($AJ9-$AI9-$AH9-$AG9-$AF9-$AE9*(1+DA$3))/$AJ9,Уголь_коэфф!$A:$B,2,1)-VLOOKUP($AO9,Уголь_коэфф!$A:$B,2,1)),1+(1-$AU9))</f>
        <v>1</v>
      </c>
      <c r="DB9" s="102">
        <f>MIN(IF($AU9=100%,1,1+VLOOKUP(($AJ9-$AI9-$AH9-$AG9-$AF9-$AE9*(1+DB$3))/$AJ9,Уголь_коэфф!$A:$B,2,1)-VLOOKUP($AO9,Уголь_коэфф!$A:$B,2,1)),1+(1-$AU9))</f>
        <v>1</v>
      </c>
      <c r="DC9" s="102">
        <f>MIN(IF($AU9=100%,1,1+VLOOKUP(($AJ9-$AI9-$AH9-$AG9-$AF9-$AE9*(1+DC$3))/$AJ9,Уголь_коэфф!$A:$B,2,1)-VLOOKUP($AO9,Уголь_коэфф!$A:$B,2,1)),1+(1-$AU9))</f>
        <v>1</v>
      </c>
      <c r="DD9" s="102">
        <f>MIN(IF($AU9=100%,1,1+VLOOKUP(($AJ9-$AI9-$AH9-$AG9-$AF9-$AE9*(1+DD$3))/$AJ9,Уголь_коэфф!$A:$B,2,1)-VLOOKUP($AO9,Уголь_коэфф!$A:$B,2,1)),1+(1-$AU9))</f>
        <v>1</v>
      </c>
      <c r="DE9" s="102">
        <f>MIN(IF($AU9=100%,1,1+VLOOKUP(($AJ9-$AI9-$AH9-$AG9-$AF9-$AE9*(1+DE$3))/$AJ9,Уголь_коэфф!$A:$B,2,1)-VLOOKUP($AO9,Уголь_коэфф!$A:$B,2,1)),1+(1-$AU9))</f>
        <v>1</v>
      </c>
      <c r="DF9" s="102">
        <f>MIN(IF($AU9=100%,1,1+VLOOKUP(($AJ9-$AI9-$AH9-$AG9-$AF9-$AE9*(1+DF$3))/$AJ9,Уголь_коэфф!$A:$B,2,1)-VLOOKUP($AO9,Уголь_коэфф!$A:$B,2,1)),1+(1-$AU9))</f>
        <v>1</v>
      </c>
      <c r="DG9" s="102">
        <f>MIN(IF($AU9=100%,1,1+VLOOKUP(($AJ9-$AI9-$AH9-$AG9-$AF9-$AE9*(1+DG$3))/$AJ9,Уголь_коэфф!$A:$B,2,1)-VLOOKUP($AO9,Уголь_коэфф!$A:$B,2,1)),1+(1-$AU9))</f>
        <v>1</v>
      </c>
      <c r="DH9" s="102">
        <f>MIN(IF($AU9=100%,1,1+VLOOKUP(($AJ9-$AI9-$AH9-$AG9-$AF9-$AE9*(1+DH$3))/$AJ9,Уголь_коэфф!$A:$B,2,1)-VLOOKUP($AO9,Уголь_коэфф!$A:$B,2,1)),1+(1-$AU9))</f>
        <v>1</v>
      </c>
      <c r="DI9" s="102">
        <f>MIN(IF($AU9=100%,1,1+VLOOKUP(($AJ9-$AI9-$AH9-$AG9-$AF9-$AE9*(1+DI$3))/$AJ9,Уголь_коэфф!$A:$B,2,1)-VLOOKUP($AO9,Уголь_коэфф!$A:$B,2,1)),1+(1-$AU9))</f>
        <v>1</v>
      </c>
      <c r="DJ9" s="102">
        <f>MIN(IF($AU9=100%,1,1+VLOOKUP(($AJ9-$AI9-$AH9-$AG9-$AF9-$AE9*(1+DJ$3))/$AJ9,Уголь_коэфф!$A:$B,2,1)-VLOOKUP($AO9,Уголь_коэфф!$A:$B,2,1)),1+(1-$AU9))</f>
        <v>1</v>
      </c>
      <c r="DK9" s="102">
        <f>MIN(IF($AU9=100%,1,1+VLOOKUP(($AJ9-$AI9-$AH9-$AG9-$AF9-$AE9*(1+DK$3))/$AJ9,Уголь_коэфф!$A:$B,2,1)-VLOOKUP($AO9,Уголь_коэфф!$A:$B,2,1)),1+(1-$AU9))</f>
        <v>1</v>
      </c>
      <c r="DL9" s="102">
        <f>MIN(IF($AU9=100%,1,1+VLOOKUP(($AJ9-$AI9-$AH9-$AG9-$AF9-$AE9*(1+DL$3))/$AJ9,Уголь_коэфф!$A:$B,2,1)-VLOOKUP($AO9,Уголь_коэфф!$A:$B,2,1)),1+(1-$AU9))</f>
        <v>1</v>
      </c>
      <c r="DM9" s="102">
        <f>MIN(IF($AU9=100%,1,1+VLOOKUP(($AJ9-$AI9-$AH9-$AG9-$AF9-$AE9*(1+DM$3))/$AJ9,Уголь_коэфф!$A:$B,2,1)-VLOOKUP($AO9,Уголь_коэфф!$A:$B,2,1)),1+(1-$AU9))</f>
        <v>1</v>
      </c>
      <c r="DN9" s="102">
        <f>MIN(IF($AU9=100%,1,1+VLOOKUP(($AJ9-$AI9-$AH9-$AG9-$AF9-$AE9*(1+DN$3))/$AJ9,Уголь_коэфф!$A:$B,2,1)-VLOOKUP($AO9,Уголь_коэфф!$A:$B,2,1)),1+(1-$AU9))</f>
        <v>1</v>
      </c>
      <c r="DO9" s="102">
        <f>MIN(IF($AU9=100%,1,1+VLOOKUP(($AJ9-$AI9-$AH9-$AG9-$AF9-$AE9*(1+DO$3))/$AJ9,Уголь_коэфф!$A:$B,2,1)-VLOOKUP($AO9,Уголь_коэфф!$A:$B,2,1)),1+(1-$AU9))</f>
        <v>1</v>
      </c>
      <c r="DP9" s="102">
        <f>MIN(IF($AU9=100%,1,1+VLOOKUP(($AJ9-$AI9-$AH9-$AG9-$AF9-$AE9*(1+DP$3))/$AJ9,Уголь_коэфф!$A:$B,2,1)-VLOOKUP($AO9,Уголь_коэфф!$A:$B,2,1)),1+(1-$AU9))</f>
        <v>1</v>
      </c>
      <c r="DQ9" s="102">
        <f>MIN(IF($AU9=100%,1,1+VLOOKUP(($AJ9-$AI9-$AH9-$AG9-$AF9-$AE9*(1+DQ$3))/$AJ9,Уголь_коэфф!$A:$B,2,1)-VLOOKUP($AO9,Уголь_коэфф!$A:$B,2,1)),1+(1-$AU9))</f>
        <v>1</v>
      </c>
      <c r="DR9" s="102">
        <f>MIN(IF($AU9=100%,1,1+VLOOKUP(($AJ9-$AI9-$AH9-$AG9-$AF9-$AE9*(1+DR$3))/$AJ9,Уголь_коэфф!$A:$B,2,1)-VLOOKUP($AO9,Уголь_коэфф!$A:$B,2,1)),1+(1-$AU9))</f>
        <v>1</v>
      </c>
      <c r="DS9" s="102">
        <f>MIN(IF($AU9=100%,1,1+VLOOKUP(($AJ9-$AI9-$AH9-$AG9-$AF9-$AE9*(1+DS$3))/$AJ9,Уголь_коэфф!$A:$B,2,1)-VLOOKUP($AO9,Уголь_коэфф!$A:$B,2,1)),1+(1-$AU9))</f>
        <v>1</v>
      </c>
      <c r="DT9" s="102">
        <f>MIN(IF($AU9=100%,1,1+VLOOKUP(($AJ9-$AI9-$AH9-$AG9-$AF9-$AE9*(1+DT$3))/$AJ9,Уголь_коэфф!$A:$B,2,1)-VLOOKUP($AO9,Уголь_коэфф!$A:$B,2,1)),1+(1-$AU9))</f>
        <v>1</v>
      </c>
      <c r="DU9" s="102">
        <f>MIN(IF($AU9=100%,1,1+VLOOKUP(($AJ9-$AI9-$AH9-$AG9-$AF9-$AE9*(1+DU$3))/$AJ9,Уголь_коэфф!$A:$B,2,1)-VLOOKUP($AO9,Уголь_коэфф!$A:$B,2,1)),1+(1-$AU9))</f>
        <v>1</v>
      </c>
      <c r="DV9" s="102">
        <f>MIN(IF($AU9=100%,1,1+VLOOKUP(($AJ9-$AI9-$AH9-$AG9-$AF9-$AE9*(1+DV$3))/$AJ9,Уголь_коэфф!$A:$B,2,1)-VLOOKUP($AO9,Уголь_коэфф!$A:$B,2,1)),1+(1-$AU9))</f>
        <v>1</v>
      </c>
      <c r="DW9" s="102">
        <f>MIN(IF($AU9=100%,1,1+VLOOKUP(($AJ9-$AI9-$AH9-$AG9-$AF9-$AE9*(1+DW$3))/$AJ9,Уголь_коэфф!$A:$B,2,1)-VLOOKUP($AO9,Уголь_коэфф!$A:$B,2,1)),1+(1-$AU9))</f>
        <v>1</v>
      </c>
      <c r="DX9" s="102">
        <f>MIN(IF($AU9=100%,1,1+VLOOKUP(($AJ9-$AI9-$AH9-$AG9-$AF9-$AE9*(1+DX$3))/$AJ9,Уголь_коэфф!$A:$B,2,1)-VLOOKUP($AO9,Уголь_коэфф!$A:$B,2,1)),1+(1-$AU9))</f>
        <v>1</v>
      </c>
      <c r="DY9" s="102">
        <f>MIN(IF($AU9=100%,1,1+VLOOKUP(($AJ9-$AI9-$AH9-$AG9-$AF9-$AE9*(1+DY$3))/$AJ9,Уголь_коэфф!$A:$B,2,1)-VLOOKUP($AO9,Уголь_коэфф!$A:$B,2,1)),1+(1-$AU9))</f>
        <v>1</v>
      </c>
      <c r="DZ9" s="102">
        <f>MIN(IF($AU9=100%,1,1+VLOOKUP(($AJ9-$AI9-$AH9-$AG9-$AF9-$AE9*(1+DZ$3))/$AJ9,Уголь_коэфф!$A:$B,2,1)-VLOOKUP($AO9,Уголь_коэфф!$A:$B,2,1)),1+(1-$AU9))</f>
        <v>1</v>
      </c>
      <c r="EA9" s="102">
        <f>MIN(IF($AU9=100%,1,1+VLOOKUP(($AJ9-$AI9-$AH9-$AG9-$AF9-$AE9*(1+EA$3))/$AJ9,Уголь_коэфф!$A:$B,2,1)-VLOOKUP($AO9,Уголь_коэфф!$A:$B,2,1)),1+(1-$AU9))</f>
        <v>1</v>
      </c>
      <c r="EB9" s="102">
        <f>MIN(IF($AU9=100%,1,1+VLOOKUP(($AJ9-$AI9-$AH9-$AG9-$AF9-$AE9*(1+EB$3))/$AJ9,Уголь_коэфф!$A:$B,2,1)-VLOOKUP($AO9,Уголь_коэфф!$A:$B,2,1)),1+(1-$AU9))</f>
        <v>1</v>
      </c>
      <c r="EC9" s="102">
        <f>MIN(IF($AU9=100%,1,1+VLOOKUP(($AJ9-$AI9-$AH9-$AG9-$AF9-$AE9*(1+EC$3))/$AJ9,Уголь_коэфф!$A:$B,2,1)-VLOOKUP($AO9,Уголь_коэфф!$A:$B,2,1)),1+(1-$AU9))</f>
        <v>1</v>
      </c>
      <c r="ED9" s="102">
        <f>MIN(IF($AU9=100%,1,1+VLOOKUP(($AJ9-$AI9-$AH9-$AG9-$AF9-$AE9*(1+ED$3))/$AJ9,Уголь_коэфф!$A:$B,2,1)-VLOOKUP($AO9,Уголь_коэфф!$A:$B,2,1)),1+(1-$AU9))</f>
        <v>1</v>
      </c>
      <c r="EE9" s="102">
        <f>MIN(IF($AU9=100%,1,1+VLOOKUP(($AJ9-$AI9-$AH9-$AG9-$AF9-$AE9*(1+EE$3))/$AJ9,Уголь_коэфф!$A:$B,2,1)-VLOOKUP($AO9,Уголь_коэфф!$A:$B,2,1)),1+(1-$AU9))</f>
        <v>1</v>
      </c>
      <c r="EF9" s="102">
        <f>MIN(IF($AU9=100%,1,1+VLOOKUP(($AJ9-$AI9-$AH9-$AG9-$AF9-$AE9*(1+EF$3))/$AJ9,Уголь_коэфф!$A:$B,2,1)-VLOOKUP($AO9,Уголь_коэфф!$A:$B,2,1)),1+(1-$AU9))</f>
        <v>1</v>
      </c>
      <c r="EG9" s="102">
        <f>MIN(IF($AU9=100%,1,1+VLOOKUP(($AJ9-$AI9-$AH9-$AG9-$AF9-$AE9*(1+EG$3))/$AJ9,Уголь_коэфф!$A:$B,2,1)-VLOOKUP($AO9,Уголь_коэфф!$A:$B,2,1)),1+(1-$AU9))</f>
        <v>1</v>
      </c>
      <c r="EH9" s="102">
        <f>MIN(IF($AU9=100%,1,1+VLOOKUP(($AJ9-$AI9-$AH9-$AG9-$AF9-$AE9*(1+EH$3))/$AJ9,Уголь_коэфф!$A:$B,2,1)-VLOOKUP($AO9,Уголь_коэфф!$A:$B,2,1)),1+(1-$AU9))</f>
        <v>1</v>
      </c>
      <c r="EI9" s="102">
        <f>MIN(IF($AU9=100%,1,1+VLOOKUP(($AJ9-$AI9-$AH9-$AG9-$AF9-$AE9*(1+EI$3))/$AJ9,Уголь_коэфф!$A:$B,2,1)-VLOOKUP($AO9,Уголь_коэфф!$A:$B,2,1)),1+(1-$AU9))</f>
        <v>1</v>
      </c>
      <c r="EJ9" s="102">
        <f>MIN(IF($AU9=100%,1,1+VLOOKUP(($AJ9-$AI9-$AH9-$AG9-$AF9-$AE9*(1+EJ$3))/$AJ9,Уголь_коэфф!$A:$B,2,1)-VLOOKUP($AO9,Уголь_коэфф!$A:$B,2,1)),1+(1-$AU9))</f>
        <v>1</v>
      </c>
      <c r="EK9" s="102">
        <f>MIN(IF($AU9=100%,1,1+VLOOKUP(($AJ9-$AI9-$AH9-$AG9-$AF9-$AE9*(1+EK$3))/$AJ9,Уголь_коэфф!$A:$B,2,1)-VLOOKUP($AO9,Уголь_коэфф!$A:$B,2,1)),1+(1-$AU9))</f>
        <v>1</v>
      </c>
      <c r="EL9" s="102">
        <f>MIN(IF($AU9=100%,1,1+VLOOKUP(($AJ9-$AI9-$AH9-$AG9-$AF9-$AE9*(1+EL$3))/$AJ9,Уголь_коэфф!$A:$B,2,1)-VLOOKUP($AO9,Уголь_коэфф!$A:$B,2,1)),1+(1-$AU9))</f>
        <v>1</v>
      </c>
      <c r="EM9" s="102">
        <f>MIN(IF($AU9=100%,1,1+VLOOKUP(($AJ9-$AI9-$AH9-$AG9-$AF9-$AE9*(1+EM$3))/$AJ9,Уголь_коэфф!$A:$B,2,1)-VLOOKUP($AO9,Уголь_коэфф!$A:$B,2,1)),1+(1-$AU9))</f>
        <v>1</v>
      </c>
      <c r="EN9" s="102">
        <f>MIN(IF($AU9=100%,1,1+VLOOKUP(($AJ9-$AI9-$AH9-$AG9-$AF9-$AE9*(1+EN$3))/$AJ9,Уголь_коэфф!$A:$B,2,1)-VLOOKUP($AO9,Уголь_коэфф!$A:$B,2,1)),1+(1-$AU9))</f>
        <v>1</v>
      </c>
      <c r="EO9" s="102">
        <f>MIN(IF($AU9=100%,1,1+VLOOKUP(($AJ9-$AI9-$AH9-$AG9-$AF9-$AE9*(1+EO$3))/$AJ9,Уголь_коэфф!$A:$B,2,1)-VLOOKUP($AO9,Уголь_коэфф!$A:$B,2,1)),1+(1-$AU9))</f>
        <v>1</v>
      </c>
      <c r="EP9" s="102">
        <f>MIN(IF($AU9=100%,1,1+VLOOKUP(($AJ9-$AI9-$AH9-$AG9-$AF9-$AE9*(1+EP$3))/$AJ9,Уголь_коэфф!$A:$B,2,1)-VLOOKUP($AO9,Уголь_коэфф!$A:$B,2,1)),1+(1-$AU9))</f>
        <v>1</v>
      </c>
      <c r="EQ9" s="102">
        <f>MIN(IF($AU9=100%,1,1+VLOOKUP(($AJ9-$AI9-$AH9-$AG9-$AF9-$AE9*(1+EQ$3))/$AJ9,Уголь_коэфф!$A:$B,2,1)-VLOOKUP($AO9,Уголь_коэфф!$A:$B,2,1)),1+(1-$AU9))</f>
        <v>1</v>
      </c>
      <c r="ER9" s="102">
        <f>MIN(IF($AU9=100%,1,1+VLOOKUP(($AJ9-$AI9-$AH9-$AG9-$AF9-$AE9*(1+ER$3))/$AJ9,Уголь_коэфф!$A:$B,2,1)-VLOOKUP($AO9,Уголь_коэфф!$A:$B,2,1)),1+(1-$AU9))</f>
        <v>1</v>
      </c>
      <c r="ES9" s="102">
        <f>MIN(IF($AU9=100%,1,1+VLOOKUP(($AJ9-$AI9-$AH9-$AG9-$AF9-$AE9*(1+ES$3))/$AJ9,Уголь_коэфф!$A:$B,2,1)-VLOOKUP($AO9,Уголь_коэфф!$A:$B,2,1)),1+(1-$AU9))</f>
        <v>1</v>
      </c>
      <c r="ET9" s="102">
        <f>MIN(IF($AU9=100%,1,1+VLOOKUP(($AJ9-$AI9-$AH9-$AG9-$AF9-$AE9*(1+ET$3))/$AJ9,Уголь_коэфф!$A:$B,2,1)-VLOOKUP($AO9,Уголь_коэфф!$A:$B,2,1)),1+(1-$AU9))</f>
        <v>1</v>
      </c>
      <c r="EU9" s="102">
        <f>MIN(IF($AU9=100%,1,1+VLOOKUP(($AJ9-$AI9-$AH9-$AG9-$AF9-$AE9*(1+EU$3))/$AJ9,Уголь_коэфф!$A:$B,2,1)-VLOOKUP($AO9,Уголь_коэфф!$A:$B,2,1)),1+(1-$AU9))</f>
        <v>1</v>
      </c>
      <c r="EV9" s="103">
        <v>1</v>
      </c>
      <c r="EW9" s="102">
        <f>MIN(1,MAX(VLOOKUP(($AJ9-$AI9-$AH9-$AG9-$AF9-$AE9*(1+EW$3))/$AJ9,Уголь_коэфф!$A:$B,2,1),(EV9-0.05)))</f>
        <v>1</v>
      </c>
      <c r="EX9" s="102">
        <f>MIN(1,MAX(VLOOKUP(($AJ9-$AI9-$AH9-$AG9-$AF9-$AE9*(1+EX$3))/$AJ9,Уголь_коэфф!$A:$B,2,1),(EW9-0.05)))</f>
        <v>1</v>
      </c>
      <c r="EY9" s="102">
        <f>MIN(1,MAX(VLOOKUP(($AJ9-$AI9-$AH9-$AG9-$AF9-$AE9*(1+EY$3))/$AJ9,Уголь_коэфф!$A:$B,2,1),(EX9-0.05)))</f>
        <v>1</v>
      </c>
      <c r="EZ9" s="102">
        <f>MIN(1,MAX(VLOOKUP(($AJ9-$AI9-$AH9-$AG9-$AF9-$AE9*(1+EZ$3))/$AJ9,Уголь_коэфф!$A:$B,2,1),(EY9-0.05)))</f>
        <v>1</v>
      </c>
      <c r="FA9" s="102">
        <f>MIN(1,MAX(VLOOKUP(($AJ9-$AI9-$AH9-$AG9-$AF9-$AE9*(1+FA$3))/$AJ9,Уголь_коэфф!$A:$B,2,1),(EZ9-0.05)))</f>
        <v>1</v>
      </c>
      <c r="FB9" s="102">
        <f>MIN(1,MAX(VLOOKUP(($AJ9-$AI9-$AH9-$AG9-$AF9-$AE9*(1+FB$3))/$AJ9,Уголь_коэфф!$A:$B,2,1),(FA9-0.05)))</f>
        <v>1</v>
      </c>
      <c r="FC9" s="102">
        <f>MIN(1,MAX(VLOOKUP(($AJ9-$AI9-$AH9-$AG9-$AF9-$AE9*(1+FC$3))/$AJ9,Уголь_коэфф!$A:$B,2,1),(FB9-0.05)))</f>
        <v>1</v>
      </c>
      <c r="FD9" s="102">
        <f>MIN(1,MAX(VLOOKUP(($AJ9-$AI9-$AH9-$AG9-$AF9-$AE9*(1+FD$3))/$AJ9,Уголь_коэфф!$A:$B,2,1),(FC9-0.05)))</f>
        <v>1</v>
      </c>
      <c r="FE9" s="102">
        <f>MIN(1,MAX(VLOOKUP(($AJ9-$AI9-$AH9-$AG9-$AF9-$AE9*(1+FE$3))/$AJ9,Уголь_коэфф!$A:$B,2,1),(FD9-0.05)))</f>
        <v>1</v>
      </c>
      <c r="FF9" s="102">
        <f>MIN(1,MAX(VLOOKUP(($AJ9-$AI9-$AH9-$AG9-$AF9-$AE9*(1+FF$3))/$AJ9,Уголь_коэфф!$A:$B,2,1),(FE9-0.05)))</f>
        <v>1</v>
      </c>
      <c r="FG9" s="102">
        <f>MIN(1,MAX(VLOOKUP(($AJ9-$AI9-$AH9-$AG9-$AF9-$AE9*(1+FG$3))/$AJ9,Уголь_коэфф!$A:$B,2,1),(FF9-0.05)))</f>
        <v>1</v>
      </c>
      <c r="FH9" s="102">
        <f>MIN(1,MAX(VLOOKUP(($AJ9-$AI9-$AH9-$AG9-$AF9-$AE9*(1+FH$3))/$AJ9,Уголь_коэфф!$A:$B,2,1),(FG9-0.05)))</f>
        <v>1</v>
      </c>
      <c r="FI9" s="102">
        <f>MIN(1,MAX(VLOOKUP(($AJ9-$AI9-$AH9-$AG9-$AF9-$AE9*(1+FI$3))/$AJ9,Уголь_коэфф!$A:$B,2,1),(FH9-0.05)))</f>
        <v>1</v>
      </c>
      <c r="FJ9" s="102">
        <f>MIN(1,MAX(VLOOKUP(($AJ9-$AI9-$AH9-$AG9-$AF9-$AE9*(1+FJ$3))/$AJ9,Уголь_коэфф!$A:$B,2,1),(FI9-0.05)))</f>
        <v>1</v>
      </c>
      <c r="FK9" s="102">
        <f>MIN(1,MAX(VLOOKUP(($AJ9-$AI9-$AH9-$AG9-$AF9-$AE9*(1+FK$3))/$AJ9,Уголь_коэфф!$A:$B,2,1),(FJ9-0.05)))</f>
        <v>1</v>
      </c>
      <c r="FL9" s="102">
        <f>MIN(1,MAX(VLOOKUP(($AJ9-$AI9-$AH9-$AG9-$AF9-$AE9*(1+FL$3))/$AJ9,Уголь_коэфф!$A:$B,2,1),(FK9-0.05)))</f>
        <v>1</v>
      </c>
      <c r="FM9" s="102">
        <f>MIN(1,MAX(VLOOKUP(($AJ9-$AI9-$AH9-$AG9-$AF9-$AE9*(1+FM$3))/$AJ9,Уголь_коэфф!$A:$B,2,1),(FL9-0.05)))</f>
        <v>1</v>
      </c>
      <c r="FN9" s="102">
        <f>MIN(1,MAX(VLOOKUP(($AJ9-$AI9-$AH9-$AG9-$AF9-$AE9*(1+FN$3))/$AJ9,Уголь_коэфф!$A:$B,2,1),(FM9-0.05)))</f>
        <v>1</v>
      </c>
      <c r="FO9" s="102">
        <f>MIN(1,MAX(VLOOKUP(($AJ9-$AI9-$AH9-$AG9-$AF9-$AE9*(1+FO$3))/$AJ9,Уголь_коэфф!$A:$B,2,1),(FN9-0.05)))</f>
        <v>1</v>
      </c>
      <c r="FP9" s="102">
        <f>MIN(1,MAX(VLOOKUP(($AJ9-$AI9-$AH9-$AG9-$AF9-$AE9*(1+FP$3))/$AJ9,Уголь_коэфф!$A:$B,2,1),(FO9-0.05)))</f>
        <v>1</v>
      </c>
      <c r="FQ9" s="102">
        <f>MIN(1,MAX(VLOOKUP(($AJ9-$AI9-$AH9-$AG9-$AF9-$AE9*(1+FQ$3))/$AJ9,Уголь_коэфф!$A:$B,2,1),(FP9-0.05)))</f>
        <v>1</v>
      </c>
      <c r="FR9" s="102">
        <f>MIN(1,MAX(VLOOKUP(($AJ9-$AI9-$AH9-$AG9-$AF9-$AE9*(1+FR$3))/$AJ9,Уголь_коэфф!$A:$B,2,1),(FQ9-0.05)))</f>
        <v>1</v>
      </c>
      <c r="FS9" s="102">
        <f>MIN(1,MAX(VLOOKUP(($AJ9-$AI9-$AH9-$AG9-$AF9-$AE9*(1+FS$3))/$AJ9,Уголь_коэфф!$A:$B,2,1),(FR9-0.05)))</f>
        <v>1</v>
      </c>
      <c r="FT9" s="102">
        <f>MIN(1,MAX(VLOOKUP(($AJ9-$AI9-$AH9-$AG9-$AF9-$AE9*(1+FT$3))/$AJ9,Уголь_коэфф!$A:$B,2,1),(FS9-0.05)))</f>
        <v>1</v>
      </c>
      <c r="FU9" s="102">
        <f>MIN(1,MAX(VLOOKUP(($AJ9-$AI9-$AH9-$AG9-$AF9-$AE9*(1+FU$3))/$AJ9,Уголь_коэфф!$A:$B,2,1),(FT9-0.05)))</f>
        <v>1</v>
      </c>
      <c r="FV9" s="102">
        <f>MIN(1,MAX(VLOOKUP(($AJ9-$AI9-$AH9-$AG9-$AF9-$AE9*(1+FV$3))/$AJ9,Уголь_коэфф!$A:$B,2,1),(FU9-0.05)))</f>
        <v>1</v>
      </c>
      <c r="FW9" s="102">
        <f>MIN(1,MAX(VLOOKUP(($AJ9-$AI9-$AH9-$AG9-$AF9-$AE9*(1+FW$3))/$AJ9,Уголь_коэфф!$A:$B,2,1),(FV9-0.05)))</f>
        <v>1</v>
      </c>
      <c r="FX9" s="102">
        <f>MIN(1,MAX(VLOOKUP(($AJ9-$AI9-$AH9-$AG9-$AF9-$AE9*(1+FX$3))/$AJ9,Уголь_коэфф!$A:$B,2,1),(FW9-0.05)))</f>
        <v>1</v>
      </c>
      <c r="FY9" s="102">
        <f>MIN(1,MAX(VLOOKUP(($AJ9-$AI9-$AH9-$AG9-$AF9-$AE9*(1+FY$3))/$AJ9,Уголь_коэфф!$A:$B,2,1),(FX9-0.05)))</f>
        <v>1</v>
      </c>
      <c r="FZ9" s="102">
        <f>MIN(1,MAX(VLOOKUP(($AJ9-$AI9-$AH9-$AG9-$AF9-$AE9*(1+FZ$3))/$AJ9,Уголь_коэфф!$A:$B,2,1),(FY9-0.05)))</f>
        <v>1</v>
      </c>
      <c r="GA9" s="102">
        <f>MIN(1,MAX(VLOOKUP(($AJ9-$AI9-$AH9-$AG9-$AF9-$AE9*(1+GA$3))/$AJ9,Уголь_коэфф!$A:$B,2,1),(FZ9-0.05)))</f>
        <v>1</v>
      </c>
      <c r="GB9" s="102">
        <f>MIN(1,MAX(VLOOKUP(($AJ9-$AI9-$AH9-$AG9-$AF9-$AE9*(1+GB$3))/$AJ9,Уголь_коэфф!$A:$B,2,1),(GA9-0.05)))</f>
        <v>1</v>
      </c>
      <c r="GC9" s="102">
        <f>MIN(1,MAX(VLOOKUP(($AJ9-$AI9-$AH9-$AG9-$AF9-$AE9*(1+GC$3))/$AJ9,Уголь_коэфф!$A:$B,2,1),(GB9-0.05)))</f>
        <v>1</v>
      </c>
      <c r="GD9" s="102">
        <f>MIN(1,MAX(VLOOKUP(($AJ9-$AI9-$AH9-$AG9-$AF9-$AE9*(1+GD$3))/$AJ9,Уголь_коэфф!$A:$B,2,1),(GC9-0.05)))</f>
        <v>1</v>
      </c>
      <c r="GE9" s="102">
        <f>MIN(1,MAX(VLOOKUP(($AJ9-$AI9-$AH9-$AG9-$AF9-$AE9*(1+GE$3))/$AJ9,Уголь_коэфф!$A:$B,2,1),(GD9-0.05)))</f>
        <v>1</v>
      </c>
      <c r="GF9" s="102">
        <f>MIN(1,MAX(VLOOKUP(($AJ9-$AI9-$AH9-$AG9-$AF9-$AE9*(1+GF$3))/$AJ9,Уголь_коэфф!$A:$B,2,1),(GE9-0.05)))</f>
        <v>1</v>
      </c>
      <c r="GG9" s="102">
        <f>MIN(1,MAX(VLOOKUP(($AJ9-$AI9-$AH9-$AG9-$AF9-$AE9*(1+GG$3))/$AJ9,Уголь_коэфф!$A:$B,2,1),(GF9-0.05)))</f>
        <v>1</v>
      </c>
      <c r="GH9" s="102">
        <f>MIN(1,MAX(VLOOKUP(($AJ9-$AI9-$AH9-$AG9-$AF9-$AE9*(1+GH$3))/$AJ9,Уголь_коэфф!$A:$B,2,1),(GG9-0.05)))</f>
        <v>1</v>
      </c>
      <c r="GI9" s="102">
        <f>MIN(1,MAX(VLOOKUP(($AJ9-$AI9-$AH9-$AG9-$AF9-$AE9*(1+GI$3))/$AJ9,Уголь_коэфф!$A:$B,2,1),(GH9-0.05)))</f>
        <v>1</v>
      </c>
      <c r="GJ9" s="102">
        <f>MIN(1,MAX(VLOOKUP(($AJ9-$AI9-$AH9-$AG9-$AF9-$AE9*(1+GJ$3))/$AJ9,Уголь_коэфф!$A:$B,2,1),(GI9-0.05)))</f>
        <v>1</v>
      </c>
      <c r="GK9" s="102">
        <f>MIN(1,MAX(VLOOKUP(($AJ9-$AI9-$AH9-$AG9-$AF9-$AE9*(1+GK$3))/$AJ9,Уголь_коэфф!$A:$B,2,1),(GJ9-0.05)))</f>
        <v>1</v>
      </c>
      <c r="GL9" s="102">
        <f>MIN(1,MAX(VLOOKUP(($AJ9-$AI9-$AH9-$AG9-$AF9-$AE9*(1+GL$3))/$AJ9,Уголь_коэфф!$A:$B,2,1),(GK9-0.05)))</f>
        <v>1</v>
      </c>
      <c r="GM9" s="102">
        <f>MIN(1,MAX(VLOOKUP(($AJ9-$AI9-$AH9-$AG9-$AF9-$AE9*(1+GM$3))/$AJ9,Уголь_коэфф!$A:$B,2,1),(GL9-0.05)))</f>
        <v>1</v>
      </c>
      <c r="GN9" s="102">
        <f>MIN(1,MAX(VLOOKUP(($AJ9-$AI9-$AH9-$AG9-$AF9-$AE9*(1+GN$3))/$AJ9,Уголь_коэфф!$A:$B,2,1),(GM9-0.05)))</f>
        <v>1</v>
      </c>
      <c r="GO9" s="102">
        <f>MIN(1,MAX(VLOOKUP(($AJ9-$AI9-$AH9-$AG9-$AF9-$AE9*(1+GO$3))/$AJ9,Уголь_коэфф!$A:$B,2,1),(GN9-0.05)))</f>
        <v>1</v>
      </c>
      <c r="GP9" s="102">
        <f>MIN(1,MAX(VLOOKUP(($AJ9-$AI9-$AH9-$AG9-$AF9-$AE9*(1+GP$3))/$AJ9,Уголь_коэфф!$A:$B,2,1),(GO9-0.05)))</f>
        <v>1</v>
      </c>
      <c r="GQ9" s="102">
        <f>MIN(1,MAX(VLOOKUP(($AJ9-$AI9-$AH9-$AG9-$AF9-$AE9*(1+GQ$3))/$AJ9,Уголь_коэфф!$A:$B,2,1),(GP9-0.05)))</f>
        <v>1</v>
      </c>
      <c r="GR9" s="102">
        <f>MIN(1,MAX(VLOOKUP(($AJ9-$AI9-$AH9-$AG9-$AF9-$AE9*(1+GR$3))/$AJ9,Уголь_коэфф!$A:$B,2,1),(GQ9-0.05)))</f>
        <v>1</v>
      </c>
      <c r="GS9" s="102">
        <f>MIN(1,MAX(VLOOKUP(($AJ9-$AI9-$AH9-$AG9-$AF9-$AE9*(1+GS$3))/$AJ9,Уголь_коэфф!$A:$B,2,1),(GR9-0.05)))</f>
        <v>1</v>
      </c>
      <c r="GT9" s="102">
        <f>MIN(1,MAX(VLOOKUP(($AJ9-$AI9-$AH9-$AG9-$AF9-$AE9*(1+GT$3))/$AJ9,Уголь_коэфф!$A:$B,2,1),(GS9-0.05)))</f>
        <v>1</v>
      </c>
      <c r="GU9" s="102">
        <f>MIN(1,MAX(VLOOKUP(($AJ9-$AI9-$AH9-$AG9-$AF9-$AE9*(1+GU$3))/$AJ9,Уголь_коэфф!$A:$B,2,1),(GT9-0.05)))</f>
        <v>1</v>
      </c>
      <c r="GV9" s="102">
        <f>MIN(1,MAX(VLOOKUP(($AJ9-$AI9-$AH9-$AG9-$AF9-$AE9*(1+GV$3))/$AJ9,Уголь_коэфф!$A:$B,2,1),(GU9-0.05)))</f>
        <v>1</v>
      </c>
      <c r="GW9" s="102">
        <f>MIN(1,MAX(VLOOKUP(($AJ9-$AI9-$AH9-$AG9-$AF9-$AE9*(1+GW$3))/$AJ9,Уголь_коэфф!$A:$B,2,1),(GV9-0.05)))</f>
        <v>1</v>
      </c>
      <c r="GX9" s="102">
        <f>MIN(1,MAX(VLOOKUP(($AJ9-$AI9-$AH9-$AG9-$AF9-$AE9*(1+GX$3))/$AJ9,Уголь_коэфф!$A:$B,2,1),(GW9-0.05)))</f>
        <v>1</v>
      </c>
      <c r="GY9" s="102">
        <f>MIN(1,MAX(VLOOKUP(($AJ9-$AI9-$AH9-$AG9-$AF9-$AE9*(1+GY$3))/$AJ9,Уголь_коэфф!$A:$B,2,1),(GX9-0.05)))</f>
        <v>1</v>
      </c>
      <c r="GZ9" s="102">
        <f>MIN(1,MAX(VLOOKUP(($AJ9-$AI9-$AH9-$AG9-$AF9-$AE9*(1+GZ$3))/$AJ9,Уголь_коэфф!$A:$B,2,1),(GY9-0.05)))</f>
        <v>1</v>
      </c>
      <c r="HA9" s="102">
        <f>MIN(1,MAX(VLOOKUP(($AJ9-$AI9-$AH9-$AG9-$AF9-$AE9*(1+HA$3))/$AJ9,Уголь_коэфф!$A:$B,2,1),(GZ9-0.05)))</f>
        <v>1</v>
      </c>
      <c r="HB9" s="102">
        <f>MIN(1,MAX(VLOOKUP(($AJ9-$AI9-$AH9-$AG9-$AF9-$AE9*(1+HB$3))/$AJ9,Уголь_коэфф!$A:$B,2,1),(HA9-0.05)))</f>
        <v>1</v>
      </c>
      <c r="HC9" s="102">
        <f>MIN(1,MAX(VLOOKUP(($AJ9-$AI9-$AH9-$AG9-$AF9-$AE9*(1+HC$3))/$AJ9,Уголь_коэфф!$A:$B,2,1),(HB9-0.05)))</f>
        <v>1</v>
      </c>
      <c r="HD9" s="102">
        <f>MIN(1,MAX(VLOOKUP(($AJ9-$AI9-$AH9-$AG9-$AF9-$AE9*(1+HD$3))/$AJ9,Уголь_коэфф!$A:$B,2,1),(HC9-0.05)))</f>
        <v>1</v>
      </c>
      <c r="HE9" s="102">
        <f>MIN(1,MAX(VLOOKUP(($AJ9-$AI9-$AH9-$AG9-$AF9-$AE9*(1+HE$3))/$AJ9,Уголь_коэфф!$A:$B,2,1),(HD9-0.05)))</f>
        <v>1</v>
      </c>
      <c r="HF9" s="102">
        <f>MIN(1,MAX(VLOOKUP(($AJ9-$AI9-$AH9-$AG9-$AF9-$AE9*(1+HF$3))/$AJ9,Уголь_коэфф!$A:$B,2,1),(HE9-0.05)))</f>
        <v>1</v>
      </c>
      <c r="HG9" s="102">
        <f>MIN(1,MAX(VLOOKUP(($AJ9-$AI9-$AH9-$AG9-$AF9-$AE9*(1+HG$3))/$AJ9,Уголь_коэфф!$A:$B,2,1),(HF9-0.05)))</f>
        <v>1</v>
      </c>
      <c r="HH9" s="102">
        <f>MIN(1,MAX(VLOOKUP(($AJ9-$AI9-$AH9-$AG9-$AF9-$AE9*(1+HH$3))/$AJ9,Уголь_коэфф!$A:$B,2,1),(HG9-0.05)))</f>
        <v>1</v>
      </c>
      <c r="HI9" s="102">
        <f>MIN(1,MAX(VLOOKUP(($AJ9-$AI9-$AH9-$AG9-$AF9-$AE9*(1+HI$3))/$AJ9,Уголь_коэфф!$A:$B,2,1),(HH9-0.05)))</f>
        <v>1</v>
      </c>
      <c r="HJ9" s="102">
        <f>MIN(1,MAX(VLOOKUP(($AJ9-$AI9-$AH9-$AG9-$AF9-$AE9*(1+HJ$3))/$AJ9,Уголь_коэфф!$A:$B,2,1),(HI9-0.05)))</f>
        <v>1</v>
      </c>
      <c r="HK9" s="102">
        <f>MIN(1,MAX(VLOOKUP(($AJ9-$AI9-$AH9-$AG9-$AF9-$AE9*(1+HK$3))/$AJ9,Уголь_коэфф!$A:$B,2,1),(HJ9-0.05)))</f>
        <v>1</v>
      </c>
      <c r="HL9" s="102">
        <f>MIN(1,MAX(VLOOKUP(($AJ9-$AI9-$AH9-$AG9-$AF9-$AE9*(1+HL$3))/$AJ9,Уголь_коэфф!$A:$B,2,1),(HK9-0.05)))</f>
        <v>1</v>
      </c>
      <c r="HM9" s="102">
        <f>MIN(1,MAX(VLOOKUP(($AJ9-$AI9-$AH9-$AG9-$AF9-$AE9*(1+HM$3))/$AJ9,Уголь_коэфф!$A:$B,2,1),(HL9-0.05)))</f>
        <v>1</v>
      </c>
      <c r="HN9" s="102">
        <f>MIN(1,MAX(VLOOKUP(($AJ9-$AI9-$AH9-$AG9-$AF9-$AE9*(1+HN$3))/$AJ9,Уголь_коэфф!$A:$B,2,1),(HM9-0.05)))</f>
        <v>1</v>
      </c>
      <c r="HO9" s="102">
        <f>MIN(1,MAX(VLOOKUP(($AJ9-$AI9-$AH9-$AG9-$AF9-$AE9*(1+HO$3))/$AJ9,Уголь_коэфф!$A:$B,2,1),(HN9-0.05)))</f>
        <v>1</v>
      </c>
      <c r="HP9" s="102">
        <f>MIN(1,MAX(VLOOKUP(($AJ9-$AI9-$AH9-$AG9-$AF9-$AE9*(1+HP$3))/$AJ9,Уголь_коэфф!$A:$B,2,1),(HO9-0.05)))</f>
        <v>1</v>
      </c>
      <c r="HQ9" s="102">
        <f>MIN(1,MAX(VLOOKUP(($AJ9-$AI9-$AH9-$AG9-$AF9-$AE9*(1+HQ$3))/$AJ9,Уголь_коэфф!$A:$B,2,1),(HP9-0.05)))</f>
        <v>1</v>
      </c>
      <c r="HR9" s="102">
        <f>MIN(1,MAX(VLOOKUP(($AJ9-$AI9-$AH9-$AG9-$AF9-$AE9*(1+HR$3))/$AJ9,Уголь_коэфф!$A:$B,2,1),(HQ9-0.05)))</f>
        <v>1</v>
      </c>
      <c r="HS9" s="102">
        <f>MIN(1,MAX(VLOOKUP(($AJ9-$AI9-$AH9-$AG9-$AF9-$AE9*(1+HS$3))/$AJ9,Уголь_коэфф!$A:$B,2,1),(HR9-0.05)))</f>
        <v>1</v>
      </c>
      <c r="HT9" s="102">
        <f>MIN(1,MAX(VLOOKUP(($AJ9-$AI9-$AH9-$AG9-$AF9-$AE9*(1+HT$3))/$AJ9,Уголь_коэфф!$A:$B,2,1),(HS9-0.05)))</f>
        <v>1</v>
      </c>
      <c r="HU9" s="102">
        <f>MIN(1,MAX(VLOOKUP(($AJ9-$AI9-$AH9-$AG9-$AF9-$AE9*(1+HU$3))/$AJ9,Уголь_коэфф!$A:$B,2,1),(HT9-0.05)))</f>
        <v>1</v>
      </c>
      <c r="HV9" s="102">
        <f>MIN(1,MAX(VLOOKUP(($AJ9-$AI9-$AH9-$AG9-$AF9-$AE9*(1+HV$3))/$AJ9,Уголь_коэфф!$A:$B,2,1),(HU9-0.05)))</f>
        <v>1</v>
      </c>
      <c r="HW9" s="102">
        <f>MIN(1,MAX(VLOOKUP(($AJ9-$AI9-$AH9-$AG9-$AF9-$AE9*(1+HW$3))/$AJ9,Уголь_коэфф!$A:$B,2,1),(HV9-0.05)))</f>
        <v>1</v>
      </c>
      <c r="HX9" s="102">
        <f>MIN(1,MAX(VLOOKUP(($AJ9-$AI9-$AH9-$AG9-$AF9-$AE9*(1+HX$3))/$AJ9,Уголь_коэфф!$A:$B,2,1),(HW9-0.05)))</f>
        <v>1</v>
      </c>
      <c r="HY9" s="102">
        <f>MIN(1,MAX(VLOOKUP(($AJ9-$AI9-$AH9-$AG9-$AF9-$AE9*(1+HY$3))/$AJ9,Уголь_коэфф!$A:$B,2,1),(HX9-0.05)))</f>
        <v>1</v>
      </c>
      <c r="HZ9" s="102">
        <f>MIN(1,MAX(VLOOKUP(($AJ9-$AI9-$AH9-$AG9-$AF9-$AE9*(1+HZ$3))/$AJ9,Уголь_коэфф!$A:$B,2,1),(HY9-0.05)))</f>
        <v>1</v>
      </c>
      <c r="IA9" s="102">
        <f>MIN(1,MAX(VLOOKUP(($AJ9-$AI9-$AH9-$AG9-$AF9-$AE9*(1+IA$3))/$AJ9,Уголь_коэфф!$A:$B,2,1),(HZ9-0.05)))</f>
        <v>1</v>
      </c>
      <c r="IB9" s="102">
        <f>MIN(1,MAX(VLOOKUP(($AJ9-$AI9-$AH9-$AG9-$AF9-$AE9*(1+IB$3))/$AJ9,Уголь_коэфф!$A:$B,2,1),(IA9-0.05)))</f>
        <v>1</v>
      </c>
      <c r="IC9" s="102">
        <f>MIN(1,MAX(VLOOKUP(($AJ9-$AI9-$AH9-$AG9-$AF9-$AE9*(1+IC$3))/$AJ9,Уголь_коэфф!$A:$B,2,1),(IB9-0.05)))</f>
        <v>1</v>
      </c>
      <c r="ID9" s="102">
        <f>MIN(1,MAX(VLOOKUP(($AJ9-$AI9-$AH9-$AG9-$AF9-$AE9*(1+ID$3))/$AJ9,Уголь_коэфф!$A:$B,2,1),(IC9-0.05)))</f>
        <v>1</v>
      </c>
      <c r="IE9" s="102">
        <f>MIN(1,MAX(VLOOKUP(($AJ9-$AI9-$AH9-$AG9-$AF9-$AE9*(1+IE$3))/$AJ9,Уголь_коэфф!$A:$B,2,1),(ID9-0.05)))</f>
        <v>1</v>
      </c>
      <c r="IF9" s="102">
        <f>MIN(1,MAX(VLOOKUP(($AJ9-$AI9-$AH9-$AG9-$AF9-$AE9*(1+IF$3))/$AJ9,Уголь_коэфф!$A:$B,2,1),(IE9-0.05)))</f>
        <v>1</v>
      </c>
      <c r="IG9" s="102">
        <f>MIN(1,MAX(VLOOKUP(($AJ9-$AI9-$AH9-$AG9-$AF9-$AE9*(1+IG$3))/$AJ9,Уголь_коэфф!$A:$B,2,1),(IF9-0.05)))</f>
        <v>1</v>
      </c>
      <c r="IH9" s="102">
        <f>MIN(1,MAX(VLOOKUP(($AJ9-$AI9-$AH9-$AG9-$AF9-$AE9*(1+IH$3))/$AJ9,Уголь_коэфф!$A:$B,2,1),(IG9-0.05)))</f>
        <v>1</v>
      </c>
      <c r="II9" s="102">
        <f>MIN(1,MAX(VLOOKUP(($AJ9-$AI9-$AH9-$AG9-$AF9-$AE9*(1+II$3))/$AJ9,Уголь_коэфф!$A:$B,2,1),(IH9-0.05)))</f>
        <v>1</v>
      </c>
      <c r="IJ9" s="102">
        <f>MIN(1,MAX(VLOOKUP(($AJ9-$AI9-$AH9-$AG9-$AF9-$AE9*(1+IJ$3))/$AJ9,Уголь_коэфф!$A:$B,2,1),(II9-0.05)))</f>
        <v>1</v>
      </c>
      <c r="IK9" s="102">
        <f>MIN(1,MAX(VLOOKUP(($AJ9-$AI9-$AH9-$AG9-$AF9-$AE9*(1+IK$3))/$AJ9,Уголь_коэфф!$A:$B,2,1),(IJ9-0.05)))</f>
        <v>1</v>
      </c>
      <c r="IL9" s="102">
        <f>MIN(1,MAX(VLOOKUP(($AJ9-$AI9-$AH9-$AG9-$AF9-$AE9*(1+IL$3))/$AJ9,Уголь_коэфф!$A:$B,2,1),(IK9-0.05)))</f>
        <v>1</v>
      </c>
      <c r="IM9" s="102">
        <f>MIN(1,MAX(VLOOKUP(($AJ9-$AI9-$AH9-$AG9-$AF9-$AE9*(1+IM$3))/$AJ9,Уголь_коэфф!$A:$B,2,1),(IL9-0.05)))</f>
        <v>1</v>
      </c>
      <c r="IN9" s="102">
        <f>MIN(1,MAX(VLOOKUP(($AJ9-$AI9-$AH9-$AG9-$AF9-$AE9*(1+IN$3))/$AJ9,Уголь_коэфф!$A:$B,2,1),(IM9-0.05)))</f>
        <v>1</v>
      </c>
      <c r="IO9" s="102">
        <f>MIN(1,MAX(VLOOKUP(($AJ9-$AI9-$AH9-$AG9-$AF9-$AE9*(1+IO$3))/$AJ9,Уголь_коэфф!$A:$B,2,1),(IN9-0.05)))</f>
        <v>1</v>
      </c>
      <c r="IP9" s="102">
        <f>MIN(1,MAX(VLOOKUP(($AJ9-$AI9-$AH9-$AG9-$AF9-$AE9*(1+IP$3))/$AJ9,Уголь_коэфф!$A:$B,2,1),(IO9-0.05)))</f>
        <v>1</v>
      </c>
      <c r="IQ9" s="102">
        <f>MIN(1,MAX(VLOOKUP(($AJ9-$AI9-$AH9-$AG9-$AF9-$AE9*(1+IQ$3))/$AJ9,Уголь_коэфф!$A:$B,2,1),(IP9-0.05)))</f>
        <v>1</v>
      </c>
      <c r="IR9" s="102">
        <f>MIN(1,MAX(VLOOKUP(($AJ9-$AI9-$AH9-$AG9-$AF9-$AE9*(1+IR$3))/$AJ9,Уголь_коэфф!$A:$B,2,1),(IQ9-0.05)))</f>
        <v>1</v>
      </c>
      <c r="IS9" s="102">
        <f t="shared" si="20"/>
        <v>1</v>
      </c>
      <c r="IT9" s="102">
        <f t="shared" si="7"/>
        <v>1</v>
      </c>
      <c r="IU9" s="110"/>
    </row>
    <row r="10" spans="1:266" ht="14.7" customHeight="1">
      <c r="A10" t="s">
        <v>239</v>
      </c>
      <c r="B10" s="149">
        <v>1</v>
      </c>
      <c r="C10" s="150" t="s">
        <v>16</v>
      </c>
      <c r="D10" s="151">
        <v>16118</v>
      </c>
      <c r="E10" s="151" t="s">
        <v>65</v>
      </c>
      <c r="F10" s="150" t="s">
        <v>18</v>
      </c>
      <c r="G10" s="151" t="s">
        <v>45</v>
      </c>
      <c r="H10" s="151" t="s">
        <v>19</v>
      </c>
      <c r="I10" s="151" t="s">
        <v>66</v>
      </c>
      <c r="J10" s="151" t="s">
        <v>67</v>
      </c>
      <c r="K10" s="151">
        <v>5976</v>
      </c>
      <c r="L10" s="151" t="s">
        <v>22</v>
      </c>
      <c r="M10" s="151" t="s">
        <v>23</v>
      </c>
      <c r="N10" s="151" t="s">
        <v>24</v>
      </c>
      <c r="O10" s="151" t="s">
        <v>25</v>
      </c>
      <c r="P10" s="152">
        <v>82365518</v>
      </c>
      <c r="Q10" s="152" t="s">
        <v>68</v>
      </c>
      <c r="R10" s="151" t="s">
        <v>69</v>
      </c>
      <c r="S10" s="153">
        <v>1782028</v>
      </c>
      <c r="T10" s="154">
        <v>10648684516</v>
      </c>
      <c r="U10" s="154">
        <v>23883</v>
      </c>
      <c r="V10" s="154"/>
      <c r="W10" s="155">
        <v>3937998980</v>
      </c>
      <c r="X10" s="104">
        <v>75</v>
      </c>
      <c r="Y10" s="104" t="s">
        <v>163</v>
      </c>
      <c r="Z10" s="107">
        <v>13</v>
      </c>
      <c r="AA10" s="107">
        <v>14</v>
      </c>
      <c r="AB10" s="107">
        <v>4</v>
      </c>
      <c r="AC10" s="88">
        <v>2442.4699999999998</v>
      </c>
      <c r="AD10" s="88">
        <v>1120.5700000000002</v>
      </c>
      <c r="AE10" s="88">
        <f t="shared" ref="AE10:AE12" si="22">AC10+AD10</f>
        <v>3563.04</v>
      </c>
      <c r="AF10" s="89">
        <f>'Цены,перевалка,аренда'!$C$26*SUM(Уголь_эластика_экспорт!Z10+Уголь_эластика_экспорт!AA10+Уголь_эластика_экспорт!AB10)/Уголь_эластика_экспорт!X10</f>
        <v>413.33333333333331</v>
      </c>
      <c r="AG10" s="90">
        <f>SUMIF('Цены,перевалка,аренда'!$A$20:$A$22,Уголь_эластика_экспорт!$O10,'Цены,перевалка,аренда'!$D$20:$D$22)</f>
        <v>763.05499999999995</v>
      </c>
      <c r="AH10" s="47"/>
      <c r="AI10" s="91">
        <v>2736</v>
      </c>
      <c r="AJ10" s="92">
        <f>SUMIF('Цены,перевалка,аренда'!$A$5:$A$17,Уголь_эластика_экспорт!A10,'Цены,перевалка,аренда'!$D$5:$D$17)</f>
        <v>8546.2160000000003</v>
      </c>
      <c r="AK10" s="47">
        <f>AJ10/'Цены,перевалка,аренда'!$C$1</f>
        <v>112.00000000000001</v>
      </c>
      <c r="AL10" s="47">
        <f t="shared" si="9"/>
        <v>4739.4283333333333</v>
      </c>
      <c r="AM10" s="47">
        <f t="shared" si="10"/>
        <v>3806.7876666666671</v>
      </c>
      <c r="AN10" s="47">
        <f t="shared" si="11"/>
        <v>7475.4283333333333</v>
      </c>
      <c r="AO10" s="93">
        <f t="shared" si="12"/>
        <v>0.12529377524119062</v>
      </c>
      <c r="AP10" s="94">
        <f t="shared" si="13"/>
        <v>0.5545645386605409</v>
      </c>
      <c r="AQ10" s="94">
        <f t="shared" si="5"/>
        <v>0.41691433963288543</v>
      </c>
      <c r="AR10" s="94">
        <f t="shared" si="6"/>
        <v>0.75178687162340607</v>
      </c>
      <c r="AS10" s="167">
        <f t="shared" si="14"/>
        <v>1</v>
      </c>
      <c r="AT10" s="173">
        <f t="shared" si="15"/>
        <v>1782028</v>
      </c>
      <c r="AU10" s="97">
        <v>0.9</v>
      </c>
      <c r="AV10" s="93">
        <f t="shared" si="16"/>
        <v>7.5264054485244231E-2</v>
      </c>
      <c r="AW10" s="94">
        <f t="shared" si="17"/>
        <v>0.60459425941648726</v>
      </c>
      <c r="AX10" s="94">
        <f t="shared" si="18"/>
        <v>0.46694406038883179</v>
      </c>
      <c r="AY10" s="94">
        <f t="shared" si="19"/>
        <v>0.77232632152262581</v>
      </c>
      <c r="AZ10" s="102">
        <f>MIN(IF($AU10=100%,1,1+VLOOKUP(($AJ10-$AI10-$AH10-$AG10-$AF10-$AE10*(1+AZ$3))/$AJ10,Уголь_коэфф!$A:$B,2,1)-VLOOKUP($AO10,Уголь_коэфф!$A:$B,2,1)),1+(1-$AU10))</f>
        <v>1.1000000000000001</v>
      </c>
      <c r="BA10" s="102">
        <f>MIN(IF($AU10=100%,1,1+VLOOKUP(($AJ10-$AI10-$AH10-$AG10-$AF10-$AE10*(1+BA$3))/$AJ10,Уголь_коэфф!$A:$B,2,1)-VLOOKUP($AO10,Уголь_коэфф!$A:$B,2,1)),1+(1-$AU10))</f>
        <v>1.1000000000000001</v>
      </c>
      <c r="BB10" s="102">
        <f>MIN(IF($AU10=100%,1,1+VLOOKUP(($AJ10-$AI10-$AH10-$AG10-$AF10-$AE10*(1+BB$3))/$AJ10,Уголь_коэфф!$A:$B,2,1)-VLOOKUP($AO10,Уголь_коэфф!$A:$B,2,1)),1+(1-$AU10))</f>
        <v>1.1000000000000001</v>
      </c>
      <c r="BC10" s="102">
        <f>MIN(IF($AU10=100%,1,1+VLOOKUP(($AJ10-$AI10-$AH10-$AG10-$AF10-$AE10*(1+BC$3))/$AJ10,Уголь_коэфф!$A:$B,2,1)-VLOOKUP($AO10,Уголь_коэфф!$A:$B,2,1)),1+(1-$AU10))</f>
        <v>1.1000000000000001</v>
      </c>
      <c r="BD10" s="102">
        <f>MIN(IF($AU10=100%,1,1+VLOOKUP(($AJ10-$AI10-$AH10-$AG10-$AF10-$AE10*(1+BD$3))/$AJ10,Уголь_коэфф!$A:$B,2,1)-VLOOKUP($AO10,Уголь_коэфф!$A:$B,2,1)),1+(1-$AU10))</f>
        <v>1.1000000000000001</v>
      </c>
      <c r="BE10" s="102">
        <f>MIN(IF($AU10=100%,1,1+VLOOKUP(($AJ10-$AI10-$AH10-$AG10-$AF10-$AE10*(1+BE$3))/$AJ10,Уголь_коэфф!$A:$B,2,1)-VLOOKUP($AO10,Уголь_коэфф!$A:$B,2,1)),1+(1-$AU10))</f>
        <v>1.1000000000000001</v>
      </c>
      <c r="BF10" s="102">
        <f>MIN(IF($AU10=100%,1,1+VLOOKUP(($AJ10-$AI10-$AH10-$AG10-$AF10-$AE10*(1+BF$3))/$AJ10,Уголь_коэфф!$A:$B,2,1)-VLOOKUP($AO10,Уголь_коэфф!$A:$B,2,1)),1+(1-$AU10))</f>
        <v>1.1000000000000001</v>
      </c>
      <c r="BG10" s="102">
        <f>MIN(IF($AU10=100%,1,1+VLOOKUP(($AJ10-$AI10-$AH10-$AG10-$AF10-$AE10*(1+BG$3))/$AJ10,Уголь_коэфф!$A:$B,2,1)-VLOOKUP($AO10,Уголь_коэфф!$A:$B,2,1)),1+(1-$AU10))</f>
        <v>1.1000000000000001</v>
      </c>
      <c r="BH10" s="102">
        <f>MIN(IF($AU10=100%,1,1+VLOOKUP(($AJ10-$AI10-$AH10-$AG10-$AF10-$AE10*(1+BH$3))/$AJ10,Уголь_коэфф!$A:$B,2,1)-VLOOKUP($AO10,Уголь_коэфф!$A:$B,2,1)),1+(1-$AU10))</f>
        <v>1.1000000000000001</v>
      </c>
      <c r="BI10" s="102">
        <f>MIN(IF($AU10=100%,1,1+VLOOKUP(($AJ10-$AI10-$AH10-$AG10-$AF10-$AE10*(1+BI$3))/$AJ10,Уголь_коэфф!$A:$B,2,1)-VLOOKUP($AO10,Уголь_коэфф!$A:$B,2,1)),1+(1-$AU10))</f>
        <v>1.1000000000000001</v>
      </c>
      <c r="BJ10" s="102">
        <f>MIN(IF($AU10=100%,1,1+VLOOKUP(($AJ10-$AI10-$AH10-$AG10-$AF10-$AE10*(1+BJ$3))/$AJ10,Уголь_коэфф!$A:$B,2,1)-VLOOKUP($AO10,Уголь_коэфф!$A:$B,2,1)),1+(1-$AU10))</f>
        <v>1.1000000000000001</v>
      </c>
      <c r="BK10" s="102">
        <f>MIN(IF($AU10=100%,1,1+VLOOKUP(($AJ10-$AI10-$AH10-$AG10-$AF10-$AE10*(1+BK$3))/$AJ10,Уголь_коэфф!$A:$B,2,1)-VLOOKUP($AO10,Уголь_коэфф!$A:$B,2,1)),1+(1-$AU10))</f>
        <v>1.1000000000000001</v>
      </c>
      <c r="BL10" s="102">
        <f>MIN(IF($AU10=100%,1,1+VLOOKUP(($AJ10-$AI10-$AH10-$AG10-$AF10-$AE10*(1+BL$3))/$AJ10,Уголь_коэфф!$A:$B,2,1)-VLOOKUP($AO10,Уголь_коэфф!$A:$B,2,1)),1+(1-$AU10))</f>
        <v>1.1000000000000001</v>
      </c>
      <c r="BM10" s="102">
        <f>MIN(IF($AU10=100%,1,1+VLOOKUP(($AJ10-$AI10-$AH10-$AG10-$AF10-$AE10*(1+BM$3))/$AJ10,Уголь_коэфф!$A:$B,2,1)-VLOOKUP($AO10,Уголь_коэфф!$A:$B,2,1)),1+(1-$AU10))</f>
        <v>1.1000000000000001</v>
      </c>
      <c r="BN10" s="102">
        <f>MIN(IF($AU10=100%,1,1+VLOOKUP(($AJ10-$AI10-$AH10-$AG10-$AF10-$AE10*(1+BN$3))/$AJ10,Уголь_коэфф!$A:$B,2,1)-VLOOKUP($AO10,Уголь_коэфф!$A:$B,2,1)),1+(1-$AU10))</f>
        <v>1.1000000000000001</v>
      </c>
      <c r="BO10" s="102">
        <f>MIN(IF($AU10=100%,1,1+VLOOKUP(($AJ10-$AI10-$AH10-$AG10-$AF10-$AE10*(1+BO$3))/$AJ10,Уголь_коэфф!$A:$B,2,1)-VLOOKUP($AO10,Уголь_коэфф!$A:$B,2,1)),1+(1-$AU10))</f>
        <v>1.1000000000000001</v>
      </c>
      <c r="BP10" s="102">
        <f>MIN(IF($AU10=100%,1,1+VLOOKUP(($AJ10-$AI10-$AH10-$AG10-$AF10-$AE10*(1+BP$3))/$AJ10,Уголь_коэфф!$A:$B,2,1)-VLOOKUP($AO10,Уголь_коэфф!$A:$B,2,1)),1+(1-$AU10))</f>
        <v>1.1000000000000001</v>
      </c>
      <c r="BQ10" s="102">
        <f>MIN(IF($AU10=100%,1,1+VLOOKUP(($AJ10-$AI10-$AH10-$AG10-$AF10-$AE10*(1+BQ$3))/$AJ10,Уголь_коэфф!$A:$B,2,1)-VLOOKUP($AO10,Уголь_коэфф!$A:$B,2,1)),1+(1-$AU10))</f>
        <v>1.0959999999999999</v>
      </c>
      <c r="BR10" s="102">
        <f>MIN(IF($AU10=100%,1,1+VLOOKUP(($AJ10-$AI10-$AH10-$AG10-$AF10-$AE10*(1+BR$3))/$AJ10,Уголь_коэфф!$A:$B,2,1)-VLOOKUP($AO10,Уголь_коэфф!$A:$B,2,1)),1+(1-$AU10))</f>
        <v>1.0959999999999999</v>
      </c>
      <c r="BS10" s="102">
        <f>MIN(IF($AU10=100%,1,1+VLOOKUP(($AJ10-$AI10-$AH10-$AG10-$AF10-$AE10*(1+BS$3))/$AJ10,Уголь_коэфф!$A:$B,2,1)-VLOOKUP($AO10,Уголь_коэфф!$A:$B,2,1)),1+(1-$AU10))</f>
        <v>1.0959999999999999</v>
      </c>
      <c r="BT10" s="102">
        <f>MIN(IF($AU10=100%,1,1+VLOOKUP(($AJ10-$AI10-$AH10-$AG10-$AF10-$AE10*(1+BT$3))/$AJ10,Уголь_коэфф!$A:$B,2,1)-VLOOKUP($AO10,Уголь_коэфф!$A:$B,2,1)),1+(1-$AU10))</f>
        <v>1.0959999999999999</v>
      </c>
      <c r="BU10" s="102">
        <f>MIN(IF($AU10=100%,1,1+VLOOKUP(($AJ10-$AI10-$AH10-$AG10-$AF10-$AE10*(1+BU$3))/$AJ10,Уголь_коэфф!$A:$B,2,1)-VLOOKUP($AO10,Уголь_коэфф!$A:$B,2,1)),1+(1-$AU10))</f>
        <v>1.0899999999999996</v>
      </c>
      <c r="BV10" s="102">
        <f>MIN(IF($AU10=100%,1,1+VLOOKUP(($AJ10-$AI10-$AH10-$AG10-$AF10-$AE10*(1+BV$3))/$AJ10,Уголь_коэфф!$A:$B,2,1)-VLOOKUP($AO10,Уголь_коэфф!$A:$B,2,1)),1+(1-$AU10))</f>
        <v>1.0899999999999996</v>
      </c>
      <c r="BW10" s="102">
        <f>MIN(IF($AU10=100%,1,1+VLOOKUP(($AJ10-$AI10-$AH10-$AG10-$AF10-$AE10*(1+BW$3))/$AJ10,Уголь_коэфф!$A:$B,2,1)-VLOOKUP($AO10,Уголь_коэфф!$A:$B,2,1)),1+(1-$AU10))</f>
        <v>1.0899999999999996</v>
      </c>
      <c r="BX10" s="102">
        <f>MIN(IF($AU10=100%,1,1+VLOOKUP(($AJ10-$AI10-$AH10-$AG10-$AF10-$AE10*(1+BX$3))/$AJ10,Уголь_коэфф!$A:$B,2,1)-VLOOKUP($AO10,Уголь_коэфф!$A:$B,2,1)),1+(1-$AU10))</f>
        <v>1.0899999999999996</v>
      </c>
      <c r="BY10" s="102">
        <f>MIN(IF($AU10=100%,1,1+VLOOKUP(($AJ10-$AI10-$AH10-$AG10-$AF10-$AE10*(1+BY$3))/$AJ10,Уголь_коэфф!$A:$B,2,1)-VLOOKUP($AO10,Уголь_коэфф!$A:$B,2,1)),1+(1-$AU10))</f>
        <v>1.0899999999999996</v>
      </c>
      <c r="BZ10" s="102">
        <f>MIN(IF($AU10=100%,1,1+VLOOKUP(($AJ10-$AI10-$AH10-$AG10-$AF10-$AE10*(1+BZ$3))/$AJ10,Уголь_коэфф!$A:$B,2,1)-VLOOKUP($AO10,Уголь_коэфф!$A:$B,2,1)),1+(1-$AU10))</f>
        <v>1.0839999999999999</v>
      </c>
      <c r="CA10" s="102">
        <f>MIN(IF($AU10=100%,1,1+VLOOKUP(($AJ10-$AI10-$AH10-$AG10-$AF10-$AE10*(1+CA$3))/$AJ10,Уголь_коэфф!$A:$B,2,1)-VLOOKUP($AO10,Уголь_коэфф!$A:$B,2,1)),1+(1-$AU10))</f>
        <v>1.0839999999999999</v>
      </c>
      <c r="CB10" s="102">
        <f>MIN(IF($AU10=100%,1,1+VLOOKUP(($AJ10-$AI10-$AH10-$AG10-$AF10-$AE10*(1+CB$3))/$AJ10,Уголь_коэфф!$A:$B,2,1)-VLOOKUP($AO10,Уголь_коэфф!$A:$B,2,1)),1+(1-$AU10))</f>
        <v>1.0839999999999999</v>
      </c>
      <c r="CC10" s="102">
        <f>MIN(IF($AU10=100%,1,1+VLOOKUP(($AJ10-$AI10-$AH10-$AG10-$AF10-$AE10*(1+CC$3))/$AJ10,Уголь_коэфф!$A:$B,2,1)-VLOOKUP($AO10,Уголь_коэфф!$A:$B,2,1)),1+(1-$AU10))</f>
        <v>1.0839999999999999</v>
      </c>
      <c r="CD10" s="102">
        <f>MIN(IF($AU10=100%,1,1+VLOOKUP(($AJ10-$AI10-$AH10-$AG10-$AF10-$AE10*(1+CD$3))/$AJ10,Уголь_коэфф!$A:$B,2,1)-VLOOKUP($AO10,Уголь_коэфф!$A:$B,2,1)),1+(1-$AU10))</f>
        <v>1.0839999999999999</v>
      </c>
      <c r="CE10" s="102">
        <f>MIN(IF($AU10=100%,1,1+VLOOKUP(($AJ10-$AI10-$AH10-$AG10-$AF10-$AE10*(1+CE$3))/$AJ10,Уголь_коэфф!$A:$B,2,1)-VLOOKUP($AO10,Уголь_коэфф!$A:$B,2,1)),1+(1-$AU10))</f>
        <v>1.0780000000000001</v>
      </c>
      <c r="CF10" s="102">
        <f>MIN(IF($AU10=100%,1,1+VLOOKUP(($AJ10-$AI10-$AH10-$AG10-$AF10-$AE10*(1+CF$3))/$AJ10,Уголь_коэфф!$A:$B,2,1)-VLOOKUP($AO10,Уголь_коэфф!$A:$B,2,1)),1+(1-$AU10))</f>
        <v>1.0780000000000001</v>
      </c>
      <c r="CG10" s="102">
        <f>MIN(IF($AU10=100%,1,1+VLOOKUP(($AJ10-$AI10-$AH10-$AG10-$AF10-$AE10*(1+CG$3))/$AJ10,Уголь_коэфф!$A:$B,2,1)-VLOOKUP($AO10,Уголь_коэфф!$A:$B,2,1)),1+(1-$AU10))</f>
        <v>1.0780000000000001</v>
      </c>
      <c r="CH10" s="102">
        <f>MIN(IF($AU10=100%,1,1+VLOOKUP(($AJ10-$AI10-$AH10-$AG10-$AF10-$AE10*(1+CH$3))/$AJ10,Уголь_коэфф!$A:$B,2,1)-VLOOKUP($AO10,Уголь_коэфф!$A:$B,2,1)),1+(1-$AU10))</f>
        <v>1.0780000000000001</v>
      </c>
      <c r="CI10" s="102">
        <f>MIN(IF($AU10=100%,1,1+VLOOKUP(($AJ10-$AI10-$AH10-$AG10-$AF10-$AE10*(1+CI$3))/$AJ10,Уголь_коэфф!$A:$B,2,1)-VLOOKUP($AO10,Уголь_коэфф!$A:$B,2,1)),1+(1-$AU10))</f>
        <v>1.0780000000000001</v>
      </c>
      <c r="CJ10" s="102">
        <f>MIN(IF($AU10=100%,1,1+VLOOKUP(($AJ10-$AI10-$AH10-$AG10-$AF10-$AE10*(1+CJ$3))/$AJ10,Уголь_коэфф!$A:$B,2,1)-VLOOKUP($AO10,Уголь_коэфф!$A:$B,2,1)),1+(1-$AU10))</f>
        <v>1.0719999999999998</v>
      </c>
      <c r="CK10" s="102">
        <f>MIN(IF($AU10=100%,1,1+VLOOKUP(($AJ10-$AI10-$AH10-$AG10-$AF10-$AE10*(1+CK$3))/$AJ10,Уголь_коэфф!$A:$B,2,1)-VLOOKUP($AO10,Уголь_коэфф!$A:$B,2,1)),1+(1-$AU10))</f>
        <v>1.0719999999999998</v>
      </c>
      <c r="CL10" s="102">
        <f>MIN(IF($AU10=100%,1,1+VLOOKUP(($AJ10-$AI10-$AH10-$AG10-$AF10-$AE10*(1+CL$3))/$AJ10,Уголь_коэфф!$A:$B,2,1)-VLOOKUP($AO10,Уголь_коэфф!$A:$B,2,1)),1+(1-$AU10))</f>
        <v>1.0719999999999998</v>
      </c>
      <c r="CM10" s="102">
        <f>MIN(IF($AU10=100%,1,1+VLOOKUP(($AJ10-$AI10-$AH10-$AG10-$AF10-$AE10*(1+CM$3))/$AJ10,Уголь_коэфф!$A:$B,2,1)-VLOOKUP($AO10,Уголь_коэфф!$A:$B,2,1)),1+(1-$AU10))</f>
        <v>1.0719999999999998</v>
      </c>
      <c r="CN10" s="102">
        <f>MIN(IF($AU10=100%,1,1+VLOOKUP(($AJ10-$AI10-$AH10-$AG10-$AF10-$AE10*(1+CN$3))/$AJ10,Уголь_коэфф!$A:$B,2,1)-VLOOKUP($AO10,Уголь_коэфф!$A:$B,2,1)),1+(1-$AU10))</f>
        <v>1.0719999999999998</v>
      </c>
      <c r="CO10" s="102">
        <f>MIN(IF($AU10=100%,1,1+VLOOKUP(($AJ10-$AI10-$AH10-$AG10-$AF10-$AE10*(1+CO$3))/$AJ10,Уголь_коэфф!$A:$B,2,1)-VLOOKUP($AO10,Уголь_коэфф!$A:$B,2,1)),1+(1-$AU10))</f>
        <v>1.0660000000000001</v>
      </c>
      <c r="CP10" s="102">
        <f>MIN(IF($AU10=100%,1,1+VLOOKUP(($AJ10-$AI10-$AH10-$AG10-$AF10-$AE10*(1+CP$3))/$AJ10,Уголь_коэфф!$A:$B,2,1)-VLOOKUP($AO10,Уголь_коэфф!$A:$B,2,1)),1+(1-$AU10))</f>
        <v>1.0660000000000001</v>
      </c>
      <c r="CQ10" s="102">
        <f>MIN(IF($AU10=100%,1,1+VLOOKUP(($AJ10-$AI10-$AH10-$AG10-$AF10-$AE10*(1+CQ$3))/$AJ10,Уголь_коэфф!$A:$B,2,1)-VLOOKUP($AO10,Уголь_коэфф!$A:$B,2,1)),1+(1-$AU10))</f>
        <v>1.0660000000000001</v>
      </c>
      <c r="CR10" s="102">
        <f>MIN(IF($AU10=100%,1,1+VLOOKUP(($AJ10-$AI10-$AH10-$AG10-$AF10-$AE10*(1+CR$3))/$AJ10,Уголь_коэфф!$A:$B,2,1)-VLOOKUP($AO10,Уголь_коэфф!$A:$B,2,1)),1+(1-$AU10))</f>
        <v>1.0660000000000001</v>
      </c>
      <c r="CS10" s="102">
        <f>MIN(IF($AU10=100%,1,1+VLOOKUP(($AJ10-$AI10-$AH10-$AG10-$AF10-$AE10*(1+CS$3))/$AJ10,Уголь_коэфф!$A:$B,2,1)-VLOOKUP($AO10,Уголь_коэфф!$A:$B,2,1)),1+(1-$AU10))</f>
        <v>1.0600000000000003</v>
      </c>
      <c r="CT10" s="102">
        <f>MIN(IF($AU10=100%,1,1+VLOOKUP(($AJ10-$AI10-$AH10-$AG10-$AF10-$AE10*(1+CT$3))/$AJ10,Уголь_коэфф!$A:$B,2,1)-VLOOKUP($AO10,Уголь_коэфф!$A:$B,2,1)),1+(1-$AU10))</f>
        <v>1.0600000000000003</v>
      </c>
      <c r="CU10" s="102">
        <f>MIN(IF($AU10=100%,1,1+VLOOKUP(($AJ10-$AI10-$AH10-$AG10-$AF10-$AE10*(1+CU$3))/$AJ10,Уголь_коэфф!$A:$B,2,1)-VLOOKUP($AO10,Уголь_коэфф!$A:$B,2,1)),1+(1-$AU10))</f>
        <v>1.0600000000000003</v>
      </c>
      <c r="CV10" s="102">
        <f>MIN(IF($AU10=100%,1,1+VLOOKUP(($AJ10-$AI10-$AH10-$AG10-$AF10-$AE10*(1+CV$3))/$AJ10,Уголь_коэфф!$A:$B,2,1)-VLOOKUP($AO10,Уголь_коэфф!$A:$B,2,1)),1+(1-$AU10))</f>
        <v>1.0600000000000003</v>
      </c>
      <c r="CW10" s="102">
        <f>MIN(IF($AU10=100%,1,1+VLOOKUP(($AJ10-$AI10-$AH10-$AG10-$AF10-$AE10*(1+CW$3))/$AJ10,Уголь_коэфф!$A:$B,2,1)-VLOOKUP($AO10,Уголь_коэфф!$A:$B,2,1)),1+(1-$AU10))</f>
        <v>1.0600000000000003</v>
      </c>
      <c r="CX10" s="102">
        <f>MIN(IF($AU10=100%,1,1+VLOOKUP(($AJ10-$AI10-$AH10-$AG10-$AF10-$AE10*(1+CX$3))/$AJ10,Уголь_коэфф!$A:$B,2,1)-VLOOKUP($AO10,Уголь_коэфф!$A:$B,2,1)),1+(1-$AU10))</f>
        <v>1.054</v>
      </c>
      <c r="CY10" s="102">
        <f>MIN(IF($AU10=100%,1,1+VLOOKUP(($AJ10-$AI10-$AH10-$AG10-$AF10-$AE10*(1+CY$3))/$AJ10,Уголь_коэфф!$A:$B,2,1)-VLOOKUP($AO10,Уголь_коэфф!$A:$B,2,1)),1+(1-$AU10))</f>
        <v>1.054</v>
      </c>
      <c r="CZ10" s="102">
        <f>MIN(IF($AU10=100%,1,1+VLOOKUP(($AJ10-$AI10-$AH10-$AG10-$AF10-$AE10*(1+CZ$3))/$AJ10,Уголь_коэфф!$A:$B,2,1)-VLOOKUP($AO10,Уголь_коэфф!$A:$B,2,1)),1+(1-$AU10))</f>
        <v>1.054</v>
      </c>
      <c r="DA10" s="102">
        <f>MIN(IF($AU10=100%,1,1+VLOOKUP(($AJ10-$AI10-$AH10-$AG10-$AF10-$AE10*(1+DA$3))/$AJ10,Уголь_коэфф!$A:$B,2,1)-VLOOKUP($AO10,Уголь_коэфф!$A:$B,2,1)),1+(1-$AU10))</f>
        <v>1.054</v>
      </c>
      <c r="DB10" s="102">
        <f>MIN(IF($AU10=100%,1,1+VLOOKUP(($AJ10-$AI10-$AH10-$AG10-$AF10-$AE10*(1+DB$3))/$AJ10,Уголь_коэфф!$A:$B,2,1)-VLOOKUP($AO10,Уголь_коэфф!$A:$B,2,1)),1+(1-$AU10))</f>
        <v>1.054</v>
      </c>
      <c r="DC10" s="102">
        <f>MIN(IF($AU10=100%,1,1+VLOOKUP(($AJ10-$AI10-$AH10-$AG10-$AF10-$AE10*(1+DC$3))/$AJ10,Уголь_коэфф!$A:$B,2,1)-VLOOKUP($AO10,Уголь_коэфф!$A:$B,2,1)),1+(1-$AU10))</f>
        <v>1.0479999999999998</v>
      </c>
      <c r="DD10" s="102">
        <f>MIN(IF($AU10=100%,1,1+VLOOKUP(($AJ10-$AI10-$AH10-$AG10-$AF10-$AE10*(1+DD$3))/$AJ10,Уголь_коэфф!$A:$B,2,1)-VLOOKUP($AO10,Уголь_коэфф!$A:$B,2,1)),1+(1-$AU10))</f>
        <v>1.0479999999999998</v>
      </c>
      <c r="DE10" s="102">
        <f>MIN(IF($AU10=100%,1,1+VLOOKUP(($AJ10-$AI10-$AH10-$AG10-$AF10-$AE10*(1+DE$3))/$AJ10,Уголь_коэфф!$A:$B,2,1)-VLOOKUP($AO10,Уголь_коэфф!$A:$B,2,1)),1+(1-$AU10))</f>
        <v>1.0479999999999998</v>
      </c>
      <c r="DF10" s="102">
        <f>MIN(IF($AU10=100%,1,1+VLOOKUP(($AJ10-$AI10-$AH10-$AG10-$AF10-$AE10*(1+DF$3))/$AJ10,Уголь_коэфф!$A:$B,2,1)-VLOOKUP($AO10,Уголь_коэфф!$A:$B,2,1)),1+(1-$AU10))</f>
        <v>1.0479999999999998</v>
      </c>
      <c r="DG10" s="102">
        <f>MIN(IF($AU10=100%,1,1+VLOOKUP(($AJ10-$AI10-$AH10-$AG10-$AF10-$AE10*(1+DG$3))/$AJ10,Уголь_коэфф!$A:$B,2,1)-VLOOKUP($AO10,Уголь_коэфф!$A:$B,2,1)),1+(1-$AU10))</f>
        <v>1.0479999999999998</v>
      </c>
      <c r="DH10" s="102">
        <f>MIN(IF($AU10=100%,1,1+VLOOKUP(($AJ10-$AI10-$AH10-$AG10-$AF10-$AE10*(1+DH$3))/$AJ10,Уголь_коэфф!$A:$B,2,1)-VLOOKUP($AO10,Уголь_коэфф!$A:$B,2,1)),1+(1-$AU10))</f>
        <v>1.042</v>
      </c>
      <c r="DI10" s="102">
        <f>MIN(IF($AU10=100%,1,1+VLOOKUP(($AJ10-$AI10-$AH10-$AG10-$AF10-$AE10*(1+DI$3))/$AJ10,Уголь_коэфф!$A:$B,2,1)-VLOOKUP($AO10,Уголь_коэфф!$A:$B,2,1)),1+(1-$AU10))</f>
        <v>1.042</v>
      </c>
      <c r="DJ10" s="102">
        <f>MIN(IF($AU10=100%,1,1+VLOOKUP(($AJ10-$AI10-$AH10-$AG10-$AF10-$AE10*(1+DJ$3))/$AJ10,Уголь_коэфф!$A:$B,2,1)-VLOOKUP($AO10,Уголь_коэфф!$A:$B,2,1)),1+(1-$AU10))</f>
        <v>1.042</v>
      </c>
      <c r="DK10" s="102">
        <f>MIN(IF($AU10=100%,1,1+VLOOKUP(($AJ10-$AI10-$AH10-$AG10-$AF10-$AE10*(1+DK$3))/$AJ10,Уголь_коэфф!$A:$B,2,1)-VLOOKUP($AO10,Уголь_коэфф!$A:$B,2,1)),1+(1-$AU10))</f>
        <v>1.042</v>
      </c>
      <c r="DL10" s="102">
        <f>MIN(IF($AU10=100%,1,1+VLOOKUP(($AJ10-$AI10-$AH10-$AG10-$AF10-$AE10*(1+DL$3))/$AJ10,Уголь_коэфф!$A:$B,2,1)-VLOOKUP($AO10,Уголь_коэфф!$A:$B,2,1)),1+(1-$AU10))</f>
        <v>1.042</v>
      </c>
      <c r="DM10" s="102">
        <f>MIN(IF($AU10=100%,1,1+VLOOKUP(($AJ10-$AI10-$AH10-$AG10-$AF10-$AE10*(1+DM$3))/$AJ10,Уголь_коэфф!$A:$B,2,1)-VLOOKUP($AO10,Уголь_коэфф!$A:$B,2,1)),1+(1-$AU10))</f>
        <v>1.0360000000000003</v>
      </c>
      <c r="DN10" s="102">
        <f>MIN(IF($AU10=100%,1,1+VLOOKUP(($AJ10-$AI10-$AH10-$AG10-$AF10-$AE10*(1+DN$3))/$AJ10,Уголь_коэфф!$A:$B,2,1)-VLOOKUP($AO10,Уголь_коэфф!$A:$B,2,1)),1+(1-$AU10))</f>
        <v>1.0360000000000003</v>
      </c>
      <c r="DO10" s="102">
        <f>MIN(IF($AU10=100%,1,1+VLOOKUP(($AJ10-$AI10-$AH10-$AG10-$AF10-$AE10*(1+DO$3))/$AJ10,Уголь_коэфф!$A:$B,2,1)-VLOOKUP($AO10,Уголь_коэфф!$A:$B,2,1)),1+(1-$AU10))</f>
        <v>1.0360000000000003</v>
      </c>
      <c r="DP10" s="102">
        <f>MIN(IF($AU10=100%,1,1+VLOOKUP(($AJ10-$AI10-$AH10-$AG10-$AF10-$AE10*(1+DP$3))/$AJ10,Уголь_коэфф!$A:$B,2,1)-VLOOKUP($AO10,Уголь_коэфф!$A:$B,2,1)),1+(1-$AU10))</f>
        <v>1.0360000000000003</v>
      </c>
      <c r="DQ10" s="102">
        <f>MIN(IF($AU10=100%,1,1+VLOOKUP(($AJ10-$AI10-$AH10-$AG10-$AF10-$AE10*(1+DQ$3))/$AJ10,Уголь_коэфф!$A:$B,2,1)-VLOOKUP($AO10,Уголь_коэфф!$A:$B,2,1)),1+(1-$AU10))</f>
        <v>1.03</v>
      </c>
      <c r="DR10" s="102">
        <f>MIN(IF($AU10=100%,1,1+VLOOKUP(($AJ10-$AI10-$AH10-$AG10-$AF10-$AE10*(1+DR$3))/$AJ10,Уголь_коэфф!$A:$B,2,1)-VLOOKUP($AO10,Уголь_коэфф!$A:$B,2,1)),1+(1-$AU10))</f>
        <v>1.03</v>
      </c>
      <c r="DS10" s="102">
        <f>MIN(IF($AU10=100%,1,1+VLOOKUP(($AJ10-$AI10-$AH10-$AG10-$AF10-$AE10*(1+DS$3))/$AJ10,Уголь_коэфф!$A:$B,2,1)-VLOOKUP($AO10,Уголь_коэфф!$A:$B,2,1)),1+(1-$AU10))</f>
        <v>1.03</v>
      </c>
      <c r="DT10" s="102">
        <f>MIN(IF($AU10=100%,1,1+VLOOKUP(($AJ10-$AI10-$AH10-$AG10-$AF10-$AE10*(1+DT$3))/$AJ10,Уголь_коэфф!$A:$B,2,1)-VLOOKUP($AO10,Уголь_коэфф!$A:$B,2,1)),1+(1-$AU10))</f>
        <v>1.03</v>
      </c>
      <c r="DU10" s="102">
        <f>MIN(IF($AU10=100%,1,1+VLOOKUP(($AJ10-$AI10-$AH10-$AG10-$AF10-$AE10*(1+DU$3))/$AJ10,Уголь_коэфф!$A:$B,2,1)-VLOOKUP($AO10,Уголь_коэфф!$A:$B,2,1)),1+(1-$AU10))</f>
        <v>1.03</v>
      </c>
      <c r="DV10" s="102">
        <f>MIN(IF($AU10=100%,1,1+VLOOKUP(($AJ10-$AI10-$AH10-$AG10-$AF10-$AE10*(1+DV$3))/$AJ10,Уголь_коэфф!$A:$B,2,1)-VLOOKUP($AO10,Уголь_коэфф!$A:$B,2,1)),1+(1-$AU10))</f>
        <v>1.0250000000000001</v>
      </c>
      <c r="DW10" s="102">
        <f>MIN(IF($AU10=100%,1,1+VLOOKUP(($AJ10-$AI10-$AH10-$AG10-$AF10-$AE10*(1+DW$3))/$AJ10,Уголь_коэфф!$A:$B,2,1)-VLOOKUP($AO10,Уголь_коэфф!$A:$B,2,1)),1+(1-$AU10))</f>
        <v>1.0250000000000001</v>
      </c>
      <c r="DX10" s="102">
        <f>MIN(IF($AU10=100%,1,1+VLOOKUP(($AJ10-$AI10-$AH10-$AG10-$AF10-$AE10*(1+DX$3))/$AJ10,Уголь_коэфф!$A:$B,2,1)-VLOOKUP($AO10,Уголь_коэфф!$A:$B,2,1)),1+(1-$AU10))</f>
        <v>1.0250000000000001</v>
      </c>
      <c r="DY10" s="102">
        <f>MIN(IF($AU10=100%,1,1+VLOOKUP(($AJ10-$AI10-$AH10-$AG10-$AF10-$AE10*(1+DY$3))/$AJ10,Уголь_коэфф!$A:$B,2,1)-VLOOKUP($AO10,Уголь_коэфф!$A:$B,2,1)),1+(1-$AU10))</f>
        <v>1.0250000000000001</v>
      </c>
      <c r="DZ10" s="102">
        <f>MIN(IF($AU10=100%,1,1+VLOOKUP(($AJ10-$AI10-$AH10-$AG10-$AF10-$AE10*(1+DZ$3))/$AJ10,Уголь_коэфф!$A:$B,2,1)-VLOOKUP($AO10,Уголь_коэфф!$A:$B,2,1)),1+(1-$AU10))</f>
        <v>1.0250000000000001</v>
      </c>
      <c r="EA10" s="102">
        <f>MIN(IF($AU10=100%,1,1+VLOOKUP(($AJ10-$AI10-$AH10-$AG10-$AF10-$AE10*(1+EA$3))/$AJ10,Уголь_коэфф!$A:$B,2,1)-VLOOKUP($AO10,Уголь_коэфф!$A:$B,2,1)),1+(1-$AU10))</f>
        <v>1.0200000000000002</v>
      </c>
      <c r="EB10" s="102">
        <f>MIN(IF($AU10=100%,1,1+VLOOKUP(($AJ10-$AI10-$AH10-$AG10-$AF10-$AE10*(1+EB$3))/$AJ10,Уголь_коэфф!$A:$B,2,1)-VLOOKUP($AO10,Уголь_коэфф!$A:$B,2,1)),1+(1-$AU10))</f>
        <v>1.0200000000000002</v>
      </c>
      <c r="EC10" s="102">
        <f>MIN(IF($AU10=100%,1,1+VLOOKUP(($AJ10-$AI10-$AH10-$AG10-$AF10-$AE10*(1+EC$3))/$AJ10,Уголь_коэфф!$A:$B,2,1)-VLOOKUP($AO10,Уголь_коэфф!$A:$B,2,1)),1+(1-$AU10))</f>
        <v>1.0200000000000002</v>
      </c>
      <c r="ED10" s="102">
        <f>MIN(IF($AU10=100%,1,1+VLOOKUP(($AJ10-$AI10-$AH10-$AG10-$AF10-$AE10*(1+ED$3))/$AJ10,Уголь_коэфф!$A:$B,2,1)-VLOOKUP($AO10,Уголь_коэфф!$A:$B,2,1)),1+(1-$AU10))</f>
        <v>1.0200000000000002</v>
      </c>
      <c r="EE10" s="102">
        <f>MIN(IF($AU10=100%,1,1+VLOOKUP(($AJ10-$AI10-$AH10-$AG10-$AF10-$AE10*(1+EE$3))/$AJ10,Уголь_коэфф!$A:$B,2,1)-VLOOKUP($AO10,Уголь_коэфф!$A:$B,2,1)),1+(1-$AU10))</f>
        <v>1.0200000000000002</v>
      </c>
      <c r="EF10" s="102">
        <f>MIN(IF($AU10=100%,1,1+VLOOKUP(($AJ10-$AI10-$AH10-$AG10-$AF10-$AE10*(1+EF$3))/$AJ10,Уголь_коэфф!$A:$B,2,1)-VLOOKUP($AO10,Уголь_коэфф!$A:$B,2,1)),1+(1-$AU10))</f>
        <v>1.0149999999999999</v>
      </c>
      <c r="EG10" s="102">
        <f>MIN(IF($AU10=100%,1,1+VLOOKUP(($AJ10-$AI10-$AH10-$AG10-$AF10-$AE10*(1+EG$3))/$AJ10,Уголь_коэфф!$A:$B,2,1)-VLOOKUP($AO10,Уголь_коэфф!$A:$B,2,1)),1+(1-$AU10))</f>
        <v>1.0149999999999999</v>
      </c>
      <c r="EH10" s="102">
        <f>MIN(IF($AU10=100%,1,1+VLOOKUP(($AJ10-$AI10-$AH10-$AG10-$AF10-$AE10*(1+EH$3))/$AJ10,Уголь_коэфф!$A:$B,2,1)-VLOOKUP($AO10,Уголь_коэфф!$A:$B,2,1)),1+(1-$AU10))</f>
        <v>1.0149999999999999</v>
      </c>
      <c r="EI10" s="102">
        <f>MIN(IF($AU10=100%,1,1+VLOOKUP(($AJ10-$AI10-$AH10-$AG10-$AF10-$AE10*(1+EI$3))/$AJ10,Уголь_коэфф!$A:$B,2,1)-VLOOKUP($AO10,Уголь_коэфф!$A:$B,2,1)),1+(1-$AU10))</f>
        <v>1.0149999999999999</v>
      </c>
      <c r="EJ10" s="102">
        <f>MIN(IF($AU10=100%,1,1+VLOOKUP(($AJ10-$AI10-$AH10-$AG10-$AF10-$AE10*(1+EJ$3))/$AJ10,Уголь_коэфф!$A:$B,2,1)-VLOOKUP($AO10,Уголь_коэфф!$A:$B,2,1)),1+(1-$AU10))</f>
        <v>1.0149999999999999</v>
      </c>
      <c r="EK10" s="102">
        <f>MIN(IF($AU10=100%,1,1+VLOOKUP(($AJ10-$AI10-$AH10-$AG10-$AF10-$AE10*(1+EK$3))/$AJ10,Уголь_коэфф!$A:$B,2,1)-VLOOKUP($AO10,Уголь_коэфф!$A:$B,2,1)),1+(1-$AU10))</f>
        <v>1.01</v>
      </c>
      <c r="EL10" s="102">
        <f>MIN(IF($AU10=100%,1,1+VLOOKUP(($AJ10-$AI10-$AH10-$AG10-$AF10-$AE10*(1+EL$3))/$AJ10,Уголь_коэфф!$A:$B,2,1)-VLOOKUP($AO10,Уголь_коэфф!$A:$B,2,1)),1+(1-$AU10))</f>
        <v>1.01</v>
      </c>
      <c r="EM10" s="102">
        <f>MIN(IF($AU10=100%,1,1+VLOOKUP(($AJ10-$AI10-$AH10-$AG10-$AF10-$AE10*(1+EM$3))/$AJ10,Уголь_коэфф!$A:$B,2,1)-VLOOKUP($AO10,Уголь_коэфф!$A:$B,2,1)),1+(1-$AU10))</f>
        <v>1.01</v>
      </c>
      <c r="EN10" s="102">
        <f>MIN(IF($AU10=100%,1,1+VLOOKUP(($AJ10-$AI10-$AH10-$AG10-$AF10-$AE10*(1+EN$3))/$AJ10,Уголь_коэфф!$A:$B,2,1)-VLOOKUP($AO10,Уголь_коэфф!$A:$B,2,1)),1+(1-$AU10))</f>
        <v>1.01</v>
      </c>
      <c r="EO10" s="102">
        <f>MIN(IF($AU10=100%,1,1+VLOOKUP(($AJ10-$AI10-$AH10-$AG10-$AF10-$AE10*(1+EO$3))/$AJ10,Уголь_коэфф!$A:$B,2,1)-VLOOKUP($AO10,Уголь_коэфф!$A:$B,2,1)),1+(1-$AU10))</f>
        <v>1.0049999999999997</v>
      </c>
      <c r="EP10" s="102">
        <f>MIN(IF($AU10=100%,1,1+VLOOKUP(($AJ10-$AI10-$AH10-$AG10-$AF10-$AE10*(1+EP$3))/$AJ10,Уголь_коэфф!$A:$B,2,1)-VLOOKUP($AO10,Уголь_коэфф!$A:$B,2,1)),1+(1-$AU10))</f>
        <v>1.0049999999999997</v>
      </c>
      <c r="EQ10" s="102">
        <f>MIN(IF($AU10=100%,1,1+VLOOKUP(($AJ10-$AI10-$AH10-$AG10-$AF10-$AE10*(1+EQ$3))/$AJ10,Уголь_коэфф!$A:$B,2,1)-VLOOKUP($AO10,Уголь_коэфф!$A:$B,2,1)),1+(1-$AU10))</f>
        <v>1.0049999999999997</v>
      </c>
      <c r="ER10" s="102">
        <f>MIN(IF($AU10=100%,1,1+VLOOKUP(($AJ10-$AI10-$AH10-$AG10-$AF10-$AE10*(1+ER$3))/$AJ10,Уголь_коэфф!$A:$B,2,1)-VLOOKUP($AO10,Уголь_коэфф!$A:$B,2,1)),1+(1-$AU10))</f>
        <v>1.0049999999999997</v>
      </c>
      <c r="ES10" s="102">
        <f>MIN(IF($AU10=100%,1,1+VLOOKUP(($AJ10-$AI10-$AH10-$AG10-$AF10-$AE10*(1+ES$3))/$AJ10,Уголь_коэфф!$A:$B,2,1)-VLOOKUP($AO10,Уголь_коэфф!$A:$B,2,1)),1+(1-$AU10))</f>
        <v>1.0049999999999997</v>
      </c>
      <c r="ET10" s="102">
        <f>MIN(IF($AU10=100%,1,1+VLOOKUP(($AJ10-$AI10-$AH10-$AG10-$AF10-$AE10*(1+ET$3))/$AJ10,Уголь_коэфф!$A:$B,2,1)-VLOOKUP($AO10,Уголь_коэфф!$A:$B,2,1)),1+(1-$AU10))</f>
        <v>0.99999999999999978</v>
      </c>
      <c r="EU10" s="102">
        <f>MIN(IF($AU10=100%,1,1+VLOOKUP(($AJ10-$AI10-$AH10-$AG10-$AF10-$AE10*(1+EU$3))/$AJ10,Уголь_коэфф!$A:$B,2,1)-VLOOKUP($AO10,Уголь_коэфф!$A:$B,2,1)),1+(1-$AU10))</f>
        <v>0.99999999999999978</v>
      </c>
      <c r="EV10" s="103">
        <v>1</v>
      </c>
      <c r="EW10" s="102">
        <f>MIN(1,MAX(VLOOKUP(($AJ10-$AI10-$AH10-$AG10-$AF10-$AE10*(1+EW$3))/$AJ10,Уголь_коэфф!$A:$B,2,1),(EV10-0.05)))</f>
        <v>1</v>
      </c>
      <c r="EX10" s="102">
        <f>MIN(1,MAX(VLOOKUP(($AJ10-$AI10-$AH10-$AG10-$AF10-$AE10*(1+EX$3))/$AJ10,Уголь_коэфф!$A:$B,2,1),(EW10-0.05)))</f>
        <v>1</v>
      </c>
      <c r="EY10" s="102">
        <f>MIN(1,MAX(VLOOKUP(($AJ10-$AI10-$AH10-$AG10-$AF10-$AE10*(1+EY$3))/$AJ10,Уголь_коэфф!$A:$B,2,1),(EX10-0.05)))</f>
        <v>1</v>
      </c>
      <c r="EZ10" s="102">
        <f>MIN(1,MAX(VLOOKUP(($AJ10-$AI10-$AH10-$AG10-$AF10-$AE10*(1+EZ$3))/$AJ10,Уголь_коэфф!$A:$B,2,1),(EY10-0.05)))</f>
        <v>1</v>
      </c>
      <c r="FA10" s="102">
        <f>MIN(1,MAX(VLOOKUP(($AJ10-$AI10-$AH10-$AG10-$AF10-$AE10*(1+FA$3))/$AJ10,Уголь_коэфф!$A:$B,2,1),(EZ10-0.05)))</f>
        <v>1</v>
      </c>
      <c r="FB10" s="102">
        <f>MIN(1,MAX(VLOOKUP(($AJ10-$AI10-$AH10-$AG10-$AF10-$AE10*(1+FB$3))/$AJ10,Уголь_коэфф!$A:$B,2,1),(FA10-0.05)))</f>
        <v>1</v>
      </c>
      <c r="FC10" s="102">
        <f>MIN(1,MAX(VLOOKUP(($AJ10-$AI10-$AH10-$AG10-$AF10-$AE10*(1+FC$3))/$AJ10,Уголь_коэфф!$A:$B,2,1),(FB10-0.05)))</f>
        <v>1</v>
      </c>
      <c r="FD10" s="102">
        <f>MIN(1,MAX(VLOOKUP(($AJ10-$AI10-$AH10-$AG10-$AF10-$AE10*(1+FD$3))/$AJ10,Уголь_коэфф!$A:$B,2,1),(FC10-0.05)))</f>
        <v>1</v>
      </c>
      <c r="FE10" s="102">
        <f>MIN(1,MAX(VLOOKUP(($AJ10-$AI10-$AH10-$AG10-$AF10-$AE10*(1+FE$3))/$AJ10,Уголь_коэфф!$A:$B,2,1),(FD10-0.05)))</f>
        <v>1</v>
      </c>
      <c r="FF10" s="102">
        <f>MIN(1,MAX(VLOOKUP(($AJ10-$AI10-$AH10-$AG10-$AF10-$AE10*(1+FF$3))/$AJ10,Уголь_коэфф!$A:$B,2,1),(FE10-0.05)))</f>
        <v>1</v>
      </c>
      <c r="FG10" s="102">
        <f>MIN(1,MAX(VLOOKUP(($AJ10-$AI10-$AH10-$AG10-$AF10-$AE10*(1+FG$3))/$AJ10,Уголь_коэфф!$A:$B,2,1),(FF10-0.05)))</f>
        <v>1</v>
      </c>
      <c r="FH10" s="102">
        <f>MIN(1,MAX(VLOOKUP(($AJ10-$AI10-$AH10-$AG10-$AF10-$AE10*(1+FH$3))/$AJ10,Уголь_коэфф!$A:$B,2,1),(FG10-0.05)))</f>
        <v>1</v>
      </c>
      <c r="FI10" s="102">
        <f>MIN(1,MAX(VLOOKUP(($AJ10-$AI10-$AH10-$AG10-$AF10-$AE10*(1+FI$3))/$AJ10,Уголь_коэфф!$A:$B,2,1),(FH10-0.05)))</f>
        <v>1</v>
      </c>
      <c r="FJ10" s="102">
        <f>MIN(1,MAX(VLOOKUP(($AJ10-$AI10-$AH10-$AG10-$AF10-$AE10*(1+FJ$3))/$AJ10,Уголь_коэфф!$A:$B,2,1),(FI10-0.05)))</f>
        <v>1</v>
      </c>
      <c r="FK10" s="102">
        <f>MIN(1,MAX(VLOOKUP(($AJ10-$AI10-$AH10-$AG10-$AF10-$AE10*(1+FK$3))/$AJ10,Уголь_коэфф!$A:$B,2,1),(FJ10-0.05)))</f>
        <v>1</v>
      </c>
      <c r="FL10" s="102">
        <f>MIN(1,MAX(VLOOKUP(($AJ10-$AI10-$AH10-$AG10-$AF10-$AE10*(1+FL$3))/$AJ10,Уголь_коэфф!$A:$B,2,1),(FK10-0.05)))</f>
        <v>1</v>
      </c>
      <c r="FM10" s="102">
        <f>MIN(1,MAX(VLOOKUP(($AJ10-$AI10-$AH10-$AG10-$AF10-$AE10*(1+FM$3))/$AJ10,Уголь_коэфф!$A:$B,2,1),(FL10-0.05)))</f>
        <v>1</v>
      </c>
      <c r="FN10" s="102">
        <f>MIN(1,MAX(VLOOKUP(($AJ10-$AI10-$AH10-$AG10-$AF10-$AE10*(1+FN$3))/$AJ10,Уголь_коэфф!$A:$B,2,1),(FM10-0.05)))</f>
        <v>1</v>
      </c>
      <c r="FO10" s="102">
        <f>MIN(1,MAX(VLOOKUP(($AJ10-$AI10-$AH10-$AG10-$AF10-$AE10*(1+FO$3))/$AJ10,Уголь_коэфф!$A:$B,2,1),(FN10-0.05)))</f>
        <v>1</v>
      </c>
      <c r="FP10" s="102">
        <f>MIN(1,MAX(VLOOKUP(($AJ10-$AI10-$AH10-$AG10-$AF10-$AE10*(1+FP$3))/$AJ10,Уголь_коэфф!$A:$B,2,1),(FO10-0.05)))</f>
        <v>1</v>
      </c>
      <c r="FQ10" s="102">
        <f>MIN(1,MAX(VLOOKUP(($AJ10-$AI10-$AH10-$AG10-$AF10-$AE10*(1+FQ$3))/$AJ10,Уголь_коэфф!$A:$B,2,1),(FP10-0.05)))</f>
        <v>1</v>
      </c>
      <c r="FR10" s="102">
        <f>MIN(1,MAX(VLOOKUP(($AJ10-$AI10-$AH10-$AG10-$AF10-$AE10*(1+FR$3))/$AJ10,Уголь_коэфф!$A:$B,2,1),(FQ10-0.05)))</f>
        <v>1</v>
      </c>
      <c r="FS10" s="102">
        <f>MIN(1,MAX(VLOOKUP(($AJ10-$AI10-$AH10-$AG10-$AF10-$AE10*(1+FS$3))/$AJ10,Уголь_коэфф!$A:$B,2,1),(FR10-0.05)))</f>
        <v>1</v>
      </c>
      <c r="FT10" s="102">
        <f>MIN(1,MAX(VLOOKUP(($AJ10-$AI10-$AH10-$AG10-$AF10-$AE10*(1+FT$3))/$AJ10,Уголь_коэфф!$A:$B,2,1),(FS10-0.05)))</f>
        <v>1</v>
      </c>
      <c r="FU10" s="102">
        <f>MIN(1,MAX(VLOOKUP(($AJ10-$AI10-$AH10-$AG10-$AF10-$AE10*(1+FU$3))/$AJ10,Уголь_коэфф!$A:$B,2,1),(FT10-0.05)))</f>
        <v>1</v>
      </c>
      <c r="FV10" s="102">
        <f>MIN(1,MAX(VLOOKUP(($AJ10-$AI10-$AH10-$AG10-$AF10-$AE10*(1+FV$3))/$AJ10,Уголь_коэфф!$A:$B,2,1),(FU10-0.05)))</f>
        <v>1</v>
      </c>
      <c r="FW10" s="102">
        <f>MIN(1,MAX(VLOOKUP(($AJ10-$AI10-$AH10-$AG10-$AF10-$AE10*(1+FW$3))/$AJ10,Уголь_коэфф!$A:$B,2,1),(FV10-0.05)))</f>
        <v>1</v>
      </c>
      <c r="FX10" s="102">
        <f>MIN(1,MAX(VLOOKUP(($AJ10-$AI10-$AH10-$AG10-$AF10-$AE10*(1+FX$3))/$AJ10,Уголь_коэфф!$A:$B,2,1),(FW10-0.05)))</f>
        <v>1</v>
      </c>
      <c r="FY10" s="102">
        <f>MIN(1,MAX(VLOOKUP(($AJ10-$AI10-$AH10-$AG10-$AF10-$AE10*(1+FY$3))/$AJ10,Уголь_коэфф!$A:$B,2,1),(FX10-0.05)))</f>
        <v>1</v>
      </c>
      <c r="FZ10" s="102">
        <f>MIN(1,MAX(VLOOKUP(($AJ10-$AI10-$AH10-$AG10-$AF10-$AE10*(1+FZ$3))/$AJ10,Уголь_коэфф!$A:$B,2,1),(FY10-0.05)))</f>
        <v>1</v>
      </c>
      <c r="GA10" s="102">
        <f>MIN(1,MAX(VLOOKUP(($AJ10-$AI10-$AH10-$AG10-$AF10-$AE10*(1+GA$3))/$AJ10,Уголь_коэфф!$A:$B,2,1),(FZ10-0.05)))</f>
        <v>1</v>
      </c>
      <c r="GB10" s="102">
        <f>MIN(1,MAX(VLOOKUP(($AJ10-$AI10-$AH10-$AG10-$AF10-$AE10*(1+GB$3))/$AJ10,Уголь_коэфф!$A:$B,2,1),(GA10-0.05)))</f>
        <v>1</v>
      </c>
      <c r="GC10" s="102">
        <f>MIN(1,MAX(VLOOKUP(($AJ10-$AI10-$AH10-$AG10-$AF10-$AE10*(1+GC$3))/$AJ10,Уголь_коэфф!$A:$B,2,1),(GB10-0.05)))</f>
        <v>1</v>
      </c>
      <c r="GD10" s="102">
        <f>MIN(1,MAX(VLOOKUP(($AJ10-$AI10-$AH10-$AG10-$AF10-$AE10*(1+GD$3))/$AJ10,Уголь_коэфф!$A:$B,2,1),(GC10-0.05)))</f>
        <v>1</v>
      </c>
      <c r="GE10" s="102">
        <f>MIN(1,MAX(VLOOKUP(($AJ10-$AI10-$AH10-$AG10-$AF10-$AE10*(1+GE$3))/$AJ10,Уголь_коэфф!$A:$B,2,1),(GD10-0.05)))</f>
        <v>1</v>
      </c>
      <c r="GF10" s="102">
        <f>MIN(1,MAX(VLOOKUP(($AJ10-$AI10-$AH10-$AG10-$AF10-$AE10*(1+GF$3))/$AJ10,Уголь_коэфф!$A:$B,2,1),(GE10-0.05)))</f>
        <v>1</v>
      </c>
      <c r="GG10" s="102">
        <f>MIN(1,MAX(VLOOKUP(($AJ10-$AI10-$AH10-$AG10-$AF10-$AE10*(1+GG$3))/$AJ10,Уголь_коэфф!$A:$B,2,1),(GF10-0.05)))</f>
        <v>1</v>
      </c>
      <c r="GH10" s="102">
        <f>MIN(1,MAX(VLOOKUP(($AJ10-$AI10-$AH10-$AG10-$AF10-$AE10*(1+GH$3))/$AJ10,Уголь_коэфф!$A:$B,2,1),(GG10-0.05)))</f>
        <v>1</v>
      </c>
      <c r="GI10" s="102">
        <f>MIN(1,MAX(VLOOKUP(($AJ10-$AI10-$AH10-$AG10-$AF10-$AE10*(1+GI$3))/$AJ10,Уголь_коэфф!$A:$B,2,1),(GH10-0.05)))</f>
        <v>1</v>
      </c>
      <c r="GJ10" s="102">
        <f>MIN(1,MAX(VLOOKUP(($AJ10-$AI10-$AH10-$AG10-$AF10-$AE10*(1+GJ$3))/$AJ10,Уголь_коэфф!$A:$B,2,1),(GI10-0.05)))</f>
        <v>1</v>
      </c>
      <c r="GK10" s="102">
        <f>MIN(1,MAX(VLOOKUP(($AJ10-$AI10-$AH10-$AG10-$AF10-$AE10*(1+GK$3))/$AJ10,Уголь_коэфф!$A:$B,2,1),(GJ10-0.05)))</f>
        <v>1</v>
      </c>
      <c r="GL10" s="102">
        <f>MIN(1,MAX(VLOOKUP(($AJ10-$AI10-$AH10-$AG10-$AF10-$AE10*(1+GL$3))/$AJ10,Уголь_коэфф!$A:$B,2,1),(GK10-0.05)))</f>
        <v>1</v>
      </c>
      <c r="GM10" s="102">
        <f>MIN(1,MAX(VLOOKUP(($AJ10-$AI10-$AH10-$AG10-$AF10-$AE10*(1+GM$3))/$AJ10,Уголь_коэфф!$A:$B,2,1),(GL10-0.05)))</f>
        <v>1</v>
      </c>
      <c r="GN10" s="102">
        <f>MIN(1,MAX(VLOOKUP(($AJ10-$AI10-$AH10-$AG10-$AF10-$AE10*(1+GN$3))/$AJ10,Уголь_коэфф!$A:$B,2,1),(GM10-0.05)))</f>
        <v>1</v>
      </c>
      <c r="GO10" s="102">
        <f>MIN(1,MAX(VLOOKUP(($AJ10-$AI10-$AH10-$AG10-$AF10-$AE10*(1+GO$3))/$AJ10,Уголь_коэфф!$A:$B,2,1),(GN10-0.05)))</f>
        <v>1</v>
      </c>
      <c r="GP10" s="102">
        <f>MIN(1,MAX(VLOOKUP(($AJ10-$AI10-$AH10-$AG10-$AF10-$AE10*(1+GP$3))/$AJ10,Уголь_коэфф!$A:$B,2,1),(GO10-0.05)))</f>
        <v>1</v>
      </c>
      <c r="GQ10" s="102">
        <f>MIN(1,MAX(VLOOKUP(($AJ10-$AI10-$AH10-$AG10-$AF10-$AE10*(1+GQ$3))/$AJ10,Уголь_коэфф!$A:$B,2,1),(GP10-0.05)))</f>
        <v>1</v>
      </c>
      <c r="GR10" s="102">
        <f>MIN(1,MAX(VLOOKUP(($AJ10-$AI10-$AH10-$AG10-$AF10-$AE10*(1+GR$3))/$AJ10,Уголь_коэфф!$A:$B,2,1),(GQ10-0.05)))</f>
        <v>1</v>
      </c>
      <c r="GS10" s="102">
        <f>MIN(1,MAX(VLOOKUP(($AJ10-$AI10-$AH10-$AG10-$AF10-$AE10*(1+GS$3))/$AJ10,Уголь_коэфф!$A:$B,2,1),(GR10-0.05)))</f>
        <v>1</v>
      </c>
      <c r="GT10" s="102">
        <f>MIN(1,MAX(VLOOKUP(($AJ10-$AI10-$AH10-$AG10-$AF10-$AE10*(1+GT$3))/$AJ10,Уголь_коэфф!$A:$B,2,1),(GS10-0.05)))</f>
        <v>1</v>
      </c>
      <c r="GU10" s="102">
        <f>MIN(1,MAX(VLOOKUP(($AJ10-$AI10-$AH10-$AG10-$AF10-$AE10*(1+GU$3))/$AJ10,Уголь_коэфф!$A:$B,2,1),(GT10-0.05)))</f>
        <v>1</v>
      </c>
      <c r="GV10" s="102">
        <f>MIN(1,MAX(VLOOKUP(($AJ10-$AI10-$AH10-$AG10-$AF10-$AE10*(1+GV$3))/$AJ10,Уголь_коэфф!$A:$B,2,1),(GU10-0.05)))</f>
        <v>1</v>
      </c>
      <c r="GW10" s="102">
        <f>MIN(1,MAX(VLOOKUP(($AJ10-$AI10-$AH10-$AG10-$AF10-$AE10*(1+GW$3))/$AJ10,Уголь_коэфф!$A:$B,2,1),(GV10-0.05)))</f>
        <v>1</v>
      </c>
      <c r="GX10" s="102">
        <f>MIN(1,MAX(VLOOKUP(($AJ10-$AI10-$AH10-$AG10-$AF10-$AE10*(1+GX$3))/$AJ10,Уголь_коэфф!$A:$B,2,1),(GW10-0.05)))</f>
        <v>1</v>
      </c>
      <c r="GY10" s="102">
        <f>MIN(1,MAX(VLOOKUP(($AJ10-$AI10-$AH10-$AG10-$AF10-$AE10*(1+GY$3))/$AJ10,Уголь_коэфф!$A:$B,2,1),(GX10-0.05)))</f>
        <v>1</v>
      </c>
      <c r="GZ10" s="102">
        <f>MIN(1,MAX(VLOOKUP(($AJ10-$AI10-$AH10-$AG10-$AF10-$AE10*(1+GZ$3))/$AJ10,Уголь_коэфф!$A:$B,2,1),(GY10-0.05)))</f>
        <v>1</v>
      </c>
      <c r="HA10" s="102">
        <f>MIN(1,MAX(VLOOKUP(($AJ10-$AI10-$AH10-$AG10-$AF10-$AE10*(1+HA$3))/$AJ10,Уголь_коэфф!$A:$B,2,1),(GZ10-0.05)))</f>
        <v>1</v>
      </c>
      <c r="HB10" s="102">
        <f>MIN(1,MAX(VLOOKUP(($AJ10-$AI10-$AH10-$AG10-$AF10-$AE10*(1+HB$3))/$AJ10,Уголь_коэфф!$A:$B,2,1),(HA10-0.05)))</f>
        <v>1</v>
      </c>
      <c r="HC10" s="102">
        <f>MIN(1,MAX(VLOOKUP(($AJ10-$AI10-$AH10-$AG10-$AF10-$AE10*(1+HC$3))/$AJ10,Уголь_коэфф!$A:$B,2,1),(HB10-0.05)))</f>
        <v>1</v>
      </c>
      <c r="HD10" s="102">
        <f>MIN(1,MAX(VLOOKUP(($AJ10-$AI10-$AH10-$AG10-$AF10-$AE10*(1+HD$3))/$AJ10,Уголь_коэфф!$A:$B,2,1),(HC10-0.05)))</f>
        <v>1</v>
      </c>
      <c r="HE10" s="102">
        <f>MIN(1,MAX(VLOOKUP(($AJ10-$AI10-$AH10-$AG10-$AF10-$AE10*(1+HE$3))/$AJ10,Уголь_коэфф!$A:$B,2,1),(HD10-0.05)))</f>
        <v>1</v>
      </c>
      <c r="HF10" s="102">
        <f>MIN(1,MAX(VLOOKUP(($AJ10-$AI10-$AH10-$AG10-$AF10-$AE10*(1+HF$3))/$AJ10,Уголь_коэфф!$A:$B,2,1),(HE10-0.05)))</f>
        <v>1</v>
      </c>
      <c r="HG10" s="102">
        <f>MIN(1,MAX(VLOOKUP(($AJ10-$AI10-$AH10-$AG10-$AF10-$AE10*(1+HG$3))/$AJ10,Уголь_коэфф!$A:$B,2,1),(HF10-0.05)))</f>
        <v>1</v>
      </c>
      <c r="HH10" s="102">
        <f>MIN(1,MAX(VLOOKUP(($AJ10-$AI10-$AH10-$AG10-$AF10-$AE10*(1+HH$3))/$AJ10,Уголь_коэфф!$A:$B,2,1),(HG10-0.05)))</f>
        <v>1</v>
      </c>
      <c r="HI10" s="102">
        <f>MIN(1,MAX(VLOOKUP(($AJ10-$AI10-$AH10-$AG10-$AF10-$AE10*(1+HI$3))/$AJ10,Уголь_коэфф!$A:$B,2,1),(HH10-0.05)))</f>
        <v>1</v>
      </c>
      <c r="HJ10" s="102">
        <f>MIN(1,MAX(VLOOKUP(($AJ10-$AI10-$AH10-$AG10-$AF10-$AE10*(1+HJ$3))/$AJ10,Уголь_коэфф!$A:$B,2,1),(HI10-0.05)))</f>
        <v>1</v>
      </c>
      <c r="HK10" s="102">
        <f>MIN(1,MAX(VLOOKUP(($AJ10-$AI10-$AH10-$AG10-$AF10-$AE10*(1+HK$3))/$AJ10,Уголь_коэфф!$A:$B,2,1),(HJ10-0.05)))</f>
        <v>1</v>
      </c>
      <c r="HL10" s="102">
        <f>MIN(1,MAX(VLOOKUP(($AJ10-$AI10-$AH10-$AG10-$AF10-$AE10*(1+HL$3))/$AJ10,Уголь_коэфф!$A:$B,2,1),(HK10-0.05)))</f>
        <v>1</v>
      </c>
      <c r="HM10" s="102">
        <f>MIN(1,MAX(VLOOKUP(($AJ10-$AI10-$AH10-$AG10-$AF10-$AE10*(1+HM$3))/$AJ10,Уголь_коэфф!$A:$B,2,1),(HL10-0.05)))</f>
        <v>1</v>
      </c>
      <c r="HN10" s="102">
        <f>MIN(1,MAX(VLOOKUP(($AJ10-$AI10-$AH10-$AG10-$AF10-$AE10*(1+HN$3))/$AJ10,Уголь_коэфф!$A:$B,2,1),(HM10-0.05)))</f>
        <v>0.995</v>
      </c>
      <c r="HO10" s="102">
        <f>MIN(1,MAX(VLOOKUP(($AJ10-$AI10-$AH10-$AG10-$AF10-$AE10*(1+HO$3))/$AJ10,Уголь_коэфф!$A:$B,2,1),(HN10-0.05)))</f>
        <v>0.995</v>
      </c>
      <c r="HP10" s="102">
        <f>MIN(1,MAX(VLOOKUP(($AJ10-$AI10-$AH10-$AG10-$AF10-$AE10*(1+HP$3))/$AJ10,Уголь_коэфф!$A:$B,2,1),(HO10-0.05)))</f>
        <v>0.995</v>
      </c>
      <c r="HQ10" s="102">
        <f>MIN(1,MAX(VLOOKUP(($AJ10-$AI10-$AH10-$AG10-$AF10-$AE10*(1+HQ$3))/$AJ10,Уголь_коэфф!$A:$B,2,1),(HP10-0.05)))</f>
        <v>0.995</v>
      </c>
      <c r="HR10" s="102">
        <f>MIN(1,MAX(VLOOKUP(($AJ10-$AI10-$AH10-$AG10-$AF10-$AE10*(1+HR$3))/$AJ10,Уголь_коэфф!$A:$B,2,1),(HQ10-0.05)))</f>
        <v>0.995</v>
      </c>
      <c r="HS10" s="102">
        <f>MIN(1,MAX(VLOOKUP(($AJ10-$AI10-$AH10-$AG10-$AF10-$AE10*(1+HS$3))/$AJ10,Уголь_коэфф!$A:$B,2,1),(HR10-0.05)))</f>
        <v>0.99</v>
      </c>
      <c r="HT10" s="102">
        <f>MIN(1,MAX(VLOOKUP(($AJ10-$AI10-$AH10-$AG10-$AF10-$AE10*(1+HT$3))/$AJ10,Уголь_коэфф!$A:$B,2,1),(HS10-0.05)))</f>
        <v>0.99</v>
      </c>
      <c r="HU10" s="102">
        <f>MIN(1,MAX(VLOOKUP(($AJ10-$AI10-$AH10-$AG10-$AF10-$AE10*(1+HU$3))/$AJ10,Уголь_коэфф!$A:$B,2,1),(HT10-0.05)))</f>
        <v>0.99</v>
      </c>
      <c r="HV10" s="102">
        <f>MIN(1,MAX(VLOOKUP(($AJ10-$AI10-$AH10-$AG10-$AF10-$AE10*(1+HV$3))/$AJ10,Уголь_коэфф!$A:$B,2,1),(HU10-0.05)))</f>
        <v>0.99</v>
      </c>
      <c r="HW10" s="102">
        <f>MIN(1,MAX(VLOOKUP(($AJ10-$AI10-$AH10-$AG10-$AF10-$AE10*(1+HW$3))/$AJ10,Уголь_коэфф!$A:$B,2,1),(HV10-0.05)))</f>
        <v>0.99</v>
      </c>
      <c r="HX10" s="102">
        <f>MIN(1,MAX(VLOOKUP(($AJ10-$AI10-$AH10-$AG10-$AF10-$AE10*(1+HX$3))/$AJ10,Уголь_коэфф!$A:$B,2,1),(HW10-0.05)))</f>
        <v>0.98499999999999999</v>
      </c>
      <c r="HY10" s="102">
        <f>MIN(1,MAX(VLOOKUP(($AJ10-$AI10-$AH10-$AG10-$AF10-$AE10*(1+HY$3))/$AJ10,Уголь_коэфф!$A:$B,2,1),(HX10-0.05)))</f>
        <v>0.98499999999999999</v>
      </c>
      <c r="HZ10" s="102">
        <f>MIN(1,MAX(VLOOKUP(($AJ10-$AI10-$AH10-$AG10-$AF10-$AE10*(1+HZ$3))/$AJ10,Уголь_коэфф!$A:$B,2,1),(HY10-0.05)))</f>
        <v>0.98499999999999999</v>
      </c>
      <c r="IA10" s="102">
        <f>MIN(1,MAX(VLOOKUP(($AJ10-$AI10-$AH10-$AG10-$AF10-$AE10*(1+IA$3))/$AJ10,Уголь_коэфф!$A:$B,2,1),(HZ10-0.05)))</f>
        <v>0.98499999999999999</v>
      </c>
      <c r="IB10" s="102">
        <f>MIN(1,MAX(VLOOKUP(($AJ10-$AI10-$AH10-$AG10-$AF10-$AE10*(1+IB$3))/$AJ10,Уголь_коэфф!$A:$B,2,1),(IA10-0.05)))</f>
        <v>0.98499999999999999</v>
      </c>
      <c r="IC10" s="102">
        <f>MIN(1,MAX(VLOOKUP(($AJ10-$AI10-$AH10-$AG10-$AF10-$AE10*(1+IC$3))/$AJ10,Уголь_коэфф!$A:$B,2,1),(IB10-0.05)))</f>
        <v>0.98</v>
      </c>
      <c r="ID10" s="102">
        <f>MIN(1,MAX(VLOOKUP(($AJ10-$AI10-$AH10-$AG10-$AF10-$AE10*(1+ID$3))/$AJ10,Уголь_коэфф!$A:$B,2,1),(IC10-0.05)))</f>
        <v>0.98</v>
      </c>
      <c r="IE10" s="102">
        <f>MIN(1,MAX(VLOOKUP(($AJ10-$AI10-$AH10-$AG10-$AF10-$AE10*(1+IE$3))/$AJ10,Уголь_коэфф!$A:$B,2,1),(ID10-0.05)))</f>
        <v>0.98</v>
      </c>
      <c r="IF10" s="102">
        <f>MIN(1,MAX(VLOOKUP(($AJ10-$AI10-$AH10-$AG10-$AF10-$AE10*(1+IF$3))/$AJ10,Уголь_коэфф!$A:$B,2,1),(IE10-0.05)))</f>
        <v>0.98</v>
      </c>
      <c r="IG10" s="102">
        <f>MIN(1,MAX(VLOOKUP(($AJ10-$AI10-$AH10-$AG10-$AF10-$AE10*(1+IG$3))/$AJ10,Уголь_коэфф!$A:$B,2,1),(IF10-0.05)))</f>
        <v>0.97499999999999998</v>
      </c>
      <c r="IH10" s="102">
        <f>MIN(1,MAX(VLOOKUP(($AJ10-$AI10-$AH10-$AG10-$AF10-$AE10*(1+IH$3))/$AJ10,Уголь_коэфф!$A:$B,2,1),(IG10-0.05)))</f>
        <v>0.97499999999999998</v>
      </c>
      <c r="II10" s="102">
        <f>MIN(1,MAX(VLOOKUP(($AJ10-$AI10-$AH10-$AG10-$AF10-$AE10*(1+II$3))/$AJ10,Уголь_коэфф!$A:$B,2,1),(IH10-0.05)))</f>
        <v>0.97499999999999998</v>
      </c>
      <c r="IJ10" s="102">
        <f>MIN(1,MAX(VLOOKUP(($AJ10-$AI10-$AH10-$AG10-$AF10-$AE10*(1+IJ$3))/$AJ10,Уголь_коэфф!$A:$B,2,1),(II10-0.05)))</f>
        <v>0.97499999999999998</v>
      </c>
      <c r="IK10" s="102">
        <f>MIN(1,MAX(VLOOKUP(($AJ10-$AI10-$AH10-$AG10-$AF10-$AE10*(1+IK$3))/$AJ10,Уголь_коэфф!$A:$B,2,1),(IJ10-0.05)))</f>
        <v>0.97499999999999998</v>
      </c>
      <c r="IL10" s="102">
        <f>MIN(1,MAX(VLOOKUP(($AJ10-$AI10-$AH10-$AG10-$AF10-$AE10*(1+IL$3))/$AJ10,Уголь_коэфф!$A:$B,2,1),(IK10-0.05)))</f>
        <v>0.97</v>
      </c>
      <c r="IM10" s="102">
        <f>MIN(1,MAX(VLOOKUP(($AJ10-$AI10-$AH10-$AG10-$AF10-$AE10*(1+IM$3))/$AJ10,Уголь_коэфф!$A:$B,2,1),(IL10-0.05)))</f>
        <v>0.97</v>
      </c>
      <c r="IN10" s="102">
        <f>MIN(1,MAX(VLOOKUP(($AJ10-$AI10-$AH10-$AG10-$AF10-$AE10*(1+IN$3))/$AJ10,Уголь_коэфф!$A:$B,2,1),(IM10-0.05)))</f>
        <v>0.97</v>
      </c>
      <c r="IO10" s="102">
        <f>MIN(1,MAX(VLOOKUP(($AJ10-$AI10-$AH10-$AG10-$AF10-$AE10*(1+IO$3))/$AJ10,Уголь_коэфф!$A:$B,2,1),(IN10-0.05)))</f>
        <v>0.97</v>
      </c>
      <c r="IP10" s="102">
        <f>MIN(1,MAX(VLOOKUP(($AJ10-$AI10-$AH10-$AG10-$AF10-$AE10*(1+IP$3))/$AJ10,Уголь_коэфф!$A:$B,2,1),(IO10-0.05)))</f>
        <v>0.97</v>
      </c>
      <c r="IQ10" s="102">
        <f>MIN(1,MAX(VLOOKUP(($AJ10-$AI10-$AH10-$AG10-$AF10-$AE10*(1+IQ$3))/$AJ10,Уголь_коэфф!$A:$B,2,1),(IP10-0.05)))</f>
        <v>0.96499999999999997</v>
      </c>
      <c r="IR10" s="102">
        <f>MIN(1,MAX(VLOOKUP(($AJ10-$AI10-$AH10-$AG10-$AF10-$AE10*(1+IR$3))/$AJ10,Уголь_коэфф!$A:$B,2,1),(IQ10-0.05)))</f>
        <v>0.96499999999999997</v>
      </c>
      <c r="IS10" s="102">
        <f t="shared" si="20"/>
        <v>1</v>
      </c>
      <c r="IT10" s="102">
        <f t="shared" si="7"/>
        <v>1</v>
      </c>
      <c r="IU10" s="110"/>
    </row>
    <row r="11" spans="1:266" ht="14.6" customHeight="1">
      <c r="A11" t="s">
        <v>240</v>
      </c>
      <c r="B11" s="149">
        <v>1</v>
      </c>
      <c r="C11" s="150" t="s">
        <v>16</v>
      </c>
      <c r="D11" s="151">
        <v>16117</v>
      </c>
      <c r="E11" s="151" t="s">
        <v>70</v>
      </c>
      <c r="F11" s="150" t="s">
        <v>18</v>
      </c>
      <c r="G11" s="150" t="s">
        <v>45</v>
      </c>
      <c r="H11" s="151" t="s">
        <v>30</v>
      </c>
      <c r="I11" s="151" t="s">
        <v>71</v>
      </c>
      <c r="J11" s="151" t="s">
        <v>53</v>
      </c>
      <c r="K11" s="151">
        <v>4156</v>
      </c>
      <c r="L11" s="151" t="s">
        <v>22</v>
      </c>
      <c r="M11" s="151" t="s">
        <v>23</v>
      </c>
      <c r="N11" s="151" t="s">
        <v>24</v>
      </c>
      <c r="O11" s="151" t="s">
        <v>33</v>
      </c>
      <c r="P11" s="156">
        <v>82365518</v>
      </c>
      <c r="Q11" s="152" t="s">
        <v>68</v>
      </c>
      <c r="R11" s="151" t="s">
        <v>69</v>
      </c>
      <c r="S11" s="153">
        <v>1822456</v>
      </c>
      <c r="T11" s="154">
        <v>7574874184</v>
      </c>
      <c r="U11" s="154">
        <v>25338</v>
      </c>
      <c r="V11" s="154"/>
      <c r="W11" s="155">
        <v>3281208376</v>
      </c>
      <c r="X11" s="104">
        <v>69</v>
      </c>
      <c r="Y11" s="104" t="s">
        <v>163</v>
      </c>
      <c r="Z11" s="107">
        <v>11</v>
      </c>
      <c r="AA11" s="107">
        <v>12</v>
      </c>
      <c r="AB11" s="107">
        <v>4</v>
      </c>
      <c r="AC11" s="88">
        <v>2082.23</v>
      </c>
      <c r="AD11" s="88">
        <v>928.75999999999976</v>
      </c>
      <c r="AE11" s="88">
        <f t="shared" si="22"/>
        <v>3010.99</v>
      </c>
      <c r="AF11" s="89">
        <f>'Цены,перевалка,аренда'!$C$27*SUM(Уголь_эластика_экспорт!Z11+Уголь_эластика_экспорт!AA11+Уголь_эластика_экспорт!AB11)/Уголь_эластика_экспорт!X11</f>
        <v>273.91304347826087</v>
      </c>
      <c r="AG11" s="90">
        <f>SUMIF('Цены,перевалка,аренда'!$A$20:$A$22,Уголь_эластика_экспорт!$O11,'Цены,перевалка,аренда'!$D$20:$D$22)</f>
        <v>610.44399999999996</v>
      </c>
      <c r="AH11" s="47"/>
      <c r="AI11" s="91">
        <v>2736</v>
      </c>
      <c r="AJ11" s="92">
        <f>SUMIF('Цены,перевалка,аренда'!$A$5:$A$17,Уголь_эластика_экспорт!A11,'Цены,перевалка,аренда'!$D$5:$D$17)</f>
        <v>6485.9674999999997</v>
      </c>
      <c r="AK11" s="47">
        <f>AJ11/'Цены,перевалка,аренда'!$C$1</f>
        <v>85</v>
      </c>
      <c r="AL11" s="47">
        <f t="shared" si="9"/>
        <v>3895.3470434782607</v>
      </c>
      <c r="AM11" s="47">
        <f t="shared" si="10"/>
        <v>2590.620456521739</v>
      </c>
      <c r="AN11" s="47">
        <f t="shared" si="11"/>
        <v>6631.3470434782612</v>
      </c>
      <c r="AO11" s="93">
        <f t="shared" si="12"/>
        <v>-2.2414473010890272E-2</v>
      </c>
      <c r="AP11" s="94">
        <f t="shared" si="13"/>
        <v>0.60058072191670109</v>
      </c>
      <c r="AQ11" s="94">
        <f t="shared" si="5"/>
        <v>0.46423143501721215</v>
      </c>
      <c r="AR11" s="94">
        <f t="shared" si="6"/>
        <v>0.77297092310199023</v>
      </c>
      <c r="AS11" s="167">
        <f t="shared" si="14"/>
        <v>0.97</v>
      </c>
      <c r="AT11" s="173">
        <f t="shared" si="15"/>
        <v>1767782.32</v>
      </c>
      <c r="AU11" s="97">
        <v>0.9</v>
      </c>
      <c r="AV11" s="93">
        <f t="shared" si="16"/>
        <v>-7.8122245212955729E-2</v>
      </c>
      <c r="AW11" s="94">
        <f t="shared" si="17"/>
        <v>0.65628849411876666</v>
      </c>
      <c r="AX11" s="94">
        <f t="shared" si="18"/>
        <v>0.51993920721927767</v>
      </c>
      <c r="AY11" s="94">
        <f t="shared" si="19"/>
        <v>0.7922418446744639</v>
      </c>
      <c r="AZ11" s="102">
        <f>MIN(IF($AU11=100%,1,1+VLOOKUP(($AJ11-$AI11-$AH11-$AG11-$AF11-$AE11*(1+AZ$3))/$AJ11,Уголь_коэфф!$A:$B,2,1)-VLOOKUP($AO11,Уголь_коэфф!$A:$B,2,1)),1+(1-$AU11))</f>
        <v>1.097</v>
      </c>
      <c r="BA11" s="102">
        <f>MIN(IF($AU11=100%,1,1+VLOOKUP(($AJ11-$AI11-$AH11-$AG11-$AF11-$AE11*(1+BA$3))/$AJ11,Уголь_коэфф!$A:$B,2,1)-VLOOKUP($AO11,Уголь_коэфф!$A:$B,2,1)),1+(1-$AU11))</f>
        <v>1.097</v>
      </c>
      <c r="BB11" s="102">
        <f>MIN(IF($AU11=100%,1,1+VLOOKUP(($AJ11-$AI11-$AH11-$AG11-$AF11-$AE11*(1+BB$3))/$AJ11,Уголь_коэфф!$A:$B,2,1)-VLOOKUP($AO11,Уголь_коэфф!$A:$B,2,1)),1+(1-$AU11))</f>
        <v>1.097</v>
      </c>
      <c r="BC11" s="102">
        <f>MIN(IF($AU11=100%,1,1+VLOOKUP(($AJ11-$AI11-$AH11-$AG11-$AF11-$AE11*(1+BC$3))/$AJ11,Уголь_коэфф!$A:$B,2,1)-VLOOKUP($AO11,Уголь_коэфф!$A:$B,2,1)),1+(1-$AU11))</f>
        <v>1.097</v>
      </c>
      <c r="BD11" s="102">
        <f>MIN(IF($AU11=100%,1,1+VLOOKUP(($AJ11-$AI11-$AH11-$AG11-$AF11-$AE11*(1+BD$3))/$AJ11,Уголь_коэфф!$A:$B,2,1)-VLOOKUP($AO11,Уголь_коэфф!$A:$B,2,1)),1+(1-$AU11))</f>
        <v>1.097</v>
      </c>
      <c r="BE11" s="102">
        <f>MIN(IF($AU11=100%,1,1+VLOOKUP(($AJ11-$AI11-$AH11-$AG11-$AF11-$AE11*(1+BE$3))/$AJ11,Уголь_коэфф!$A:$B,2,1)-VLOOKUP($AO11,Уголь_коэфф!$A:$B,2,1)),1+(1-$AU11))</f>
        <v>1.0910000000000002</v>
      </c>
      <c r="BF11" s="102">
        <f>MIN(IF($AU11=100%,1,1+VLOOKUP(($AJ11-$AI11-$AH11-$AG11-$AF11-$AE11*(1+BF$3))/$AJ11,Уголь_коэфф!$A:$B,2,1)-VLOOKUP($AO11,Уголь_коэфф!$A:$B,2,1)),1+(1-$AU11))</f>
        <v>1.0910000000000002</v>
      </c>
      <c r="BG11" s="102">
        <f>MIN(IF($AU11=100%,1,1+VLOOKUP(($AJ11-$AI11-$AH11-$AG11-$AF11-$AE11*(1+BG$3))/$AJ11,Уголь_коэфф!$A:$B,2,1)-VLOOKUP($AO11,Уголь_коэфф!$A:$B,2,1)),1+(1-$AU11))</f>
        <v>1.0910000000000002</v>
      </c>
      <c r="BH11" s="102">
        <f>MIN(IF($AU11=100%,1,1+VLOOKUP(($AJ11-$AI11-$AH11-$AG11-$AF11-$AE11*(1+BH$3))/$AJ11,Уголь_коэфф!$A:$B,2,1)-VLOOKUP($AO11,Уголь_коэфф!$A:$B,2,1)),1+(1-$AU11))</f>
        <v>1.0910000000000002</v>
      </c>
      <c r="BI11" s="102">
        <f>MIN(IF($AU11=100%,1,1+VLOOKUP(($AJ11-$AI11-$AH11-$AG11-$AF11-$AE11*(1+BI$3))/$AJ11,Уголь_коэфф!$A:$B,2,1)-VLOOKUP($AO11,Уголь_коэфф!$A:$B,2,1)),1+(1-$AU11))</f>
        <v>1.085</v>
      </c>
      <c r="BJ11" s="102">
        <f>MIN(IF($AU11=100%,1,1+VLOOKUP(($AJ11-$AI11-$AH11-$AG11-$AF11-$AE11*(1+BJ$3))/$AJ11,Уголь_коэфф!$A:$B,2,1)-VLOOKUP($AO11,Уголь_коэфф!$A:$B,2,1)),1+(1-$AU11))</f>
        <v>1.085</v>
      </c>
      <c r="BK11" s="102">
        <f>MIN(IF($AU11=100%,1,1+VLOOKUP(($AJ11-$AI11-$AH11-$AG11-$AF11-$AE11*(1+BK$3))/$AJ11,Уголь_коэфф!$A:$B,2,1)-VLOOKUP($AO11,Уголь_коэфф!$A:$B,2,1)),1+(1-$AU11))</f>
        <v>1.085</v>
      </c>
      <c r="BL11" s="102">
        <f>MIN(IF($AU11=100%,1,1+VLOOKUP(($AJ11-$AI11-$AH11-$AG11-$AF11-$AE11*(1+BL$3))/$AJ11,Уголь_коэфф!$A:$B,2,1)-VLOOKUP($AO11,Уголь_коэфф!$A:$B,2,1)),1+(1-$AU11))</f>
        <v>1.085</v>
      </c>
      <c r="BM11" s="102">
        <f>MIN(IF($AU11=100%,1,1+VLOOKUP(($AJ11-$AI11-$AH11-$AG11-$AF11-$AE11*(1+BM$3))/$AJ11,Уголь_коэфф!$A:$B,2,1)-VLOOKUP($AO11,Уголь_коэфф!$A:$B,2,1)),1+(1-$AU11))</f>
        <v>1.08</v>
      </c>
      <c r="BN11" s="102">
        <f>MIN(IF($AU11=100%,1,1+VLOOKUP(($AJ11-$AI11-$AH11-$AG11-$AF11-$AE11*(1+BN$3))/$AJ11,Уголь_коэфф!$A:$B,2,1)-VLOOKUP($AO11,Уголь_коэфф!$A:$B,2,1)),1+(1-$AU11))</f>
        <v>1.08</v>
      </c>
      <c r="BO11" s="102">
        <f>MIN(IF($AU11=100%,1,1+VLOOKUP(($AJ11-$AI11-$AH11-$AG11-$AF11-$AE11*(1+BO$3))/$AJ11,Уголь_коэфф!$A:$B,2,1)-VLOOKUP($AO11,Уголь_коэфф!$A:$B,2,1)),1+(1-$AU11))</f>
        <v>1.08</v>
      </c>
      <c r="BP11" s="102">
        <f>MIN(IF($AU11=100%,1,1+VLOOKUP(($AJ11-$AI11-$AH11-$AG11-$AF11-$AE11*(1+BP$3))/$AJ11,Уголь_коэфф!$A:$B,2,1)-VLOOKUP($AO11,Уголь_коэфф!$A:$B,2,1)),1+(1-$AU11))</f>
        <v>1.08</v>
      </c>
      <c r="BQ11" s="102">
        <f>MIN(IF($AU11=100%,1,1+VLOOKUP(($AJ11-$AI11-$AH11-$AG11-$AF11-$AE11*(1+BQ$3))/$AJ11,Уголь_коэфф!$A:$B,2,1)-VLOOKUP($AO11,Уголь_коэфф!$A:$B,2,1)),1+(1-$AU11))</f>
        <v>1.08</v>
      </c>
      <c r="BR11" s="102">
        <f>MIN(IF($AU11=100%,1,1+VLOOKUP(($AJ11-$AI11-$AH11-$AG11-$AF11-$AE11*(1+BR$3))/$AJ11,Уголь_коэфф!$A:$B,2,1)-VLOOKUP($AO11,Уголь_коэфф!$A:$B,2,1)),1+(1-$AU11))</f>
        <v>1.0750000000000002</v>
      </c>
      <c r="BS11" s="102">
        <f>MIN(IF($AU11=100%,1,1+VLOOKUP(($AJ11-$AI11-$AH11-$AG11-$AF11-$AE11*(1+BS$3))/$AJ11,Уголь_коэфф!$A:$B,2,1)-VLOOKUP($AO11,Уголь_коэфф!$A:$B,2,1)),1+(1-$AU11))</f>
        <v>1.0750000000000002</v>
      </c>
      <c r="BT11" s="102">
        <f>MIN(IF($AU11=100%,1,1+VLOOKUP(($AJ11-$AI11-$AH11-$AG11-$AF11-$AE11*(1+BT$3))/$AJ11,Уголь_коэфф!$A:$B,2,1)-VLOOKUP($AO11,Уголь_коэфф!$A:$B,2,1)),1+(1-$AU11))</f>
        <v>1.0750000000000002</v>
      </c>
      <c r="BU11" s="102">
        <f>MIN(IF($AU11=100%,1,1+VLOOKUP(($AJ11-$AI11-$AH11-$AG11-$AF11-$AE11*(1+BU$3))/$AJ11,Уголь_коэфф!$A:$B,2,1)-VLOOKUP($AO11,Уголь_коэфф!$A:$B,2,1)),1+(1-$AU11))</f>
        <v>1.0750000000000002</v>
      </c>
      <c r="BV11" s="102">
        <f>MIN(IF($AU11=100%,1,1+VLOOKUP(($AJ11-$AI11-$AH11-$AG11-$AF11-$AE11*(1+BV$3))/$AJ11,Уголь_коэфф!$A:$B,2,1)-VLOOKUP($AO11,Уголь_коэфф!$A:$B,2,1)),1+(1-$AU11))</f>
        <v>1.0699999999999998</v>
      </c>
      <c r="BW11" s="102">
        <f>MIN(IF($AU11=100%,1,1+VLOOKUP(($AJ11-$AI11-$AH11-$AG11-$AF11-$AE11*(1+BW$3))/$AJ11,Уголь_коэфф!$A:$B,2,1)-VLOOKUP($AO11,Уголь_коэфф!$A:$B,2,1)),1+(1-$AU11))</f>
        <v>1.0699999999999998</v>
      </c>
      <c r="BX11" s="102">
        <f>MIN(IF($AU11=100%,1,1+VLOOKUP(($AJ11-$AI11-$AH11-$AG11-$AF11-$AE11*(1+BX$3))/$AJ11,Уголь_коэфф!$A:$B,2,1)-VLOOKUP($AO11,Уголь_коэфф!$A:$B,2,1)),1+(1-$AU11))</f>
        <v>1.0699999999999998</v>
      </c>
      <c r="BY11" s="102">
        <f>MIN(IF($AU11=100%,1,1+VLOOKUP(($AJ11-$AI11-$AH11-$AG11-$AF11-$AE11*(1+BY$3))/$AJ11,Уголь_коэфф!$A:$B,2,1)-VLOOKUP($AO11,Уголь_коэфф!$A:$B,2,1)),1+(1-$AU11))</f>
        <v>1.0699999999999998</v>
      </c>
      <c r="BZ11" s="102">
        <f>MIN(IF($AU11=100%,1,1+VLOOKUP(($AJ11-$AI11-$AH11-$AG11-$AF11-$AE11*(1+BZ$3))/$AJ11,Уголь_коэфф!$A:$B,2,1)-VLOOKUP($AO11,Уголь_коэфф!$A:$B,2,1)),1+(1-$AU11))</f>
        <v>1.0649999999999999</v>
      </c>
      <c r="CA11" s="102">
        <f>MIN(IF($AU11=100%,1,1+VLOOKUP(($AJ11-$AI11-$AH11-$AG11-$AF11-$AE11*(1+CA$3))/$AJ11,Уголь_коэфф!$A:$B,2,1)-VLOOKUP($AO11,Уголь_коэфф!$A:$B,2,1)),1+(1-$AU11))</f>
        <v>1.0649999999999999</v>
      </c>
      <c r="CB11" s="102">
        <f>MIN(IF($AU11=100%,1,1+VLOOKUP(($AJ11-$AI11-$AH11-$AG11-$AF11-$AE11*(1+CB$3))/$AJ11,Уголь_коэфф!$A:$B,2,1)-VLOOKUP($AO11,Уголь_коэфф!$A:$B,2,1)),1+(1-$AU11))</f>
        <v>1.0649999999999999</v>
      </c>
      <c r="CC11" s="102">
        <f>MIN(IF($AU11=100%,1,1+VLOOKUP(($AJ11-$AI11-$AH11-$AG11-$AF11-$AE11*(1+CC$3))/$AJ11,Уголь_коэфф!$A:$B,2,1)-VLOOKUP($AO11,Уголь_коэфф!$A:$B,2,1)),1+(1-$AU11))</f>
        <v>1.0649999999999999</v>
      </c>
      <c r="CD11" s="102">
        <f>MIN(IF($AU11=100%,1,1+VLOOKUP(($AJ11-$AI11-$AH11-$AG11-$AF11-$AE11*(1+CD$3))/$AJ11,Уголь_коэфф!$A:$B,2,1)-VLOOKUP($AO11,Уголь_коэфф!$A:$B,2,1)),1+(1-$AU11))</f>
        <v>1.0649999999999999</v>
      </c>
      <c r="CE11" s="102">
        <f>MIN(IF($AU11=100%,1,1+VLOOKUP(($AJ11-$AI11-$AH11-$AG11-$AF11-$AE11*(1+CE$3))/$AJ11,Уголь_коэфф!$A:$B,2,1)-VLOOKUP($AO11,Уголь_коэфф!$A:$B,2,1)),1+(1-$AU11))</f>
        <v>1.0599999999999996</v>
      </c>
      <c r="CF11" s="102">
        <f>MIN(IF($AU11=100%,1,1+VLOOKUP(($AJ11-$AI11-$AH11-$AG11-$AF11-$AE11*(1+CF$3))/$AJ11,Уголь_коэфф!$A:$B,2,1)-VLOOKUP($AO11,Уголь_коэфф!$A:$B,2,1)),1+(1-$AU11))</f>
        <v>1.0599999999999996</v>
      </c>
      <c r="CG11" s="102">
        <f>MIN(IF($AU11=100%,1,1+VLOOKUP(($AJ11-$AI11-$AH11-$AG11-$AF11-$AE11*(1+CG$3))/$AJ11,Уголь_коэфф!$A:$B,2,1)-VLOOKUP($AO11,Уголь_коэфф!$A:$B,2,1)),1+(1-$AU11))</f>
        <v>1.0599999999999996</v>
      </c>
      <c r="CH11" s="102">
        <f>MIN(IF($AU11=100%,1,1+VLOOKUP(($AJ11-$AI11-$AH11-$AG11-$AF11-$AE11*(1+CH$3))/$AJ11,Уголь_коэфф!$A:$B,2,1)-VLOOKUP($AO11,Уголь_коэфф!$A:$B,2,1)),1+(1-$AU11))</f>
        <v>1.0599999999999996</v>
      </c>
      <c r="CI11" s="102">
        <f>MIN(IF($AU11=100%,1,1+VLOOKUP(($AJ11-$AI11-$AH11-$AG11-$AF11-$AE11*(1+CI$3))/$AJ11,Уголь_коэфф!$A:$B,2,1)-VLOOKUP($AO11,Уголь_коэфф!$A:$B,2,1)),1+(1-$AU11))</f>
        <v>1.0549999999999997</v>
      </c>
      <c r="CJ11" s="102">
        <f>MIN(IF($AU11=100%,1,1+VLOOKUP(($AJ11-$AI11-$AH11-$AG11-$AF11-$AE11*(1+CJ$3))/$AJ11,Уголь_коэфф!$A:$B,2,1)-VLOOKUP($AO11,Уголь_коэфф!$A:$B,2,1)),1+(1-$AU11))</f>
        <v>1.0549999999999997</v>
      </c>
      <c r="CK11" s="102">
        <f>MIN(IF($AU11=100%,1,1+VLOOKUP(($AJ11-$AI11-$AH11-$AG11-$AF11-$AE11*(1+CK$3))/$AJ11,Уголь_коэфф!$A:$B,2,1)-VLOOKUP($AO11,Уголь_коэфф!$A:$B,2,1)),1+(1-$AU11))</f>
        <v>1.0549999999999997</v>
      </c>
      <c r="CL11" s="102">
        <f>MIN(IF($AU11=100%,1,1+VLOOKUP(($AJ11-$AI11-$AH11-$AG11-$AF11-$AE11*(1+CL$3))/$AJ11,Уголь_коэфф!$A:$B,2,1)-VLOOKUP($AO11,Уголь_коэфф!$A:$B,2,1)),1+(1-$AU11))</f>
        <v>1.0549999999999997</v>
      </c>
      <c r="CM11" s="102">
        <f>MIN(IF($AU11=100%,1,1+VLOOKUP(($AJ11-$AI11-$AH11-$AG11-$AF11-$AE11*(1+CM$3))/$AJ11,Уголь_коэфф!$A:$B,2,1)-VLOOKUP($AO11,Уголь_коэфф!$A:$B,2,1)),1+(1-$AU11))</f>
        <v>1.0499999999999998</v>
      </c>
      <c r="CN11" s="102">
        <f>MIN(IF($AU11=100%,1,1+VLOOKUP(($AJ11-$AI11-$AH11-$AG11-$AF11-$AE11*(1+CN$3))/$AJ11,Уголь_коэфф!$A:$B,2,1)-VLOOKUP($AO11,Уголь_коэфф!$A:$B,2,1)),1+(1-$AU11))</f>
        <v>1.0499999999999998</v>
      </c>
      <c r="CO11" s="102">
        <f>MIN(IF($AU11=100%,1,1+VLOOKUP(($AJ11-$AI11-$AH11-$AG11-$AF11-$AE11*(1+CO$3))/$AJ11,Уголь_коэфф!$A:$B,2,1)-VLOOKUP($AO11,Уголь_коэфф!$A:$B,2,1)),1+(1-$AU11))</f>
        <v>1.0499999999999998</v>
      </c>
      <c r="CP11" s="102">
        <f>MIN(IF($AU11=100%,1,1+VLOOKUP(($AJ11-$AI11-$AH11-$AG11-$AF11-$AE11*(1+CP$3))/$AJ11,Уголь_коэфф!$A:$B,2,1)-VLOOKUP($AO11,Уголь_коэфф!$A:$B,2,1)),1+(1-$AU11))</f>
        <v>1.0499999999999998</v>
      </c>
      <c r="CQ11" s="102">
        <f>MIN(IF($AU11=100%,1,1+VLOOKUP(($AJ11-$AI11-$AH11-$AG11-$AF11-$AE11*(1+CQ$3))/$AJ11,Уголь_коэфф!$A:$B,2,1)-VLOOKUP($AO11,Уголь_коэфф!$A:$B,2,1)),1+(1-$AU11))</f>
        <v>1.0449999999999999</v>
      </c>
      <c r="CR11" s="102">
        <f>MIN(IF($AU11=100%,1,1+VLOOKUP(($AJ11-$AI11-$AH11-$AG11-$AF11-$AE11*(1+CR$3))/$AJ11,Уголь_коэфф!$A:$B,2,1)-VLOOKUP($AO11,Уголь_коэфф!$A:$B,2,1)),1+(1-$AU11))</f>
        <v>1.0449999999999999</v>
      </c>
      <c r="CS11" s="102">
        <f>MIN(IF($AU11=100%,1,1+VLOOKUP(($AJ11-$AI11-$AH11-$AG11-$AF11-$AE11*(1+CS$3))/$AJ11,Уголь_коэфф!$A:$B,2,1)-VLOOKUP($AO11,Уголь_коэфф!$A:$B,2,1)),1+(1-$AU11))</f>
        <v>1.0449999999999999</v>
      </c>
      <c r="CT11" s="102">
        <f>MIN(IF($AU11=100%,1,1+VLOOKUP(($AJ11-$AI11-$AH11-$AG11-$AF11-$AE11*(1+CT$3))/$AJ11,Уголь_коэфф!$A:$B,2,1)-VLOOKUP($AO11,Уголь_коэфф!$A:$B,2,1)),1+(1-$AU11))</f>
        <v>1.0449999999999999</v>
      </c>
      <c r="CU11" s="102">
        <f>MIN(IF($AU11=100%,1,1+VLOOKUP(($AJ11-$AI11-$AH11-$AG11-$AF11-$AE11*(1+CU$3))/$AJ11,Уголь_коэфф!$A:$B,2,1)-VLOOKUP($AO11,Уголь_коэфф!$A:$B,2,1)),1+(1-$AU11))</f>
        <v>1.0449999999999999</v>
      </c>
      <c r="CV11" s="102">
        <f>MIN(IF($AU11=100%,1,1+VLOOKUP(($AJ11-$AI11-$AH11-$AG11-$AF11-$AE11*(1+CV$3))/$AJ11,Уголь_коэфф!$A:$B,2,1)-VLOOKUP($AO11,Уголь_коэфф!$A:$B,2,1)),1+(1-$AU11))</f>
        <v>1.04</v>
      </c>
      <c r="CW11" s="102">
        <f>MIN(IF($AU11=100%,1,1+VLOOKUP(($AJ11-$AI11-$AH11-$AG11-$AF11-$AE11*(1+CW$3))/$AJ11,Уголь_коэфф!$A:$B,2,1)-VLOOKUP($AO11,Уголь_коэфф!$A:$B,2,1)),1+(1-$AU11))</f>
        <v>1.04</v>
      </c>
      <c r="CX11" s="102">
        <f>MIN(IF($AU11=100%,1,1+VLOOKUP(($AJ11-$AI11-$AH11-$AG11-$AF11-$AE11*(1+CX$3))/$AJ11,Уголь_коэфф!$A:$B,2,1)-VLOOKUP($AO11,Уголь_коэфф!$A:$B,2,1)),1+(1-$AU11))</f>
        <v>1.04</v>
      </c>
      <c r="CY11" s="102">
        <f>MIN(IF($AU11=100%,1,1+VLOOKUP(($AJ11-$AI11-$AH11-$AG11-$AF11-$AE11*(1+CY$3))/$AJ11,Уголь_коэфф!$A:$B,2,1)-VLOOKUP($AO11,Уголь_коэфф!$A:$B,2,1)),1+(1-$AU11))</f>
        <v>1.04</v>
      </c>
      <c r="CZ11" s="102">
        <f>MIN(IF($AU11=100%,1,1+VLOOKUP(($AJ11-$AI11-$AH11-$AG11-$AF11-$AE11*(1+CZ$3))/$AJ11,Уголь_коэфф!$A:$B,2,1)-VLOOKUP($AO11,Уголь_коэфф!$A:$B,2,1)),1+(1-$AU11))</f>
        <v>1.0350000000000001</v>
      </c>
      <c r="DA11" s="102">
        <f>MIN(IF($AU11=100%,1,1+VLOOKUP(($AJ11-$AI11-$AH11-$AG11-$AF11-$AE11*(1+DA$3))/$AJ11,Уголь_коэфф!$A:$B,2,1)-VLOOKUP($AO11,Уголь_коэфф!$A:$B,2,1)),1+(1-$AU11))</f>
        <v>1.0350000000000001</v>
      </c>
      <c r="DB11" s="102">
        <f>MIN(IF($AU11=100%,1,1+VLOOKUP(($AJ11-$AI11-$AH11-$AG11-$AF11-$AE11*(1+DB$3))/$AJ11,Уголь_коэфф!$A:$B,2,1)-VLOOKUP($AO11,Уголь_коэфф!$A:$B,2,1)),1+(1-$AU11))</f>
        <v>1.0350000000000001</v>
      </c>
      <c r="DC11" s="102">
        <f>MIN(IF($AU11=100%,1,1+VLOOKUP(($AJ11-$AI11-$AH11-$AG11-$AF11-$AE11*(1+DC$3))/$AJ11,Уголь_коэфф!$A:$B,2,1)-VLOOKUP($AO11,Уголь_коэфф!$A:$B,2,1)),1+(1-$AU11))</f>
        <v>1.0350000000000001</v>
      </c>
      <c r="DD11" s="102">
        <f>MIN(IF($AU11=100%,1,1+VLOOKUP(($AJ11-$AI11-$AH11-$AG11-$AF11-$AE11*(1+DD$3))/$AJ11,Уголь_коэфф!$A:$B,2,1)-VLOOKUP($AO11,Уголь_коэфф!$A:$B,2,1)),1+(1-$AU11))</f>
        <v>1.0299999999999998</v>
      </c>
      <c r="DE11" s="102">
        <f>MIN(IF($AU11=100%,1,1+VLOOKUP(($AJ11-$AI11-$AH11-$AG11-$AF11-$AE11*(1+DE$3))/$AJ11,Уголь_коэфф!$A:$B,2,1)-VLOOKUP($AO11,Уголь_коэфф!$A:$B,2,1)),1+(1-$AU11))</f>
        <v>1.0299999999999998</v>
      </c>
      <c r="DF11" s="102">
        <f>MIN(IF($AU11=100%,1,1+VLOOKUP(($AJ11-$AI11-$AH11-$AG11-$AF11-$AE11*(1+DF$3))/$AJ11,Уголь_коэфф!$A:$B,2,1)-VLOOKUP($AO11,Уголь_коэфф!$A:$B,2,1)),1+(1-$AU11))</f>
        <v>1.0299999999999998</v>
      </c>
      <c r="DG11" s="102">
        <f>MIN(IF($AU11=100%,1,1+VLOOKUP(($AJ11-$AI11-$AH11-$AG11-$AF11-$AE11*(1+DG$3))/$AJ11,Уголь_коэфф!$A:$B,2,1)-VLOOKUP($AO11,Уголь_коэфф!$A:$B,2,1)),1+(1-$AU11))</f>
        <v>1.0299999999999998</v>
      </c>
      <c r="DH11" s="102">
        <f>MIN(IF($AU11=100%,1,1+VLOOKUP(($AJ11-$AI11-$AH11-$AG11-$AF11-$AE11*(1+DH$3))/$AJ11,Уголь_коэфф!$A:$B,2,1)-VLOOKUP($AO11,Уголь_коэфф!$A:$B,2,1)),1+(1-$AU11))</f>
        <v>1.0299999999999998</v>
      </c>
      <c r="DI11" s="102">
        <f>MIN(IF($AU11=100%,1,1+VLOOKUP(($AJ11-$AI11-$AH11-$AG11-$AF11-$AE11*(1+DI$3))/$AJ11,Уголь_коэфф!$A:$B,2,1)-VLOOKUP($AO11,Уголь_коэфф!$A:$B,2,1)),1+(1-$AU11))</f>
        <v>1.0299999999999998</v>
      </c>
      <c r="DJ11" s="102">
        <f>MIN(IF($AU11=100%,1,1+VLOOKUP(($AJ11-$AI11-$AH11-$AG11-$AF11-$AE11*(1+DJ$3))/$AJ11,Уголь_коэфф!$A:$B,2,1)-VLOOKUP($AO11,Уголь_коэфф!$A:$B,2,1)),1+(1-$AU11))</f>
        <v>1.0299999999999998</v>
      </c>
      <c r="DK11" s="102">
        <f>MIN(IF($AU11=100%,1,1+VLOOKUP(($AJ11-$AI11-$AH11-$AG11-$AF11-$AE11*(1+DK$3))/$AJ11,Уголь_коэфф!$A:$B,2,1)-VLOOKUP($AO11,Уголь_коэфф!$A:$B,2,1)),1+(1-$AU11))</f>
        <v>1.0299999999999998</v>
      </c>
      <c r="DL11" s="102">
        <f>MIN(IF($AU11=100%,1,1+VLOOKUP(($AJ11-$AI11-$AH11-$AG11-$AF11-$AE11*(1+DL$3))/$AJ11,Уголь_коэфф!$A:$B,2,1)-VLOOKUP($AO11,Уголь_коэфф!$A:$B,2,1)),1+(1-$AU11))</f>
        <v>1.0299999999999998</v>
      </c>
      <c r="DM11" s="102">
        <f>MIN(IF($AU11=100%,1,1+VLOOKUP(($AJ11-$AI11-$AH11-$AG11-$AF11-$AE11*(1+DM$3))/$AJ11,Уголь_коэфф!$A:$B,2,1)-VLOOKUP($AO11,Уголь_коэфф!$A:$B,2,1)),1+(1-$AU11))</f>
        <v>1.0299999999999998</v>
      </c>
      <c r="DN11" s="102">
        <f>MIN(IF($AU11=100%,1,1+VLOOKUP(($AJ11-$AI11-$AH11-$AG11-$AF11-$AE11*(1+DN$3))/$AJ11,Уголь_коэфф!$A:$B,2,1)-VLOOKUP($AO11,Уголь_коэфф!$A:$B,2,1)),1+(1-$AU11))</f>
        <v>1.0299999999999998</v>
      </c>
      <c r="DO11" s="102">
        <f>MIN(IF($AU11=100%,1,1+VLOOKUP(($AJ11-$AI11-$AH11-$AG11-$AF11-$AE11*(1+DO$3))/$AJ11,Уголь_коэфф!$A:$B,2,1)-VLOOKUP($AO11,Уголь_коэфф!$A:$B,2,1)),1+(1-$AU11))</f>
        <v>1.0299999999999998</v>
      </c>
      <c r="DP11" s="102">
        <f>MIN(IF($AU11=100%,1,1+VLOOKUP(($AJ11-$AI11-$AH11-$AG11-$AF11-$AE11*(1+DP$3))/$AJ11,Уголь_коэфф!$A:$B,2,1)-VLOOKUP($AO11,Уголь_коэфф!$A:$B,2,1)),1+(1-$AU11))</f>
        <v>1.0299999999999998</v>
      </c>
      <c r="DQ11" s="102">
        <f>MIN(IF($AU11=100%,1,1+VLOOKUP(($AJ11-$AI11-$AH11-$AG11-$AF11-$AE11*(1+DQ$3))/$AJ11,Уголь_коэфф!$A:$B,2,1)-VLOOKUP($AO11,Уголь_коэфф!$A:$B,2,1)),1+(1-$AU11))</f>
        <v>1.0049999999999999</v>
      </c>
      <c r="DR11" s="102">
        <f>MIN(IF($AU11=100%,1,1+VLOOKUP(($AJ11-$AI11-$AH11-$AG11-$AF11-$AE11*(1+DR$3))/$AJ11,Уголь_коэфф!$A:$B,2,1)-VLOOKUP($AO11,Уголь_коэфф!$A:$B,2,1)),1+(1-$AU11))</f>
        <v>1.0049999999999999</v>
      </c>
      <c r="DS11" s="102">
        <f>MIN(IF($AU11=100%,1,1+VLOOKUP(($AJ11-$AI11-$AH11-$AG11-$AF11-$AE11*(1+DS$3))/$AJ11,Уголь_коэфф!$A:$B,2,1)-VLOOKUP($AO11,Уголь_коэфф!$A:$B,2,1)),1+(1-$AU11))</f>
        <v>1.0049999999999999</v>
      </c>
      <c r="DT11" s="102">
        <f>MIN(IF($AU11=100%,1,1+VLOOKUP(($AJ11-$AI11-$AH11-$AG11-$AF11-$AE11*(1+DT$3))/$AJ11,Уголь_коэфф!$A:$B,2,1)-VLOOKUP($AO11,Уголь_коэфф!$A:$B,2,1)),1+(1-$AU11))</f>
        <v>1.0049999999999999</v>
      </c>
      <c r="DU11" s="102">
        <f>MIN(IF($AU11=100%,1,1+VLOOKUP(($AJ11-$AI11-$AH11-$AG11-$AF11-$AE11*(1+DU$3))/$AJ11,Уголь_коэфф!$A:$B,2,1)-VLOOKUP($AO11,Уголь_коэфф!$A:$B,2,1)),1+(1-$AU11))</f>
        <v>1.0049999999999999</v>
      </c>
      <c r="DV11" s="102">
        <f>MIN(IF($AU11=100%,1,1+VLOOKUP(($AJ11-$AI11-$AH11-$AG11-$AF11-$AE11*(1+DV$3))/$AJ11,Уголь_коэфф!$A:$B,2,1)-VLOOKUP($AO11,Уголь_коэфф!$A:$B,2,1)),1+(1-$AU11))</f>
        <v>1.0049999999999999</v>
      </c>
      <c r="DW11" s="102">
        <f>MIN(IF($AU11=100%,1,1+VLOOKUP(($AJ11-$AI11-$AH11-$AG11-$AF11-$AE11*(1+DW$3))/$AJ11,Уголь_коэфф!$A:$B,2,1)-VLOOKUP($AO11,Уголь_коэфф!$A:$B,2,1)),1+(1-$AU11))</f>
        <v>1.0049999999999999</v>
      </c>
      <c r="DX11" s="102">
        <f>MIN(IF($AU11=100%,1,1+VLOOKUP(($AJ11-$AI11-$AH11-$AG11-$AF11-$AE11*(1+DX$3))/$AJ11,Уголь_коэфф!$A:$B,2,1)-VLOOKUP($AO11,Уголь_коэфф!$A:$B,2,1)),1+(1-$AU11))</f>
        <v>1.0049999999999999</v>
      </c>
      <c r="DY11" s="102">
        <f>MIN(IF($AU11=100%,1,1+VLOOKUP(($AJ11-$AI11-$AH11-$AG11-$AF11-$AE11*(1+DY$3))/$AJ11,Уголь_коэфф!$A:$B,2,1)-VLOOKUP($AO11,Уголь_коэфф!$A:$B,2,1)),1+(1-$AU11))</f>
        <v>1.0049999999999999</v>
      </c>
      <c r="DZ11" s="102">
        <f>MIN(IF($AU11=100%,1,1+VLOOKUP(($AJ11-$AI11-$AH11-$AG11-$AF11-$AE11*(1+DZ$3))/$AJ11,Уголь_коэфф!$A:$B,2,1)-VLOOKUP($AO11,Уголь_коэфф!$A:$B,2,1)),1+(1-$AU11))</f>
        <v>1.0049999999999999</v>
      </c>
      <c r="EA11" s="102">
        <f>MIN(IF($AU11=100%,1,1+VLOOKUP(($AJ11-$AI11-$AH11-$AG11-$AF11-$AE11*(1+EA$3))/$AJ11,Уголь_коэфф!$A:$B,2,1)-VLOOKUP($AO11,Уголь_коэфф!$A:$B,2,1)),1+(1-$AU11))</f>
        <v>1.0049999999999999</v>
      </c>
      <c r="EB11" s="102">
        <f>MIN(IF($AU11=100%,1,1+VLOOKUP(($AJ11-$AI11-$AH11-$AG11-$AF11-$AE11*(1+EB$3))/$AJ11,Уголь_коэфф!$A:$B,2,1)-VLOOKUP($AO11,Уголь_коэфф!$A:$B,2,1)),1+(1-$AU11))</f>
        <v>1.0049999999999999</v>
      </c>
      <c r="EC11" s="102">
        <f>MIN(IF($AU11=100%,1,1+VLOOKUP(($AJ11-$AI11-$AH11-$AG11-$AF11-$AE11*(1+EC$3))/$AJ11,Уголь_коэфф!$A:$B,2,1)-VLOOKUP($AO11,Уголь_коэфф!$A:$B,2,1)),1+(1-$AU11))</f>
        <v>1.0049999999999999</v>
      </c>
      <c r="ED11" s="102">
        <f>MIN(IF($AU11=100%,1,1+VLOOKUP(($AJ11-$AI11-$AH11-$AG11-$AF11-$AE11*(1+ED$3))/$AJ11,Уголь_коэфф!$A:$B,2,1)-VLOOKUP($AO11,Уголь_коэфф!$A:$B,2,1)),1+(1-$AU11))</f>
        <v>1.0049999999999999</v>
      </c>
      <c r="EE11" s="102">
        <f>MIN(IF($AU11=100%,1,1+VLOOKUP(($AJ11-$AI11-$AH11-$AG11-$AF11-$AE11*(1+EE$3))/$AJ11,Уголь_коэфф!$A:$B,2,1)-VLOOKUP($AO11,Уголь_коэфф!$A:$B,2,1)),1+(1-$AU11))</f>
        <v>1.0049999999999999</v>
      </c>
      <c r="EF11" s="102">
        <f>MIN(IF($AU11=100%,1,1+VLOOKUP(($AJ11-$AI11-$AH11-$AG11-$AF11-$AE11*(1+EF$3))/$AJ11,Уголь_коэфф!$A:$B,2,1)-VLOOKUP($AO11,Уголь_коэфф!$A:$B,2,1)),1+(1-$AU11))</f>
        <v>1.0049999999999999</v>
      </c>
      <c r="EG11" s="102">
        <f>MIN(IF($AU11=100%,1,1+VLOOKUP(($AJ11-$AI11-$AH11-$AG11-$AF11-$AE11*(1+EG$3))/$AJ11,Уголь_коэфф!$A:$B,2,1)-VLOOKUP($AO11,Уголь_коэфф!$A:$B,2,1)),1+(1-$AU11))</f>
        <v>1.0049999999999999</v>
      </c>
      <c r="EH11" s="102">
        <f>MIN(IF($AU11=100%,1,1+VLOOKUP(($AJ11-$AI11-$AH11-$AG11-$AF11-$AE11*(1+EH$3))/$AJ11,Уголь_коэфф!$A:$B,2,1)-VLOOKUP($AO11,Уголь_коэфф!$A:$B,2,1)),1+(1-$AU11))</f>
        <v>1.0049999999999999</v>
      </c>
      <c r="EI11" s="102">
        <f>MIN(IF($AU11=100%,1,1+VLOOKUP(($AJ11-$AI11-$AH11-$AG11-$AF11-$AE11*(1+EI$3))/$AJ11,Уголь_коэфф!$A:$B,2,1)-VLOOKUP($AO11,Уголь_коэфф!$A:$B,2,1)),1+(1-$AU11))</f>
        <v>1.0049999999999999</v>
      </c>
      <c r="EJ11" s="102">
        <f>MIN(IF($AU11=100%,1,1+VLOOKUP(($AJ11-$AI11-$AH11-$AG11-$AF11-$AE11*(1+EJ$3))/$AJ11,Уголь_коэфф!$A:$B,2,1)-VLOOKUP($AO11,Уголь_коэфф!$A:$B,2,1)),1+(1-$AU11))</f>
        <v>1.0049999999999999</v>
      </c>
      <c r="EK11" s="102">
        <f>MIN(IF($AU11=100%,1,1+VLOOKUP(($AJ11-$AI11-$AH11-$AG11-$AF11-$AE11*(1+EK$3))/$AJ11,Уголь_коэфф!$A:$B,2,1)-VLOOKUP($AO11,Уголь_коэфф!$A:$B,2,1)),1+(1-$AU11))</f>
        <v>1.0049999999999999</v>
      </c>
      <c r="EL11" s="102">
        <f>MIN(IF($AU11=100%,1,1+VLOOKUP(($AJ11-$AI11-$AH11-$AG11-$AF11-$AE11*(1+EL$3))/$AJ11,Уголь_коэфф!$A:$B,2,1)-VLOOKUP($AO11,Уголь_коэфф!$A:$B,2,1)),1+(1-$AU11))</f>
        <v>1.0049999999999999</v>
      </c>
      <c r="EM11" s="102">
        <f>MIN(IF($AU11=100%,1,1+VLOOKUP(($AJ11-$AI11-$AH11-$AG11-$AF11-$AE11*(1+EM$3))/$AJ11,Уголь_коэфф!$A:$B,2,1)-VLOOKUP($AO11,Уголь_коэфф!$A:$B,2,1)),1+(1-$AU11))</f>
        <v>1.0049999999999999</v>
      </c>
      <c r="EN11" s="102">
        <f>MIN(IF($AU11=100%,1,1+VLOOKUP(($AJ11-$AI11-$AH11-$AG11-$AF11-$AE11*(1+EN$3))/$AJ11,Уголь_коэфф!$A:$B,2,1)-VLOOKUP($AO11,Уголь_коэфф!$A:$B,2,1)),1+(1-$AU11))</f>
        <v>1.0049999999999999</v>
      </c>
      <c r="EO11" s="102">
        <f>MIN(IF($AU11=100%,1,1+VLOOKUP(($AJ11-$AI11-$AH11-$AG11-$AF11-$AE11*(1+EO$3))/$AJ11,Уголь_коэфф!$A:$B,2,1)-VLOOKUP($AO11,Уголь_коэфф!$A:$B,2,1)),1+(1-$AU11))</f>
        <v>1.0049999999999999</v>
      </c>
      <c r="EP11" s="102">
        <f>MIN(IF($AU11=100%,1,1+VLOOKUP(($AJ11-$AI11-$AH11-$AG11-$AF11-$AE11*(1+EP$3))/$AJ11,Уголь_коэфф!$A:$B,2,1)-VLOOKUP($AO11,Уголь_коэфф!$A:$B,2,1)),1+(1-$AU11))</f>
        <v>1.0049999999999999</v>
      </c>
      <c r="EQ11" s="102">
        <f>MIN(IF($AU11=100%,1,1+VLOOKUP(($AJ11-$AI11-$AH11-$AG11-$AF11-$AE11*(1+EQ$3))/$AJ11,Уголь_коэфф!$A:$B,2,1)-VLOOKUP($AO11,Уголь_коэфф!$A:$B,2,1)),1+(1-$AU11))</f>
        <v>1.0049999999999999</v>
      </c>
      <c r="ER11" s="102">
        <f>MIN(IF($AU11=100%,1,1+VLOOKUP(($AJ11-$AI11-$AH11-$AG11-$AF11-$AE11*(1+ER$3))/$AJ11,Уголь_коэфф!$A:$B,2,1)-VLOOKUP($AO11,Уголь_коэфф!$A:$B,2,1)),1+(1-$AU11))</f>
        <v>1.0049999999999999</v>
      </c>
      <c r="ES11" s="102">
        <f>MIN(IF($AU11=100%,1,1+VLOOKUP(($AJ11-$AI11-$AH11-$AG11-$AF11-$AE11*(1+ES$3))/$AJ11,Уголь_коэфф!$A:$B,2,1)-VLOOKUP($AO11,Уголь_коэфф!$A:$B,2,1)),1+(1-$AU11))</f>
        <v>1.0049999999999999</v>
      </c>
      <c r="ET11" s="102">
        <f>MIN(IF($AU11=100%,1,1+VLOOKUP(($AJ11-$AI11-$AH11-$AG11-$AF11-$AE11*(1+ET$3))/$AJ11,Уголь_коэфф!$A:$B,2,1)-VLOOKUP($AO11,Уголь_коэфф!$A:$B,2,1)),1+(1-$AU11))</f>
        <v>1.0049999999999999</v>
      </c>
      <c r="EU11" s="102">
        <f>MIN(IF($AU11=100%,1,1+VLOOKUP(($AJ11-$AI11-$AH11-$AG11-$AF11-$AE11*(1+EU$3))/$AJ11,Уголь_коэфф!$A:$B,2,1)-VLOOKUP($AO11,Уголь_коэфф!$A:$B,2,1)),1+(1-$AU11))</f>
        <v>1</v>
      </c>
      <c r="EV11" s="103">
        <v>1</v>
      </c>
      <c r="EW11" s="102">
        <f>MIN(1,MAX(VLOOKUP(($AJ11-$AI11-$AH11-$AG11-$AF11-$AE11*(1+EW$3))/$AJ11,Уголь_коэфф!$A:$B,2,1),(EV11-0.05)))</f>
        <v>0.995</v>
      </c>
      <c r="EX11" s="102">
        <f>MIN(1,MAX(VLOOKUP(($AJ11-$AI11-$AH11-$AG11-$AF11-$AE11*(1+EX$3))/$AJ11,Уголь_коэфф!$A:$B,2,1),(EW11-0.05)))</f>
        <v>0.995</v>
      </c>
      <c r="EY11" s="102">
        <f>MIN(1,MAX(VLOOKUP(($AJ11-$AI11-$AH11-$AG11-$AF11-$AE11*(1+EY$3))/$AJ11,Уголь_коэфф!$A:$B,2,1),(EX11-0.05)))</f>
        <v>0.995</v>
      </c>
      <c r="EZ11" s="102">
        <f>MIN(1,MAX(VLOOKUP(($AJ11-$AI11-$AH11-$AG11-$AF11-$AE11*(1+EZ$3))/$AJ11,Уголь_коэфф!$A:$B,2,1),(EY11-0.05)))</f>
        <v>0.99</v>
      </c>
      <c r="FA11" s="102">
        <f>MIN(1,MAX(VLOOKUP(($AJ11-$AI11-$AH11-$AG11-$AF11-$AE11*(1+FA$3))/$AJ11,Уголь_коэфф!$A:$B,2,1),(EZ11-0.05)))</f>
        <v>0.99</v>
      </c>
      <c r="FB11" s="102">
        <f>MIN(1,MAX(VLOOKUP(($AJ11-$AI11-$AH11-$AG11-$AF11-$AE11*(1+FB$3))/$AJ11,Уголь_коэфф!$A:$B,2,1),(FA11-0.05)))</f>
        <v>0.99</v>
      </c>
      <c r="FC11" s="102">
        <f>MIN(1,MAX(VLOOKUP(($AJ11-$AI11-$AH11-$AG11-$AF11-$AE11*(1+FC$3))/$AJ11,Уголь_коэфф!$A:$B,2,1),(FB11-0.05)))</f>
        <v>0.99</v>
      </c>
      <c r="FD11" s="102">
        <f>MIN(1,MAX(VLOOKUP(($AJ11-$AI11-$AH11-$AG11-$AF11-$AE11*(1+FD$3))/$AJ11,Уголь_коэфф!$A:$B,2,1),(FC11-0.05)))</f>
        <v>0.98499999999999999</v>
      </c>
      <c r="FE11" s="102">
        <f>MIN(1,MAX(VLOOKUP(($AJ11-$AI11-$AH11-$AG11-$AF11-$AE11*(1+FE$3))/$AJ11,Уголь_коэфф!$A:$B,2,1),(FD11-0.05)))</f>
        <v>0.98499999999999999</v>
      </c>
      <c r="FF11" s="102">
        <f>MIN(1,MAX(VLOOKUP(($AJ11-$AI11-$AH11-$AG11-$AF11-$AE11*(1+FF$3))/$AJ11,Уголь_коэфф!$A:$B,2,1),(FE11-0.05)))</f>
        <v>0.98499999999999999</v>
      </c>
      <c r="FG11" s="102">
        <f>MIN(1,MAX(VLOOKUP(($AJ11-$AI11-$AH11-$AG11-$AF11-$AE11*(1+FG$3))/$AJ11,Уголь_коэфф!$A:$B,2,1),(FF11-0.05)))</f>
        <v>0.98499999999999999</v>
      </c>
      <c r="FH11" s="102">
        <f>MIN(1,MAX(VLOOKUP(($AJ11-$AI11-$AH11-$AG11-$AF11-$AE11*(1+FH$3))/$AJ11,Уголь_коэфф!$A:$B,2,1),(FG11-0.05)))</f>
        <v>0.98</v>
      </c>
      <c r="FI11" s="102">
        <f>MIN(1,MAX(VLOOKUP(($AJ11-$AI11-$AH11-$AG11-$AF11-$AE11*(1+FI$3))/$AJ11,Уголь_коэфф!$A:$B,2,1),(FH11-0.05)))</f>
        <v>0.98</v>
      </c>
      <c r="FJ11" s="102">
        <f>MIN(1,MAX(VLOOKUP(($AJ11-$AI11-$AH11-$AG11-$AF11-$AE11*(1+FJ$3))/$AJ11,Уголь_коэфф!$A:$B,2,1),(FI11-0.05)))</f>
        <v>0.98</v>
      </c>
      <c r="FK11" s="102">
        <f>MIN(1,MAX(VLOOKUP(($AJ11-$AI11-$AH11-$AG11-$AF11-$AE11*(1+FK$3))/$AJ11,Уголь_коэфф!$A:$B,2,1),(FJ11-0.05)))</f>
        <v>0.98</v>
      </c>
      <c r="FL11" s="102">
        <f>MIN(1,MAX(VLOOKUP(($AJ11-$AI11-$AH11-$AG11-$AF11-$AE11*(1+FL$3))/$AJ11,Уголь_коэфф!$A:$B,2,1),(FK11-0.05)))</f>
        <v>0.98</v>
      </c>
      <c r="FM11" s="102">
        <f>MIN(1,MAX(VLOOKUP(($AJ11-$AI11-$AH11-$AG11-$AF11-$AE11*(1+FM$3))/$AJ11,Уголь_коэфф!$A:$B,2,1),(FL11-0.05)))</f>
        <v>0.97499999999999998</v>
      </c>
      <c r="FN11" s="102">
        <f>MIN(1,MAX(VLOOKUP(($AJ11-$AI11-$AH11-$AG11-$AF11-$AE11*(1+FN$3))/$AJ11,Уголь_коэфф!$A:$B,2,1),(FM11-0.05)))</f>
        <v>0.97499999999999998</v>
      </c>
      <c r="FO11" s="102">
        <f>MIN(1,MAX(VLOOKUP(($AJ11-$AI11-$AH11-$AG11-$AF11-$AE11*(1+FO$3))/$AJ11,Уголь_коэфф!$A:$B,2,1),(FN11-0.05)))</f>
        <v>0.97499999999999998</v>
      </c>
      <c r="FP11" s="102">
        <f>MIN(1,MAX(VLOOKUP(($AJ11-$AI11-$AH11-$AG11-$AF11-$AE11*(1+FP$3))/$AJ11,Уголь_коэфф!$A:$B,2,1),(FO11-0.05)))</f>
        <v>0.97499999999999998</v>
      </c>
      <c r="FQ11" s="102">
        <f>MIN(1,MAX(VLOOKUP(($AJ11-$AI11-$AH11-$AG11-$AF11-$AE11*(1+FQ$3))/$AJ11,Уголь_коэфф!$A:$B,2,1),(FP11-0.05)))</f>
        <v>0.97</v>
      </c>
      <c r="FR11" s="102">
        <f>MIN(1,MAX(VLOOKUP(($AJ11-$AI11-$AH11-$AG11-$AF11-$AE11*(1+FR$3))/$AJ11,Уголь_коэфф!$A:$B,2,1),(FQ11-0.05)))</f>
        <v>0.97</v>
      </c>
      <c r="FS11" s="102">
        <f>MIN(1,MAX(VLOOKUP(($AJ11-$AI11-$AH11-$AG11-$AF11-$AE11*(1+FS$3))/$AJ11,Уголь_коэфф!$A:$B,2,1),(FR11-0.05)))</f>
        <v>0.97</v>
      </c>
      <c r="FT11" s="102">
        <f>MIN(1,MAX(VLOOKUP(($AJ11-$AI11-$AH11-$AG11-$AF11-$AE11*(1+FT$3))/$AJ11,Уголь_коэфф!$A:$B,2,1),(FS11-0.05)))</f>
        <v>0.97</v>
      </c>
      <c r="FU11" s="102">
        <f>MIN(1,MAX(VLOOKUP(($AJ11-$AI11-$AH11-$AG11-$AF11-$AE11*(1+FU$3))/$AJ11,Уголь_коэфф!$A:$B,2,1),(FT11-0.05)))</f>
        <v>0.96499999999999997</v>
      </c>
      <c r="FV11" s="102">
        <f>MIN(1,MAX(VLOOKUP(($AJ11-$AI11-$AH11-$AG11-$AF11-$AE11*(1+FV$3))/$AJ11,Уголь_коэфф!$A:$B,2,1),(FU11-0.05)))</f>
        <v>0.96499999999999997</v>
      </c>
      <c r="FW11" s="102">
        <f>MIN(1,MAX(VLOOKUP(($AJ11-$AI11-$AH11-$AG11-$AF11-$AE11*(1+FW$3))/$AJ11,Уголь_коэфф!$A:$B,2,1),(FV11-0.05)))</f>
        <v>0.96499999999999997</v>
      </c>
      <c r="FX11" s="102">
        <f>MIN(1,MAX(VLOOKUP(($AJ11-$AI11-$AH11-$AG11-$AF11-$AE11*(1+FX$3))/$AJ11,Уголь_коэфф!$A:$B,2,1),(FW11-0.05)))</f>
        <v>0.96499999999999997</v>
      </c>
      <c r="FY11" s="102">
        <f>MIN(1,MAX(VLOOKUP(($AJ11-$AI11-$AH11-$AG11-$AF11-$AE11*(1+FY$3))/$AJ11,Уголь_коэфф!$A:$B,2,1),(FX11-0.05)))</f>
        <v>0.96499999999999997</v>
      </c>
      <c r="FZ11" s="102">
        <f>MIN(1,MAX(VLOOKUP(($AJ11-$AI11-$AH11-$AG11-$AF11-$AE11*(1+FZ$3))/$AJ11,Уголь_коэфф!$A:$B,2,1),(FY11-0.05)))</f>
        <v>0.96</v>
      </c>
      <c r="GA11" s="102">
        <f>MIN(1,MAX(VLOOKUP(($AJ11-$AI11-$AH11-$AG11-$AF11-$AE11*(1+GA$3))/$AJ11,Уголь_коэфф!$A:$B,2,1),(FZ11-0.05)))</f>
        <v>0.96</v>
      </c>
      <c r="GB11" s="102">
        <f>MIN(1,MAX(VLOOKUP(($AJ11-$AI11-$AH11-$AG11-$AF11-$AE11*(1+GB$3))/$AJ11,Уголь_коэфф!$A:$B,2,1),(GA11-0.05)))</f>
        <v>0.96</v>
      </c>
      <c r="GC11" s="102">
        <f>MIN(1,MAX(VLOOKUP(($AJ11-$AI11-$AH11-$AG11-$AF11-$AE11*(1+GC$3))/$AJ11,Уголь_коэфф!$A:$B,2,1),(GB11-0.05)))</f>
        <v>0.96</v>
      </c>
      <c r="GD11" s="102">
        <f>MIN(1,MAX(VLOOKUP(($AJ11-$AI11-$AH11-$AG11-$AF11-$AE11*(1+GD$3))/$AJ11,Уголь_коэфф!$A:$B,2,1),(GC11-0.05)))</f>
        <v>0.95499999999999996</v>
      </c>
      <c r="GE11" s="102">
        <f>MIN(1,MAX(VLOOKUP(($AJ11-$AI11-$AH11-$AG11-$AF11-$AE11*(1+GE$3))/$AJ11,Уголь_коэфф!$A:$B,2,1),(GD11-0.05)))</f>
        <v>0.95499999999999996</v>
      </c>
      <c r="GF11" s="102">
        <f>MIN(1,MAX(VLOOKUP(($AJ11-$AI11-$AH11-$AG11-$AF11-$AE11*(1+GF$3))/$AJ11,Уголь_коэфф!$A:$B,2,1),(GE11-0.05)))</f>
        <v>0.95499999999999996</v>
      </c>
      <c r="GG11" s="102">
        <f>MIN(1,MAX(VLOOKUP(($AJ11-$AI11-$AH11-$AG11-$AF11-$AE11*(1+GG$3))/$AJ11,Уголь_коэфф!$A:$B,2,1),(GF11-0.05)))</f>
        <v>0.95499999999999996</v>
      </c>
      <c r="GH11" s="102">
        <f>MIN(1,MAX(VLOOKUP(($AJ11-$AI11-$AH11-$AG11-$AF11-$AE11*(1+GH$3))/$AJ11,Уголь_коэфф!$A:$B,2,1),(GG11-0.05)))</f>
        <v>0.95</v>
      </c>
      <c r="GI11" s="102">
        <f>MIN(1,MAX(VLOOKUP(($AJ11-$AI11-$AH11-$AG11-$AF11-$AE11*(1+GI$3))/$AJ11,Уголь_коэфф!$A:$B,2,1),(GH11-0.05)))</f>
        <v>0.95</v>
      </c>
      <c r="GJ11" s="102">
        <f>MIN(1,MAX(VLOOKUP(($AJ11-$AI11-$AH11-$AG11-$AF11-$AE11*(1+GJ$3))/$AJ11,Уголь_коэфф!$A:$B,2,1),(GI11-0.05)))</f>
        <v>0.95</v>
      </c>
      <c r="GK11" s="102">
        <f>MIN(1,MAX(VLOOKUP(($AJ11-$AI11-$AH11-$AG11-$AF11-$AE11*(1+GK$3))/$AJ11,Уголь_коэфф!$A:$B,2,1),(GJ11-0.05)))</f>
        <v>0.95</v>
      </c>
      <c r="GL11" s="102">
        <f>MIN(1,MAX(VLOOKUP(($AJ11-$AI11-$AH11-$AG11-$AF11-$AE11*(1+GL$3))/$AJ11,Уголь_коэфф!$A:$B,2,1),(GK11-0.05)))</f>
        <v>0.95</v>
      </c>
      <c r="GM11" s="102">
        <f>MIN(1,MAX(VLOOKUP(($AJ11-$AI11-$AH11-$AG11-$AF11-$AE11*(1+GM$3))/$AJ11,Уголь_коэфф!$A:$B,2,1),(GL11-0.05)))</f>
        <v>0.94499999999999995</v>
      </c>
      <c r="GN11" s="102">
        <f>MIN(1,MAX(VLOOKUP(($AJ11-$AI11-$AH11-$AG11-$AF11-$AE11*(1+GN$3))/$AJ11,Уголь_коэфф!$A:$B,2,1),(GM11-0.05)))</f>
        <v>0.94499999999999995</v>
      </c>
      <c r="GO11" s="102">
        <f>MIN(1,MAX(VLOOKUP(($AJ11-$AI11-$AH11-$AG11-$AF11-$AE11*(1+GO$3))/$AJ11,Уголь_коэфф!$A:$B,2,1),(GN11-0.05)))</f>
        <v>0.94499999999999995</v>
      </c>
      <c r="GP11" s="102">
        <f>MIN(1,MAX(VLOOKUP(($AJ11-$AI11-$AH11-$AG11-$AF11-$AE11*(1+GP$3))/$AJ11,Уголь_коэфф!$A:$B,2,1),(GO11-0.05)))</f>
        <v>0.94499999999999995</v>
      </c>
      <c r="GQ11" s="102">
        <f>MIN(1,MAX(VLOOKUP(($AJ11-$AI11-$AH11-$AG11-$AF11-$AE11*(1+GQ$3))/$AJ11,Уголь_коэфф!$A:$B,2,1),(GP11-0.05)))</f>
        <v>0.94</v>
      </c>
      <c r="GR11" s="102">
        <f>MIN(1,MAX(VLOOKUP(($AJ11-$AI11-$AH11-$AG11-$AF11-$AE11*(1+GR$3))/$AJ11,Уголь_коэфф!$A:$B,2,1),(GQ11-0.05)))</f>
        <v>0.94</v>
      </c>
      <c r="GS11" s="102">
        <f>MIN(1,MAX(VLOOKUP(($AJ11-$AI11-$AH11-$AG11-$AF11-$AE11*(1+GS$3))/$AJ11,Уголь_коэфф!$A:$B,2,1),(GR11-0.05)))</f>
        <v>0.94</v>
      </c>
      <c r="GT11" s="102">
        <f>MIN(1,MAX(VLOOKUP(($AJ11-$AI11-$AH11-$AG11-$AF11-$AE11*(1+GT$3))/$AJ11,Уголь_коэфф!$A:$B,2,1),(GS11-0.05)))</f>
        <v>0.94</v>
      </c>
      <c r="GU11" s="102">
        <f>MIN(1,MAX(VLOOKUP(($AJ11-$AI11-$AH11-$AG11-$AF11-$AE11*(1+GU$3))/$AJ11,Уголь_коэфф!$A:$B,2,1),(GT11-0.05)))</f>
        <v>0.93500000000000005</v>
      </c>
      <c r="GV11" s="102">
        <f>MIN(1,MAX(VLOOKUP(($AJ11-$AI11-$AH11-$AG11-$AF11-$AE11*(1+GV$3))/$AJ11,Уголь_коэфф!$A:$B,2,1),(GU11-0.05)))</f>
        <v>0.93500000000000005</v>
      </c>
      <c r="GW11" s="102">
        <f>MIN(1,MAX(VLOOKUP(($AJ11-$AI11-$AH11-$AG11-$AF11-$AE11*(1+GW$3))/$AJ11,Уголь_коэфф!$A:$B,2,1),(GV11-0.05)))</f>
        <v>0.93500000000000005</v>
      </c>
      <c r="GX11" s="102">
        <f>MIN(1,MAX(VLOOKUP(($AJ11-$AI11-$AH11-$AG11-$AF11-$AE11*(1+GX$3))/$AJ11,Уголь_коэфф!$A:$B,2,1),(GW11-0.05)))</f>
        <v>0.93500000000000005</v>
      </c>
      <c r="GY11" s="102">
        <f>MIN(1,MAX(VLOOKUP(($AJ11-$AI11-$AH11-$AG11-$AF11-$AE11*(1+GY$3))/$AJ11,Уголь_коэфф!$A:$B,2,1),(GX11-0.05)))</f>
        <v>0.93</v>
      </c>
      <c r="GZ11" s="102">
        <f>MIN(1,MAX(VLOOKUP(($AJ11-$AI11-$AH11-$AG11-$AF11-$AE11*(1+GZ$3))/$AJ11,Уголь_коэфф!$A:$B,2,1),(GY11-0.05)))</f>
        <v>0.93</v>
      </c>
      <c r="HA11" s="102">
        <f>MIN(1,MAX(VLOOKUP(($AJ11-$AI11-$AH11-$AG11-$AF11-$AE11*(1+HA$3))/$AJ11,Уголь_коэфф!$A:$B,2,1),(GZ11-0.05)))</f>
        <v>0.93</v>
      </c>
      <c r="HB11" s="102">
        <f>MIN(1,MAX(VLOOKUP(($AJ11-$AI11-$AH11-$AG11-$AF11-$AE11*(1+HB$3))/$AJ11,Уголь_коэфф!$A:$B,2,1),(HA11-0.05)))</f>
        <v>0.93</v>
      </c>
      <c r="HC11" s="102">
        <f>MIN(1,MAX(VLOOKUP(($AJ11-$AI11-$AH11-$AG11-$AF11-$AE11*(1+HC$3))/$AJ11,Уголь_коэфф!$A:$B,2,1),(HB11-0.05)))</f>
        <v>0.93</v>
      </c>
      <c r="HD11" s="102">
        <f>MIN(1,MAX(VLOOKUP(($AJ11-$AI11-$AH11-$AG11-$AF11-$AE11*(1+HD$3))/$AJ11,Уголь_коэфф!$A:$B,2,1),(HC11-0.05)))</f>
        <v>0.92500000000000004</v>
      </c>
      <c r="HE11" s="102">
        <f>MIN(1,MAX(VLOOKUP(($AJ11-$AI11-$AH11-$AG11-$AF11-$AE11*(1+HE$3))/$AJ11,Уголь_коэфф!$A:$B,2,1),(HD11-0.05)))</f>
        <v>0.92500000000000004</v>
      </c>
      <c r="HF11" s="102">
        <f>MIN(1,MAX(VLOOKUP(($AJ11-$AI11-$AH11-$AG11-$AF11-$AE11*(1+HF$3))/$AJ11,Уголь_коэфф!$A:$B,2,1),(HE11-0.05)))</f>
        <v>0.92500000000000004</v>
      </c>
      <c r="HG11" s="102">
        <f>MIN(1,MAX(VLOOKUP(($AJ11-$AI11-$AH11-$AG11-$AF11-$AE11*(1+HG$3))/$AJ11,Уголь_коэфф!$A:$B,2,1),(HF11-0.05)))</f>
        <v>0.92500000000000004</v>
      </c>
      <c r="HH11" s="102">
        <f>MIN(1,MAX(VLOOKUP(($AJ11-$AI11-$AH11-$AG11-$AF11-$AE11*(1+HH$3))/$AJ11,Уголь_коэфф!$A:$B,2,1),(HG11-0.05)))</f>
        <v>0.92</v>
      </c>
      <c r="HI11" s="102">
        <f>MIN(1,MAX(VLOOKUP(($AJ11-$AI11-$AH11-$AG11-$AF11-$AE11*(1+HI$3))/$AJ11,Уголь_коэфф!$A:$B,2,1),(HH11-0.05)))</f>
        <v>0.92</v>
      </c>
      <c r="HJ11" s="102">
        <f>MIN(1,MAX(VLOOKUP(($AJ11-$AI11-$AH11-$AG11-$AF11-$AE11*(1+HJ$3))/$AJ11,Уголь_коэфф!$A:$B,2,1),(HI11-0.05)))</f>
        <v>0.92</v>
      </c>
      <c r="HK11" s="102">
        <f>MIN(1,MAX(VLOOKUP(($AJ11-$AI11-$AH11-$AG11-$AF11-$AE11*(1+HK$3))/$AJ11,Уголь_коэфф!$A:$B,2,1),(HJ11-0.05)))</f>
        <v>0.92</v>
      </c>
      <c r="HL11" s="102">
        <f>MIN(1,MAX(VLOOKUP(($AJ11-$AI11-$AH11-$AG11-$AF11-$AE11*(1+HL$3))/$AJ11,Уголь_коэфф!$A:$B,2,1),(HK11-0.05)))</f>
        <v>0.91400000000000003</v>
      </c>
      <c r="HM11" s="102">
        <f>MIN(1,MAX(VLOOKUP(($AJ11-$AI11-$AH11-$AG11-$AF11-$AE11*(1+HM$3))/$AJ11,Уголь_коэфф!$A:$B,2,1),(HL11-0.05)))</f>
        <v>0.91400000000000003</v>
      </c>
      <c r="HN11" s="102">
        <f>MIN(1,MAX(VLOOKUP(($AJ11-$AI11-$AH11-$AG11-$AF11-$AE11*(1+HN$3))/$AJ11,Уголь_коэфф!$A:$B,2,1),(HM11-0.05)))</f>
        <v>0.91400000000000003</v>
      </c>
      <c r="HO11" s="102">
        <f>MIN(1,MAX(VLOOKUP(($AJ11-$AI11-$AH11-$AG11-$AF11-$AE11*(1+HO$3))/$AJ11,Уголь_коэфф!$A:$B,2,1),(HN11-0.05)))</f>
        <v>0.91400000000000003</v>
      </c>
      <c r="HP11" s="102">
        <f>MIN(1,MAX(VLOOKUP(($AJ11-$AI11-$AH11-$AG11-$AF11-$AE11*(1+HP$3))/$AJ11,Уголь_коэфф!$A:$B,2,1),(HO11-0.05)))</f>
        <v>0.91400000000000003</v>
      </c>
      <c r="HQ11" s="102">
        <f>MIN(1,MAX(VLOOKUP(($AJ11-$AI11-$AH11-$AG11-$AF11-$AE11*(1+HQ$3))/$AJ11,Уголь_коэфф!$A:$B,2,1),(HP11-0.05)))</f>
        <v>0.90800000000000003</v>
      </c>
      <c r="HR11" s="102">
        <f>MIN(1,MAX(VLOOKUP(($AJ11-$AI11-$AH11-$AG11-$AF11-$AE11*(1+HR$3))/$AJ11,Уголь_коэфф!$A:$B,2,1),(HQ11-0.05)))</f>
        <v>0.90800000000000003</v>
      </c>
      <c r="HS11" s="102">
        <f>MIN(1,MAX(VLOOKUP(($AJ11-$AI11-$AH11-$AG11-$AF11-$AE11*(1+HS$3))/$AJ11,Уголь_коэфф!$A:$B,2,1),(HR11-0.05)))</f>
        <v>0.90800000000000003</v>
      </c>
      <c r="HT11" s="102">
        <f>MIN(1,MAX(VLOOKUP(($AJ11-$AI11-$AH11-$AG11-$AF11-$AE11*(1+HT$3))/$AJ11,Уголь_коэфф!$A:$B,2,1),(HS11-0.05)))</f>
        <v>0.90800000000000003</v>
      </c>
      <c r="HU11" s="102">
        <f>MIN(1,MAX(VLOOKUP(($AJ11-$AI11-$AH11-$AG11-$AF11-$AE11*(1+HU$3))/$AJ11,Уголь_коэфф!$A:$B,2,1),(HT11-0.05)))</f>
        <v>0.90200000000000002</v>
      </c>
      <c r="HV11" s="102">
        <f>MIN(1,MAX(VLOOKUP(($AJ11-$AI11-$AH11-$AG11-$AF11-$AE11*(1+HV$3))/$AJ11,Уголь_коэфф!$A:$B,2,1),(HU11-0.05)))</f>
        <v>0.90200000000000002</v>
      </c>
      <c r="HW11" s="102">
        <f>MIN(1,MAX(VLOOKUP(($AJ11-$AI11-$AH11-$AG11-$AF11-$AE11*(1+HW$3))/$AJ11,Уголь_коэфф!$A:$B,2,1),(HV11-0.05)))</f>
        <v>0.90200000000000002</v>
      </c>
      <c r="HX11" s="102">
        <f>MIN(1,MAX(VLOOKUP(($AJ11-$AI11-$AH11-$AG11-$AF11-$AE11*(1+HX$3))/$AJ11,Уголь_коэфф!$A:$B,2,1),(HW11-0.05)))</f>
        <v>0.90200000000000002</v>
      </c>
      <c r="HY11" s="102">
        <f>MIN(1,MAX(VLOOKUP(($AJ11-$AI11-$AH11-$AG11-$AF11-$AE11*(1+HY$3))/$AJ11,Уголь_коэфф!$A:$B,2,1),(HX11-0.05)))</f>
        <v>0.89600000000000002</v>
      </c>
      <c r="HZ11" s="102">
        <f>MIN(1,MAX(VLOOKUP(($AJ11-$AI11-$AH11-$AG11-$AF11-$AE11*(1+HZ$3))/$AJ11,Уголь_коэфф!$A:$B,2,1),(HY11-0.05)))</f>
        <v>0.89600000000000002</v>
      </c>
      <c r="IA11" s="102">
        <f>MIN(1,MAX(VLOOKUP(($AJ11-$AI11-$AH11-$AG11-$AF11-$AE11*(1+IA$3))/$AJ11,Уголь_коэфф!$A:$B,2,1),(HZ11-0.05)))</f>
        <v>0.89600000000000002</v>
      </c>
      <c r="IB11" s="102">
        <f>MIN(1,MAX(VLOOKUP(($AJ11-$AI11-$AH11-$AG11-$AF11-$AE11*(1+IB$3))/$AJ11,Уголь_коэфф!$A:$B,2,1),(IA11-0.05)))</f>
        <v>0.89600000000000002</v>
      </c>
      <c r="IC11" s="102">
        <f>MIN(1,MAX(VLOOKUP(($AJ11-$AI11-$AH11-$AG11-$AF11-$AE11*(1+IC$3))/$AJ11,Уголь_коэфф!$A:$B,2,1),(IB11-0.05)))</f>
        <v>0.89600000000000002</v>
      </c>
      <c r="ID11" s="102">
        <f>MIN(1,MAX(VLOOKUP(($AJ11-$AI11-$AH11-$AG11-$AF11-$AE11*(1+ID$3))/$AJ11,Уголь_коэфф!$A:$B,2,1),(IC11-0.05)))</f>
        <v>0.89</v>
      </c>
      <c r="IE11" s="102">
        <f>MIN(1,MAX(VLOOKUP(($AJ11-$AI11-$AH11-$AG11-$AF11-$AE11*(1+IE$3))/$AJ11,Уголь_коэфф!$A:$B,2,1),(ID11-0.05)))</f>
        <v>0.89</v>
      </c>
      <c r="IF11" s="102">
        <f>MIN(1,MAX(VLOOKUP(($AJ11-$AI11-$AH11-$AG11-$AF11-$AE11*(1+IF$3))/$AJ11,Уголь_коэфф!$A:$B,2,1),(IE11-0.05)))</f>
        <v>0.89</v>
      </c>
      <c r="IG11" s="102">
        <f>MIN(1,MAX(VLOOKUP(($AJ11-$AI11-$AH11-$AG11-$AF11-$AE11*(1+IG$3))/$AJ11,Уголь_коэфф!$A:$B,2,1),(IF11-0.05)))</f>
        <v>0.89</v>
      </c>
      <c r="IH11" s="102">
        <f>MIN(1,MAX(VLOOKUP(($AJ11-$AI11-$AH11-$AG11-$AF11-$AE11*(1+IH$3))/$AJ11,Уголь_коэфф!$A:$B,2,1),(IG11-0.05)))</f>
        <v>0.88400000000000001</v>
      </c>
      <c r="II11" s="102">
        <f>MIN(1,MAX(VLOOKUP(($AJ11-$AI11-$AH11-$AG11-$AF11-$AE11*(1+II$3))/$AJ11,Уголь_коэфф!$A:$B,2,1),(IH11-0.05)))</f>
        <v>0.88400000000000001</v>
      </c>
      <c r="IJ11" s="102">
        <f>MIN(1,MAX(VLOOKUP(($AJ11-$AI11-$AH11-$AG11-$AF11-$AE11*(1+IJ$3))/$AJ11,Уголь_коэфф!$A:$B,2,1),(II11-0.05)))</f>
        <v>0.88400000000000001</v>
      </c>
      <c r="IK11" s="102">
        <f>MIN(1,MAX(VLOOKUP(($AJ11-$AI11-$AH11-$AG11-$AF11-$AE11*(1+IK$3))/$AJ11,Уголь_коэфф!$A:$B,2,1),(IJ11-0.05)))</f>
        <v>0.88400000000000001</v>
      </c>
      <c r="IL11" s="102">
        <f>MIN(1,MAX(VLOOKUP(($AJ11-$AI11-$AH11-$AG11-$AF11-$AE11*(1+IL$3))/$AJ11,Уголь_коэфф!$A:$B,2,1),(IK11-0.05)))</f>
        <v>0.878</v>
      </c>
      <c r="IM11" s="102">
        <f>MIN(1,MAX(VLOOKUP(($AJ11-$AI11-$AH11-$AG11-$AF11-$AE11*(1+IM$3))/$AJ11,Уголь_коэфф!$A:$B,2,1),(IL11-0.05)))</f>
        <v>0.878</v>
      </c>
      <c r="IN11" s="102">
        <f>MIN(1,MAX(VLOOKUP(($AJ11-$AI11-$AH11-$AG11-$AF11-$AE11*(1+IN$3))/$AJ11,Уголь_коэфф!$A:$B,2,1),(IM11-0.05)))</f>
        <v>0.878</v>
      </c>
      <c r="IO11" s="102">
        <f>MIN(1,MAX(VLOOKUP(($AJ11-$AI11-$AH11-$AG11-$AF11-$AE11*(1+IO$3))/$AJ11,Уголь_коэфф!$A:$B,2,1),(IN11-0.05)))</f>
        <v>0.878</v>
      </c>
      <c r="IP11" s="102">
        <f>MIN(1,MAX(VLOOKUP(($AJ11-$AI11-$AH11-$AG11-$AF11-$AE11*(1+IP$3))/$AJ11,Уголь_коэфф!$A:$B,2,1),(IO11-0.05)))</f>
        <v>0.878</v>
      </c>
      <c r="IQ11" s="102">
        <f>MIN(1,MAX(VLOOKUP(($AJ11-$AI11-$AH11-$AG11-$AF11-$AE11*(1+IQ$3))/$AJ11,Уголь_коэфф!$A:$B,2,1),(IP11-0.05)))</f>
        <v>0.872</v>
      </c>
      <c r="IR11" s="102">
        <f>MIN(1,MAX(VLOOKUP(($AJ11-$AI11-$AH11-$AG11-$AF11-$AE11*(1+IR$3))/$AJ11,Уголь_коэфф!$A:$B,2,1),(IQ11-0.05)))</f>
        <v>0.872</v>
      </c>
      <c r="IS11" s="102">
        <f t="shared" si="20"/>
        <v>0.97</v>
      </c>
      <c r="IT11" s="102">
        <f t="shared" si="7"/>
        <v>0.97</v>
      </c>
      <c r="IU11" s="110"/>
    </row>
    <row r="12" spans="1:266" ht="14.6" customHeight="1">
      <c r="A12" t="s">
        <v>241</v>
      </c>
      <c r="B12" s="149">
        <v>1</v>
      </c>
      <c r="C12" s="150" t="s">
        <v>16</v>
      </c>
      <c r="D12" s="151">
        <v>16112</v>
      </c>
      <c r="E12" s="151" t="s">
        <v>28</v>
      </c>
      <c r="F12" s="150" t="s">
        <v>18</v>
      </c>
      <c r="G12" s="150" t="s">
        <v>45</v>
      </c>
      <c r="H12" s="151" t="s">
        <v>34</v>
      </c>
      <c r="I12" s="151" t="s">
        <v>72</v>
      </c>
      <c r="J12" s="151" t="s">
        <v>73</v>
      </c>
      <c r="K12" s="151">
        <v>4637</v>
      </c>
      <c r="L12" s="151" t="s">
        <v>22</v>
      </c>
      <c r="M12" s="151" t="s">
        <v>23</v>
      </c>
      <c r="N12" s="151" t="s">
        <v>24</v>
      </c>
      <c r="O12" s="151" t="s">
        <v>36</v>
      </c>
      <c r="P12" s="156">
        <v>82365518</v>
      </c>
      <c r="Q12" s="152" t="s">
        <v>68</v>
      </c>
      <c r="R12" s="151" t="s">
        <v>69</v>
      </c>
      <c r="S12" s="153">
        <v>1389317</v>
      </c>
      <c r="T12" s="154">
        <v>6442749019</v>
      </c>
      <c r="U12" s="154">
        <v>19610</v>
      </c>
      <c r="V12" s="154"/>
      <c r="W12" s="155">
        <v>2689139106</v>
      </c>
      <c r="X12" s="104">
        <v>69</v>
      </c>
      <c r="Y12" s="104" t="s">
        <v>163</v>
      </c>
      <c r="Z12" s="107">
        <v>11</v>
      </c>
      <c r="AA12" s="107">
        <v>12</v>
      </c>
      <c r="AB12" s="107">
        <v>4</v>
      </c>
      <c r="AC12" s="88">
        <v>2198.94</v>
      </c>
      <c r="AD12" s="88">
        <v>1008.9299999999998</v>
      </c>
      <c r="AE12" s="88">
        <f t="shared" si="22"/>
        <v>3207.87</v>
      </c>
      <c r="AF12" s="89">
        <f>'Цены,перевалка,аренда'!$C$27*SUM(Уголь_эластика_экспорт!Z12+Уголь_эластика_экспорт!AA12+Уголь_эластика_экспорт!AB12)/Уголь_эластика_экспорт!X12</f>
        <v>273.91304347826087</v>
      </c>
      <c r="AG12" s="90">
        <f>SUMIF('Цены,перевалка,аренда'!$A$20:$A$22,Уголь_эластика_экспорт!$O12,'Цены,перевалка,аренда'!$D$20:$D$22)</f>
        <v>991.97149999999988</v>
      </c>
      <c r="AH12" s="47"/>
      <c r="AI12" s="91">
        <v>2736</v>
      </c>
      <c r="AJ12" s="92">
        <f>SUMIF('Цены,перевалка,аренда'!$A$5:$A$17,Уголь_эластика_экспорт!A12,'Цены,перевалка,аренда'!$D$5:$D$17)</f>
        <v>7249.0224999999991</v>
      </c>
      <c r="AK12" s="47">
        <f>AJ12/'Цены,перевалка,аренда'!$C$1</f>
        <v>95</v>
      </c>
      <c r="AL12" s="47">
        <f t="shared" si="9"/>
        <v>4473.7545434782605</v>
      </c>
      <c r="AM12" s="47">
        <f t="shared" si="10"/>
        <v>2775.2679565217386</v>
      </c>
      <c r="AN12" s="47">
        <f t="shared" si="11"/>
        <v>7209.7545434782605</v>
      </c>
      <c r="AO12" s="93">
        <f t="shared" si="12"/>
        <v>5.4170002261323654E-3</v>
      </c>
      <c r="AP12" s="94">
        <f t="shared" si="13"/>
        <v>0.61715280142643525</v>
      </c>
      <c r="AQ12" s="94">
        <f t="shared" si="5"/>
        <v>0.44252449209531358</v>
      </c>
      <c r="AR12" s="94">
        <f t="shared" si="6"/>
        <v>0.71704202115343163</v>
      </c>
      <c r="AS12" s="167">
        <f t="shared" si="14"/>
        <v>0.98499999999999999</v>
      </c>
      <c r="AT12" s="173">
        <f t="shared" si="15"/>
        <v>1368477.2449999999</v>
      </c>
      <c r="AU12" s="97">
        <v>0.9</v>
      </c>
      <c r="AV12" s="93">
        <f t="shared" si="16"/>
        <v>-4.7685938825305307E-2</v>
      </c>
      <c r="AW12" s="94">
        <f t="shared" si="17"/>
        <v>0.67025574047787295</v>
      </c>
      <c r="AX12" s="94">
        <f t="shared" si="18"/>
        <v>0.49562743114675123</v>
      </c>
      <c r="AY12" s="94">
        <f t="shared" si="19"/>
        <v>0.7394601809652287</v>
      </c>
      <c r="AZ12" s="102">
        <f>MIN(IF($AU12=100%,1,1+VLOOKUP(($AJ12-$AI12-$AH12-$AG12-$AF12-$AE12*(1+AZ$3))/$AJ12,Уголь_коэфф!$A:$B,2,1)-VLOOKUP($AO12,Уголь_коэфф!$A:$B,2,1)),1+(1-$AU12))</f>
        <v>1.1000000000000001</v>
      </c>
      <c r="BA12" s="102">
        <f>MIN(IF($AU12=100%,1,1+VLOOKUP(($AJ12-$AI12-$AH12-$AG12-$AF12-$AE12*(1+BA$3))/$AJ12,Уголь_коэфф!$A:$B,2,1)-VLOOKUP($AO12,Уголь_коэфф!$A:$B,2,1)),1+(1-$AU12))</f>
        <v>1.1000000000000001</v>
      </c>
      <c r="BB12" s="102">
        <f>MIN(IF($AU12=100%,1,1+VLOOKUP(($AJ12-$AI12-$AH12-$AG12-$AF12-$AE12*(1+BB$3))/$AJ12,Уголь_коэфф!$A:$B,2,1)-VLOOKUP($AO12,Уголь_коэфф!$A:$B,2,1)),1+(1-$AU12))</f>
        <v>1.1000000000000001</v>
      </c>
      <c r="BC12" s="102">
        <f>MIN(IF($AU12=100%,1,1+VLOOKUP(($AJ12-$AI12-$AH12-$AG12-$AF12-$AE12*(1+BC$3))/$AJ12,Уголь_коэфф!$A:$B,2,1)-VLOOKUP($AO12,Уголь_коэфф!$A:$B,2,1)),1+(1-$AU12))</f>
        <v>1.1000000000000001</v>
      </c>
      <c r="BD12" s="102">
        <f>MIN(IF($AU12=100%,1,1+VLOOKUP(($AJ12-$AI12-$AH12-$AG12-$AF12-$AE12*(1+BD$3))/$AJ12,Уголь_коэфф!$A:$B,2,1)-VLOOKUP($AO12,Уголь_коэфф!$A:$B,2,1)),1+(1-$AU12))</f>
        <v>1.0979999999999999</v>
      </c>
      <c r="BE12" s="102">
        <f>MIN(IF($AU12=100%,1,1+VLOOKUP(($AJ12-$AI12-$AH12-$AG12-$AF12-$AE12*(1+BE$3))/$AJ12,Уголь_коэфф!$A:$B,2,1)-VLOOKUP($AO12,Уголь_коэфф!$A:$B,2,1)),1+(1-$AU12))</f>
        <v>1.0979999999999999</v>
      </c>
      <c r="BF12" s="102">
        <f>MIN(IF($AU12=100%,1,1+VLOOKUP(($AJ12-$AI12-$AH12-$AG12-$AF12-$AE12*(1+BF$3))/$AJ12,Уголь_коэфф!$A:$B,2,1)-VLOOKUP($AO12,Уголь_коэфф!$A:$B,2,1)),1+(1-$AU12))</f>
        <v>1.0979999999999999</v>
      </c>
      <c r="BG12" s="102">
        <f>MIN(IF($AU12=100%,1,1+VLOOKUP(($AJ12-$AI12-$AH12-$AG12-$AF12-$AE12*(1+BG$3))/$AJ12,Уголь_коэфф!$A:$B,2,1)-VLOOKUP($AO12,Уголь_коэфф!$A:$B,2,1)),1+(1-$AU12))</f>
        <v>1.0979999999999999</v>
      </c>
      <c r="BH12" s="102">
        <f>MIN(IF($AU12=100%,1,1+VLOOKUP(($AJ12-$AI12-$AH12-$AG12-$AF12-$AE12*(1+BH$3))/$AJ12,Уголь_коэфф!$A:$B,2,1)-VLOOKUP($AO12,Уголь_коэфф!$A:$B,2,1)),1+(1-$AU12))</f>
        <v>1.0920000000000001</v>
      </c>
      <c r="BI12" s="102">
        <f>MIN(IF($AU12=100%,1,1+VLOOKUP(($AJ12-$AI12-$AH12-$AG12-$AF12-$AE12*(1+BI$3))/$AJ12,Уголь_коэфф!$A:$B,2,1)-VLOOKUP($AO12,Уголь_коэфф!$A:$B,2,1)),1+(1-$AU12))</f>
        <v>1.0920000000000001</v>
      </c>
      <c r="BJ12" s="102">
        <f>MIN(IF($AU12=100%,1,1+VLOOKUP(($AJ12-$AI12-$AH12-$AG12-$AF12-$AE12*(1+BJ$3))/$AJ12,Уголь_коэфф!$A:$B,2,1)-VLOOKUP($AO12,Уголь_коэфф!$A:$B,2,1)),1+(1-$AU12))</f>
        <v>1.0920000000000001</v>
      </c>
      <c r="BK12" s="102">
        <f>MIN(IF($AU12=100%,1,1+VLOOKUP(($AJ12-$AI12-$AH12-$AG12-$AF12-$AE12*(1+BK$3))/$AJ12,Уголь_коэфф!$A:$B,2,1)-VLOOKUP($AO12,Уголь_коэфф!$A:$B,2,1)),1+(1-$AU12))</f>
        <v>1.0920000000000001</v>
      </c>
      <c r="BL12" s="102">
        <f>MIN(IF($AU12=100%,1,1+VLOOKUP(($AJ12-$AI12-$AH12-$AG12-$AF12-$AE12*(1+BL$3))/$AJ12,Уголь_коэфф!$A:$B,2,1)-VLOOKUP($AO12,Уголь_коэфф!$A:$B,2,1)),1+(1-$AU12))</f>
        <v>1.0920000000000001</v>
      </c>
      <c r="BM12" s="102">
        <f>MIN(IF($AU12=100%,1,1+VLOOKUP(($AJ12-$AI12-$AH12-$AG12-$AF12-$AE12*(1+BM$3))/$AJ12,Уголь_коэфф!$A:$B,2,1)-VLOOKUP($AO12,Уголь_коэфф!$A:$B,2,1)),1+(1-$AU12))</f>
        <v>1.0860000000000003</v>
      </c>
      <c r="BN12" s="102">
        <f>MIN(IF($AU12=100%,1,1+VLOOKUP(($AJ12-$AI12-$AH12-$AG12-$AF12-$AE12*(1+BN$3))/$AJ12,Уголь_коэфф!$A:$B,2,1)-VLOOKUP($AO12,Уголь_коэфф!$A:$B,2,1)),1+(1-$AU12))</f>
        <v>1.0860000000000003</v>
      </c>
      <c r="BO12" s="102">
        <f>MIN(IF($AU12=100%,1,1+VLOOKUP(($AJ12-$AI12-$AH12-$AG12-$AF12-$AE12*(1+BO$3))/$AJ12,Уголь_коэфф!$A:$B,2,1)-VLOOKUP($AO12,Уголь_коэфф!$A:$B,2,1)),1+(1-$AU12))</f>
        <v>1.0860000000000003</v>
      </c>
      <c r="BP12" s="102">
        <f>MIN(IF($AU12=100%,1,1+VLOOKUP(($AJ12-$AI12-$AH12-$AG12-$AF12-$AE12*(1+BP$3))/$AJ12,Уголь_коэфф!$A:$B,2,1)-VLOOKUP($AO12,Уголь_коэфф!$A:$B,2,1)),1+(1-$AU12))</f>
        <v>1.0860000000000003</v>
      </c>
      <c r="BQ12" s="102">
        <f>MIN(IF($AU12=100%,1,1+VLOOKUP(($AJ12-$AI12-$AH12-$AG12-$AF12-$AE12*(1+BQ$3))/$AJ12,Уголь_коэфф!$A:$B,2,1)-VLOOKUP($AO12,Уголь_коэфф!$A:$B,2,1)),1+(1-$AU12))</f>
        <v>1.08</v>
      </c>
      <c r="BR12" s="102">
        <f>MIN(IF($AU12=100%,1,1+VLOOKUP(($AJ12-$AI12-$AH12-$AG12-$AF12-$AE12*(1+BR$3))/$AJ12,Уголь_коэфф!$A:$B,2,1)-VLOOKUP($AO12,Уголь_коэфф!$A:$B,2,1)),1+(1-$AU12))</f>
        <v>1.08</v>
      </c>
      <c r="BS12" s="102">
        <f>MIN(IF($AU12=100%,1,1+VLOOKUP(($AJ12-$AI12-$AH12-$AG12-$AF12-$AE12*(1+BS$3))/$AJ12,Уголь_коэфф!$A:$B,2,1)-VLOOKUP($AO12,Уголь_коэфф!$A:$B,2,1)),1+(1-$AU12))</f>
        <v>1.08</v>
      </c>
      <c r="BT12" s="102">
        <f>MIN(IF($AU12=100%,1,1+VLOOKUP(($AJ12-$AI12-$AH12-$AG12-$AF12-$AE12*(1+BT$3))/$AJ12,Уголь_коэфф!$A:$B,2,1)-VLOOKUP($AO12,Уголь_коэфф!$A:$B,2,1)),1+(1-$AU12))</f>
        <v>1.08</v>
      </c>
      <c r="BU12" s="102">
        <f>MIN(IF($AU12=100%,1,1+VLOOKUP(($AJ12-$AI12-$AH12-$AG12-$AF12-$AE12*(1+BU$3))/$AJ12,Уголь_коэфф!$A:$B,2,1)-VLOOKUP($AO12,Уголь_коэфф!$A:$B,2,1)),1+(1-$AU12))</f>
        <v>1.08</v>
      </c>
      <c r="BV12" s="102">
        <f>MIN(IF($AU12=100%,1,1+VLOOKUP(($AJ12-$AI12-$AH12-$AG12-$AF12-$AE12*(1+BV$3))/$AJ12,Уголь_коэфф!$A:$B,2,1)-VLOOKUP($AO12,Уголь_коэфф!$A:$B,2,1)),1+(1-$AU12))</f>
        <v>1.0750000000000002</v>
      </c>
      <c r="BW12" s="102">
        <f>MIN(IF($AU12=100%,1,1+VLOOKUP(($AJ12-$AI12-$AH12-$AG12-$AF12-$AE12*(1+BW$3))/$AJ12,Уголь_коэфф!$A:$B,2,1)-VLOOKUP($AO12,Уголь_коэфф!$A:$B,2,1)),1+(1-$AU12))</f>
        <v>1.0750000000000002</v>
      </c>
      <c r="BX12" s="102">
        <f>MIN(IF($AU12=100%,1,1+VLOOKUP(($AJ12-$AI12-$AH12-$AG12-$AF12-$AE12*(1+BX$3))/$AJ12,Уголь_коэфф!$A:$B,2,1)-VLOOKUP($AO12,Уголь_коэфф!$A:$B,2,1)),1+(1-$AU12))</f>
        <v>1.0750000000000002</v>
      </c>
      <c r="BY12" s="102">
        <f>MIN(IF($AU12=100%,1,1+VLOOKUP(($AJ12-$AI12-$AH12-$AG12-$AF12-$AE12*(1+BY$3))/$AJ12,Уголь_коэфф!$A:$B,2,1)-VLOOKUP($AO12,Уголь_коэфф!$A:$B,2,1)),1+(1-$AU12))</f>
        <v>1.0750000000000002</v>
      </c>
      <c r="BZ12" s="102">
        <f>MIN(IF($AU12=100%,1,1+VLOOKUP(($AJ12-$AI12-$AH12-$AG12-$AF12-$AE12*(1+BZ$3))/$AJ12,Уголь_коэфф!$A:$B,2,1)-VLOOKUP($AO12,Уголь_коэфф!$A:$B,2,1)),1+(1-$AU12))</f>
        <v>1.0700000000000003</v>
      </c>
      <c r="CA12" s="102">
        <f>MIN(IF($AU12=100%,1,1+VLOOKUP(($AJ12-$AI12-$AH12-$AG12-$AF12-$AE12*(1+CA$3))/$AJ12,Уголь_коэфф!$A:$B,2,1)-VLOOKUP($AO12,Уголь_коэфф!$A:$B,2,1)),1+(1-$AU12))</f>
        <v>1.0700000000000003</v>
      </c>
      <c r="CB12" s="102">
        <f>MIN(IF($AU12=100%,1,1+VLOOKUP(($AJ12-$AI12-$AH12-$AG12-$AF12-$AE12*(1+CB$3))/$AJ12,Уголь_коэфф!$A:$B,2,1)-VLOOKUP($AO12,Уголь_коэфф!$A:$B,2,1)),1+(1-$AU12))</f>
        <v>1.0700000000000003</v>
      </c>
      <c r="CC12" s="102">
        <f>MIN(IF($AU12=100%,1,1+VLOOKUP(($AJ12-$AI12-$AH12-$AG12-$AF12-$AE12*(1+CC$3))/$AJ12,Уголь_коэфф!$A:$B,2,1)-VLOOKUP($AO12,Уголь_коэфф!$A:$B,2,1)),1+(1-$AU12))</f>
        <v>1.0700000000000003</v>
      </c>
      <c r="CD12" s="102">
        <f>MIN(IF($AU12=100%,1,1+VLOOKUP(($AJ12-$AI12-$AH12-$AG12-$AF12-$AE12*(1+CD$3))/$AJ12,Уголь_коэфф!$A:$B,2,1)-VLOOKUP($AO12,Уголь_коэфф!$A:$B,2,1)),1+(1-$AU12))</f>
        <v>1.0700000000000003</v>
      </c>
      <c r="CE12" s="102">
        <f>MIN(IF($AU12=100%,1,1+VLOOKUP(($AJ12-$AI12-$AH12-$AG12-$AF12-$AE12*(1+CE$3))/$AJ12,Уголь_коэфф!$A:$B,2,1)-VLOOKUP($AO12,Уголь_коэфф!$A:$B,2,1)),1+(1-$AU12))</f>
        <v>1.0649999999999999</v>
      </c>
      <c r="CF12" s="102">
        <f>MIN(IF($AU12=100%,1,1+VLOOKUP(($AJ12-$AI12-$AH12-$AG12-$AF12-$AE12*(1+CF$3))/$AJ12,Уголь_коэфф!$A:$B,2,1)-VLOOKUP($AO12,Уголь_коэфф!$A:$B,2,1)),1+(1-$AU12))</f>
        <v>1.0649999999999999</v>
      </c>
      <c r="CG12" s="102">
        <f>MIN(IF($AU12=100%,1,1+VLOOKUP(($AJ12-$AI12-$AH12-$AG12-$AF12-$AE12*(1+CG$3))/$AJ12,Уголь_коэфф!$A:$B,2,1)-VLOOKUP($AO12,Уголь_коэфф!$A:$B,2,1)),1+(1-$AU12))</f>
        <v>1.0649999999999999</v>
      </c>
      <c r="CH12" s="102">
        <f>MIN(IF($AU12=100%,1,1+VLOOKUP(($AJ12-$AI12-$AH12-$AG12-$AF12-$AE12*(1+CH$3))/$AJ12,Уголь_коэфф!$A:$B,2,1)-VLOOKUP($AO12,Уголь_коэфф!$A:$B,2,1)),1+(1-$AU12))</f>
        <v>1.0649999999999999</v>
      </c>
      <c r="CI12" s="102">
        <f>MIN(IF($AU12=100%,1,1+VLOOKUP(($AJ12-$AI12-$AH12-$AG12-$AF12-$AE12*(1+CI$3))/$AJ12,Уголь_коэфф!$A:$B,2,1)-VLOOKUP($AO12,Уголь_коэфф!$A:$B,2,1)),1+(1-$AU12))</f>
        <v>1.06</v>
      </c>
      <c r="CJ12" s="102">
        <f>MIN(IF($AU12=100%,1,1+VLOOKUP(($AJ12-$AI12-$AH12-$AG12-$AF12-$AE12*(1+CJ$3))/$AJ12,Уголь_коэфф!$A:$B,2,1)-VLOOKUP($AO12,Уголь_коэфф!$A:$B,2,1)),1+(1-$AU12))</f>
        <v>1.06</v>
      </c>
      <c r="CK12" s="102">
        <f>MIN(IF($AU12=100%,1,1+VLOOKUP(($AJ12-$AI12-$AH12-$AG12-$AF12-$AE12*(1+CK$3))/$AJ12,Уголь_коэфф!$A:$B,2,1)-VLOOKUP($AO12,Уголь_коэфф!$A:$B,2,1)),1+(1-$AU12))</f>
        <v>1.06</v>
      </c>
      <c r="CL12" s="102">
        <f>MIN(IF($AU12=100%,1,1+VLOOKUP(($AJ12-$AI12-$AH12-$AG12-$AF12-$AE12*(1+CL$3))/$AJ12,Уголь_коэфф!$A:$B,2,1)-VLOOKUP($AO12,Уголь_коэфф!$A:$B,2,1)),1+(1-$AU12))</f>
        <v>1.06</v>
      </c>
      <c r="CM12" s="102">
        <f>MIN(IF($AU12=100%,1,1+VLOOKUP(($AJ12-$AI12-$AH12-$AG12-$AF12-$AE12*(1+CM$3))/$AJ12,Уголь_коэфф!$A:$B,2,1)-VLOOKUP($AO12,Уголь_коэфф!$A:$B,2,1)),1+(1-$AU12))</f>
        <v>1.06</v>
      </c>
      <c r="CN12" s="102">
        <f>MIN(IF($AU12=100%,1,1+VLOOKUP(($AJ12-$AI12-$AH12-$AG12-$AF12-$AE12*(1+CN$3))/$AJ12,Уголь_коэфф!$A:$B,2,1)-VLOOKUP($AO12,Уголь_коэфф!$A:$B,2,1)),1+(1-$AU12))</f>
        <v>1.0549999999999997</v>
      </c>
      <c r="CO12" s="102">
        <f>MIN(IF($AU12=100%,1,1+VLOOKUP(($AJ12-$AI12-$AH12-$AG12-$AF12-$AE12*(1+CO$3))/$AJ12,Уголь_коэфф!$A:$B,2,1)-VLOOKUP($AO12,Уголь_коэфф!$A:$B,2,1)),1+(1-$AU12))</f>
        <v>1.0549999999999997</v>
      </c>
      <c r="CP12" s="102">
        <f>MIN(IF($AU12=100%,1,1+VLOOKUP(($AJ12-$AI12-$AH12-$AG12-$AF12-$AE12*(1+CP$3))/$AJ12,Уголь_коэфф!$A:$B,2,1)-VLOOKUP($AO12,Уголь_коэфф!$A:$B,2,1)),1+(1-$AU12))</f>
        <v>1.0549999999999997</v>
      </c>
      <c r="CQ12" s="102">
        <f>MIN(IF($AU12=100%,1,1+VLOOKUP(($AJ12-$AI12-$AH12-$AG12-$AF12-$AE12*(1+CQ$3))/$AJ12,Уголь_коэфф!$A:$B,2,1)-VLOOKUP($AO12,Уголь_коэфф!$A:$B,2,1)),1+(1-$AU12))</f>
        <v>1.0549999999999997</v>
      </c>
      <c r="CR12" s="102">
        <f>MIN(IF($AU12=100%,1,1+VLOOKUP(($AJ12-$AI12-$AH12-$AG12-$AF12-$AE12*(1+CR$3))/$AJ12,Уголь_коэфф!$A:$B,2,1)-VLOOKUP($AO12,Уголь_коэфф!$A:$B,2,1)),1+(1-$AU12))</f>
        <v>1.0499999999999998</v>
      </c>
      <c r="CS12" s="102">
        <f>MIN(IF($AU12=100%,1,1+VLOOKUP(($AJ12-$AI12-$AH12-$AG12-$AF12-$AE12*(1+CS$3))/$AJ12,Уголь_коэфф!$A:$B,2,1)-VLOOKUP($AO12,Уголь_коэфф!$A:$B,2,1)),1+(1-$AU12))</f>
        <v>1.0499999999999998</v>
      </c>
      <c r="CT12" s="102">
        <f>MIN(IF($AU12=100%,1,1+VLOOKUP(($AJ12-$AI12-$AH12-$AG12-$AF12-$AE12*(1+CT$3))/$AJ12,Уголь_коэфф!$A:$B,2,1)-VLOOKUP($AO12,Уголь_коэфф!$A:$B,2,1)),1+(1-$AU12))</f>
        <v>1.0499999999999998</v>
      </c>
      <c r="CU12" s="102">
        <f>MIN(IF($AU12=100%,1,1+VLOOKUP(($AJ12-$AI12-$AH12-$AG12-$AF12-$AE12*(1+CU$3))/$AJ12,Уголь_коэфф!$A:$B,2,1)-VLOOKUP($AO12,Уголь_коэфф!$A:$B,2,1)),1+(1-$AU12))</f>
        <v>1.0499999999999998</v>
      </c>
      <c r="CV12" s="102">
        <f>MIN(IF($AU12=100%,1,1+VLOOKUP(($AJ12-$AI12-$AH12-$AG12-$AF12-$AE12*(1+CV$3))/$AJ12,Уголь_коэфф!$A:$B,2,1)-VLOOKUP($AO12,Уголь_коэфф!$A:$B,2,1)),1+(1-$AU12))</f>
        <v>1.0499999999999998</v>
      </c>
      <c r="CW12" s="102">
        <f>MIN(IF($AU12=100%,1,1+VLOOKUP(($AJ12-$AI12-$AH12-$AG12-$AF12-$AE12*(1+CW$3))/$AJ12,Уголь_коэфф!$A:$B,2,1)-VLOOKUP($AO12,Уголь_коэфф!$A:$B,2,1)),1+(1-$AU12))</f>
        <v>1.0449999999999999</v>
      </c>
      <c r="CX12" s="102">
        <f>MIN(IF($AU12=100%,1,1+VLOOKUP(($AJ12-$AI12-$AH12-$AG12-$AF12-$AE12*(1+CX$3))/$AJ12,Уголь_коэфф!$A:$B,2,1)-VLOOKUP($AO12,Уголь_коэфф!$A:$B,2,1)),1+(1-$AU12))</f>
        <v>1.0449999999999999</v>
      </c>
      <c r="CY12" s="102">
        <f>MIN(IF($AU12=100%,1,1+VLOOKUP(($AJ12-$AI12-$AH12-$AG12-$AF12-$AE12*(1+CY$3))/$AJ12,Уголь_коэфф!$A:$B,2,1)-VLOOKUP($AO12,Уголь_коэфф!$A:$B,2,1)),1+(1-$AU12))</f>
        <v>1.0449999999999999</v>
      </c>
      <c r="CZ12" s="102">
        <f>MIN(IF($AU12=100%,1,1+VLOOKUP(($AJ12-$AI12-$AH12-$AG12-$AF12-$AE12*(1+CZ$3))/$AJ12,Уголь_коэфф!$A:$B,2,1)-VLOOKUP($AO12,Уголь_коэфф!$A:$B,2,1)),1+(1-$AU12))</f>
        <v>1.0449999999999999</v>
      </c>
      <c r="DA12" s="102">
        <f>MIN(IF($AU12=100%,1,1+VLOOKUP(($AJ12-$AI12-$AH12-$AG12-$AF12-$AE12*(1+DA$3))/$AJ12,Уголь_коэфф!$A:$B,2,1)-VLOOKUP($AO12,Уголь_коэфф!$A:$B,2,1)),1+(1-$AU12))</f>
        <v>1.04</v>
      </c>
      <c r="DB12" s="102">
        <f>MIN(IF($AU12=100%,1,1+VLOOKUP(($AJ12-$AI12-$AH12-$AG12-$AF12-$AE12*(1+DB$3))/$AJ12,Уголь_коэфф!$A:$B,2,1)-VLOOKUP($AO12,Уголь_коэфф!$A:$B,2,1)),1+(1-$AU12))</f>
        <v>1.04</v>
      </c>
      <c r="DC12" s="102">
        <f>MIN(IF($AU12=100%,1,1+VLOOKUP(($AJ12-$AI12-$AH12-$AG12-$AF12-$AE12*(1+DC$3))/$AJ12,Уголь_коэфф!$A:$B,2,1)-VLOOKUP($AO12,Уголь_коэфф!$A:$B,2,1)),1+(1-$AU12))</f>
        <v>1.04</v>
      </c>
      <c r="DD12" s="102">
        <f>MIN(IF($AU12=100%,1,1+VLOOKUP(($AJ12-$AI12-$AH12-$AG12-$AF12-$AE12*(1+DD$3))/$AJ12,Уголь_коэфф!$A:$B,2,1)-VLOOKUP($AO12,Уголь_коэфф!$A:$B,2,1)),1+(1-$AU12))</f>
        <v>1.04</v>
      </c>
      <c r="DE12" s="102">
        <f>MIN(IF($AU12=100%,1,1+VLOOKUP(($AJ12-$AI12-$AH12-$AG12-$AF12-$AE12*(1+DE$3))/$AJ12,Уголь_коэфф!$A:$B,2,1)-VLOOKUP($AO12,Уголь_коэфф!$A:$B,2,1)),1+(1-$AU12))</f>
        <v>1.04</v>
      </c>
      <c r="DF12" s="102">
        <f>MIN(IF($AU12=100%,1,1+VLOOKUP(($AJ12-$AI12-$AH12-$AG12-$AF12-$AE12*(1+DF$3))/$AJ12,Уголь_коэфф!$A:$B,2,1)-VLOOKUP($AO12,Уголь_коэфф!$A:$B,2,1)),1+(1-$AU12))</f>
        <v>1.0350000000000001</v>
      </c>
      <c r="DG12" s="102">
        <f>MIN(IF($AU12=100%,1,1+VLOOKUP(($AJ12-$AI12-$AH12-$AG12-$AF12-$AE12*(1+DG$3))/$AJ12,Уголь_коэфф!$A:$B,2,1)-VLOOKUP($AO12,Уголь_коэфф!$A:$B,2,1)),1+(1-$AU12))</f>
        <v>1.0350000000000001</v>
      </c>
      <c r="DH12" s="102">
        <f>MIN(IF($AU12=100%,1,1+VLOOKUP(($AJ12-$AI12-$AH12-$AG12-$AF12-$AE12*(1+DH$3))/$AJ12,Уголь_коэфф!$A:$B,2,1)-VLOOKUP($AO12,Уголь_коэфф!$A:$B,2,1)),1+(1-$AU12))</f>
        <v>1.0350000000000001</v>
      </c>
      <c r="DI12" s="102">
        <f>MIN(IF($AU12=100%,1,1+VLOOKUP(($AJ12-$AI12-$AH12-$AG12-$AF12-$AE12*(1+DI$3))/$AJ12,Уголь_коэфф!$A:$B,2,1)-VLOOKUP($AO12,Уголь_коэфф!$A:$B,2,1)),1+(1-$AU12))</f>
        <v>1.0350000000000001</v>
      </c>
      <c r="DJ12" s="102">
        <f>MIN(IF($AU12=100%,1,1+VLOOKUP(($AJ12-$AI12-$AH12-$AG12-$AF12-$AE12*(1+DJ$3))/$AJ12,Уголь_коэфф!$A:$B,2,1)-VLOOKUP($AO12,Уголь_коэфф!$A:$B,2,1)),1+(1-$AU12))</f>
        <v>1.0300000000000002</v>
      </c>
      <c r="DK12" s="102">
        <f>MIN(IF($AU12=100%,1,1+VLOOKUP(($AJ12-$AI12-$AH12-$AG12-$AF12-$AE12*(1+DK$3))/$AJ12,Уголь_коэфф!$A:$B,2,1)-VLOOKUP($AO12,Уголь_коэфф!$A:$B,2,1)),1+(1-$AU12))</f>
        <v>1.0300000000000002</v>
      </c>
      <c r="DL12" s="102">
        <f>MIN(IF($AU12=100%,1,1+VLOOKUP(($AJ12-$AI12-$AH12-$AG12-$AF12-$AE12*(1+DL$3))/$AJ12,Уголь_коэфф!$A:$B,2,1)-VLOOKUP($AO12,Уголь_коэфф!$A:$B,2,1)),1+(1-$AU12))</f>
        <v>1.0300000000000002</v>
      </c>
      <c r="DM12" s="102">
        <f>MIN(IF($AU12=100%,1,1+VLOOKUP(($AJ12-$AI12-$AH12-$AG12-$AF12-$AE12*(1+DM$3))/$AJ12,Уголь_коэфф!$A:$B,2,1)-VLOOKUP($AO12,Уголь_коэфф!$A:$B,2,1)),1+(1-$AU12))</f>
        <v>1.0300000000000002</v>
      </c>
      <c r="DN12" s="102">
        <f>MIN(IF($AU12=100%,1,1+VLOOKUP(($AJ12-$AI12-$AH12-$AG12-$AF12-$AE12*(1+DN$3))/$AJ12,Уголь_коэфф!$A:$B,2,1)-VLOOKUP($AO12,Уголь_коэфф!$A:$B,2,1)),1+(1-$AU12))</f>
        <v>1.0300000000000002</v>
      </c>
      <c r="DO12" s="102">
        <f>MIN(IF($AU12=100%,1,1+VLOOKUP(($AJ12-$AI12-$AH12-$AG12-$AF12-$AE12*(1+DO$3))/$AJ12,Уголь_коэфф!$A:$B,2,1)-VLOOKUP($AO12,Уголь_коэфф!$A:$B,2,1)),1+(1-$AU12))</f>
        <v>1.0249999999999999</v>
      </c>
      <c r="DP12" s="102">
        <f>MIN(IF($AU12=100%,1,1+VLOOKUP(($AJ12-$AI12-$AH12-$AG12-$AF12-$AE12*(1+DP$3))/$AJ12,Уголь_коэфф!$A:$B,2,1)-VLOOKUP($AO12,Уголь_коэфф!$A:$B,2,1)),1+(1-$AU12))</f>
        <v>1.0249999999999999</v>
      </c>
      <c r="DQ12" s="102">
        <f>MIN(IF($AU12=100%,1,1+VLOOKUP(($AJ12-$AI12-$AH12-$AG12-$AF12-$AE12*(1+DQ$3))/$AJ12,Уголь_коэфф!$A:$B,2,1)-VLOOKUP($AO12,Уголь_коэфф!$A:$B,2,1)),1+(1-$AU12))</f>
        <v>1.0249999999999999</v>
      </c>
      <c r="DR12" s="102">
        <f>MIN(IF($AU12=100%,1,1+VLOOKUP(($AJ12-$AI12-$AH12-$AG12-$AF12-$AE12*(1+DR$3))/$AJ12,Уголь_коэфф!$A:$B,2,1)-VLOOKUP($AO12,Уголь_коэфф!$A:$B,2,1)),1+(1-$AU12))</f>
        <v>1.0249999999999999</v>
      </c>
      <c r="DS12" s="102">
        <f>MIN(IF($AU12=100%,1,1+VLOOKUP(($AJ12-$AI12-$AH12-$AG12-$AF12-$AE12*(1+DS$3))/$AJ12,Уголь_коэфф!$A:$B,2,1)-VLOOKUP($AO12,Уголь_коэфф!$A:$B,2,1)),1+(1-$AU12))</f>
        <v>1.0249999999999999</v>
      </c>
      <c r="DT12" s="102">
        <f>MIN(IF($AU12=100%,1,1+VLOOKUP(($AJ12-$AI12-$AH12-$AG12-$AF12-$AE12*(1+DT$3))/$AJ12,Уголь_коэфф!$A:$B,2,1)-VLOOKUP($AO12,Уголь_коэфф!$A:$B,2,1)),1+(1-$AU12))</f>
        <v>1.0249999999999999</v>
      </c>
      <c r="DU12" s="102">
        <f>MIN(IF($AU12=100%,1,1+VLOOKUP(($AJ12-$AI12-$AH12-$AG12-$AF12-$AE12*(1+DU$3))/$AJ12,Уголь_коэфф!$A:$B,2,1)-VLOOKUP($AO12,Уголь_коэфф!$A:$B,2,1)),1+(1-$AU12))</f>
        <v>1.0249999999999999</v>
      </c>
      <c r="DV12" s="102">
        <f>MIN(IF($AU12=100%,1,1+VLOOKUP(($AJ12-$AI12-$AH12-$AG12-$AF12-$AE12*(1+DV$3))/$AJ12,Уголь_коэфф!$A:$B,2,1)-VLOOKUP($AO12,Уголь_коэфф!$A:$B,2,1)),1+(1-$AU12))</f>
        <v>1.0249999999999999</v>
      </c>
      <c r="DW12" s="102">
        <f>MIN(IF($AU12=100%,1,1+VLOOKUP(($AJ12-$AI12-$AH12-$AG12-$AF12-$AE12*(1+DW$3))/$AJ12,Уголь_коэфф!$A:$B,2,1)-VLOOKUP($AO12,Уголь_коэфф!$A:$B,2,1)),1+(1-$AU12))</f>
        <v>1.0249999999999999</v>
      </c>
      <c r="DX12" s="102">
        <f>MIN(IF($AU12=100%,1,1+VLOOKUP(($AJ12-$AI12-$AH12-$AG12-$AF12-$AE12*(1+DX$3))/$AJ12,Уголь_коэфф!$A:$B,2,1)-VLOOKUP($AO12,Уголь_коэфф!$A:$B,2,1)),1+(1-$AU12))</f>
        <v>1.0249999999999999</v>
      </c>
      <c r="DY12" s="102">
        <f>MIN(IF($AU12=100%,1,1+VLOOKUP(($AJ12-$AI12-$AH12-$AG12-$AF12-$AE12*(1+DY$3))/$AJ12,Уголь_коэфф!$A:$B,2,1)-VLOOKUP($AO12,Уголь_коэфф!$A:$B,2,1)),1+(1-$AU12))</f>
        <v>1.0249999999999999</v>
      </c>
      <c r="DZ12" s="102">
        <f>MIN(IF($AU12=100%,1,1+VLOOKUP(($AJ12-$AI12-$AH12-$AG12-$AF12-$AE12*(1+DZ$3))/$AJ12,Уголь_коэфф!$A:$B,2,1)-VLOOKUP($AO12,Уголь_коэфф!$A:$B,2,1)),1+(1-$AU12))</f>
        <v>1.0249999999999999</v>
      </c>
      <c r="EA12" s="102">
        <f>MIN(IF($AU12=100%,1,1+VLOOKUP(($AJ12-$AI12-$AH12-$AG12-$AF12-$AE12*(1+EA$3))/$AJ12,Уголь_коэфф!$A:$B,2,1)-VLOOKUP($AO12,Уголь_коэфф!$A:$B,2,1)),1+(1-$AU12))</f>
        <v>1.0249999999999999</v>
      </c>
      <c r="EB12" s="102">
        <f>MIN(IF($AU12=100%,1,1+VLOOKUP(($AJ12-$AI12-$AH12-$AG12-$AF12-$AE12*(1+EB$3))/$AJ12,Уголь_коэфф!$A:$B,2,1)-VLOOKUP($AO12,Уголь_коэфф!$A:$B,2,1)),1+(1-$AU12))</f>
        <v>1</v>
      </c>
      <c r="EC12" s="102">
        <f>MIN(IF($AU12=100%,1,1+VLOOKUP(($AJ12-$AI12-$AH12-$AG12-$AF12-$AE12*(1+EC$3))/$AJ12,Уголь_коэфф!$A:$B,2,1)-VLOOKUP($AO12,Уголь_коэфф!$A:$B,2,1)),1+(1-$AU12))</f>
        <v>1</v>
      </c>
      <c r="ED12" s="102">
        <f>MIN(IF($AU12=100%,1,1+VLOOKUP(($AJ12-$AI12-$AH12-$AG12-$AF12-$AE12*(1+ED$3))/$AJ12,Уголь_коэфф!$A:$B,2,1)-VLOOKUP($AO12,Уголь_коэфф!$A:$B,2,1)),1+(1-$AU12))</f>
        <v>1</v>
      </c>
      <c r="EE12" s="102">
        <f>MIN(IF($AU12=100%,1,1+VLOOKUP(($AJ12-$AI12-$AH12-$AG12-$AF12-$AE12*(1+EE$3))/$AJ12,Уголь_коэфф!$A:$B,2,1)-VLOOKUP($AO12,Уголь_коэфф!$A:$B,2,1)),1+(1-$AU12))</f>
        <v>1</v>
      </c>
      <c r="EF12" s="102">
        <f>MIN(IF($AU12=100%,1,1+VLOOKUP(($AJ12-$AI12-$AH12-$AG12-$AF12-$AE12*(1+EF$3))/$AJ12,Уголь_коэфф!$A:$B,2,1)-VLOOKUP($AO12,Уголь_коэфф!$A:$B,2,1)),1+(1-$AU12))</f>
        <v>1</v>
      </c>
      <c r="EG12" s="102">
        <f>MIN(IF($AU12=100%,1,1+VLOOKUP(($AJ12-$AI12-$AH12-$AG12-$AF12-$AE12*(1+EG$3))/$AJ12,Уголь_коэфф!$A:$B,2,1)-VLOOKUP($AO12,Уголь_коэфф!$A:$B,2,1)),1+(1-$AU12))</f>
        <v>1</v>
      </c>
      <c r="EH12" s="102">
        <f>MIN(IF($AU12=100%,1,1+VLOOKUP(($AJ12-$AI12-$AH12-$AG12-$AF12-$AE12*(1+EH$3))/$AJ12,Уголь_коэфф!$A:$B,2,1)-VLOOKUP($AO12,Уголь_коэфф!$A:$B,2,1)),1+(1-$AU12))</f>
        <v>1</v>
      </c>
      <c r="EI12" s="102">
        <f>MIN(IF($AU12=100%,1,1+VLOOKUP(($AJ12-$AI12-$AH12-$AG12-$AF12-$AE12*(1+EI$3))/$AJ12,Уголь_коэфф!$A:$B,2,1)-VLOOKUP($AO12,Уголь_коэфф!$A:$B,2,1)),1+(1-$AU12))</f>
        <v>1</v>
      </c>
      <c r="EJ12" s="102">
        <f>MIN(IF($AU12=100%,1,1+VLOOKUP(($AJ12-$AI12-$AH12-$AG12-$AF12-$AE12*(1+EJ$3))/$AJ12,Уголь_коэфф!$A:$B,2,1)-VLOOKUP($AO12,Уголь_коэфф!$A:$B,2,1)),1+(1-$AU12))</f>
        <v>1</v>
      </c>
      <c r="EK12" s="102">
        <f>MIN(IF($AU12=100%,1,1+VLOOKUP(($AJ12-$AI12-$AH12-$AG12-$AF12-$AE12*(1+EK$3))/$AJ12,Уголь_коэфф!$A:$B,2,1)-VLOOKUP($AO12,Уголь_коэфф!$A:$B,2,1)),1+(1-$AU12))</f>
        <v>1</v>
      </c>
      <c r="EL12" s="102">
        <f>MIN(IF($AU12=100%,1,1+VLOOKUP(($AJ12-$AI12-$AH12-$AG12-$AF12-$AE12*(1+EL$3))/$AJ12,Уголь_коэфф!$A:$B,2,1)-VLOOKUP($AO12,Уголь_коэфф!$A:$B,2,1)),1+(1-$AU12))</f>
        <v>1</v>
      </c>
      <c r="EM12" s="102">
        <f>MIN(IF($AU12=100%,1,1+VLOOKUP(($AJ12-$AI12-$AH12-$AG12-$AF12-$AE12*(1+EM$3))/$AJ12,Уголь_коэфф!$A:$B,2,1)-VLOOKUP($AO12,Уголь_коэфф!$A:$B,2,1)),1+(1-$AU12))</f>
        <v>1</v>
      </c>
      <c r="EN12" s="102">
        <f>MIN(IF($AU12=100%,1,1+VLOOKUP(($AJ12-$AI12-$AH12-$AG12-$AF12-$AE12*(1+EN$3))/$AJ12,Уголь_коэфф!$A:$B,2,1)-VLOOKUP($AO12,Уголь_коэфф!$A:$B,2,1)),1+(1-$AU12))</f>
        <v>1</v>
      </c>
      <c r="EO12" s="102">
        <f>MIN(IF($AU12=100%,1,1+VLOOKUP(($AJ12-$AI12-$AH12-$AG12-$AF12-$AE12*(1+EO$3))/$AJ12,Уголь_коэфф!$A:$B,2,1)-VLOOKUP($AO12,Уголь_коэфф!$A:$B,2,1)),1+(1-$AU12))</f>
        <v>1</v>
      </c>
      <c r="EP12" s="102">
        <f>MIN(IF($AU12=100%,1,1+VLOOKUP(($AJ12-$AI12-$AH12-$AG12-$AF12-$AE12*(1+EP$3))/$AJ12,Уголь_коэфф!$A:$B,2,1)-VLOOKUP($AO12,Уголь_коэфф!$A:$B,2,1)),1+(1-$AU12))</f>
        <v>1</v>
      </c>
      <c r="EQ12" s="102">
        <f>MIN(IF($AU12=100%,1,1+VLOOKUP(($AJ12-$AI12-$AH12-$AG12-$AF12-$AE12*(1+EQ$3))/$AJ12,Уголь_коэфф!$A:$B,2,1)-VLOOKUP($AO12,Уголь_коэфф!$A:$B,2,1)),1+(1-$AU12))</f>
        <v>1</v>
      </c>
      <c r="ER12" s="102">
        <f>MIN(IF($AU12=100%,1,1+VLOOKUP(($AJ12-$AI12-$AH12-$AG12-$AF12-$AE12*(1+ER$3))/$AJ12,Уголь_коэфф!$A:$B,2,1)-VLOOKUP($AO12,Уголь_коэфф!$A:$B,2,1)),1+(1-$AU12))</f>
        <v>1</v>
      </c>
      <c r="ES12" s="102">
        <f>MIN(IF($AU12=100%,1,1+VLOOKUP(($AJ12-$AI12-$AH12-$AG12-$AF12-$AE12*(1+ES$3))/$AJ12,Уголь_коэфф!$A:$B,2,1)-VLOOKUP($AO12,Уголь_коэфф!$A:$B,2,1)),1+(1-$AU12))</f>
        <v>1</v>
      </c>
      <c r="ET12" s="102">
        <f>MIN(IF($AU12=100%,1,1+VLOOKUP(($AJ12-$AI12-$AH12-$AG12-$AF12-$AE12*(1+ET$3))/$AJ12,Уголь_коэфф!$A:$B,2,1)-VLOOKUP($AO12,Уголь_коэфф!$A:$B,2,1)),1+(1-$AU12))</f>
        <v>1</v>
      </c>
      <c r="EU12" s="102">
        <f>MIN(IF($AU12=100%,1,1+VLOOKUP(($AJ12-$AI12-$AH12-$AG12-$AF12-$AE12*(1+EU$3))/$AJ12,Уголь_коэфф!$A:$B,2,1)-VLOOKUP($AO12,Уголь_коэфф!$A:$B,2,1)),1+(1-$AU12))</f>
        <v>1</v>
      </c>
      <c r="EV12" s="103">
        <v>1</v>
      </c>
      <c r="EW12" s="102">
        <f>MIN(1,MAX(VLOOKUP(($AJ12-$AI12-$AH12-$AG12-$AF12-$AE12*(1+EW$3))/$AJ12,Уголь_коэфф!$A:$B,2,1),(EV12-0.05)))</f>
        <v>1</v>
      </c>
      <c r="EX12" s="102">
        <f>MIN(1,MAX(VLOOKUP(($AJ12-$AI12-$AH12-$AG12-$AF12-$AE12*(1+EX$3))/$AJ12,Уголь_коэфф!$A:$B,2,1),(EW12-0.05)))</f>
        <v>1</v>
      </c>
      <c r="EY12" s="102">
        <f>MIN(1,MAX(VLOOKUP(($AJ12-$AI12-$AH12-$AG12-$AF12-$AE12*(1+EY$3))/$AJ12,Уголь_коэфф!$A:$B,2,1),(EX12-0.05)))</f>
        <v>1</v>
      </c>
      <c r="EZ12" s="102">
        <f>MIN(1,MAX(VLOOKUP(($AJ12-$AI12-$AH12-$AG12-$AF12-$AE12*(1+EZ$3))/$AJ12,Уголь_коэфф!$A:$B,2,1),(EY12-0.05)))</f>
        <v>1</v>
      </c>
      <c r="FA12" s="102">
        <f>MIN(1,MAX(VLOOKUP(($AJ12-$AI12-$AH12-$AG12-$AF12-$AE12*(1+FA$3))/$AJ12,Уголь_коэфф!$A:$B,2,1),(EZ12-0.05)))</f>
        <v>1</v>
      </c>
      <c r="FB12" s="102">
        <f>MIN(1,MAX(VLOOKUP(($AJ12-$AI12-$AH12-$AG12-$AF12-$AE12*(1+FB$3))/$AJ12,Уголь_коэфф!$A:$B,2,1),(FA12-0.05)))</f>
        <v>1</v>
      </c>
      <c r="FC12" s="102">
        <f>MIN(1,MAX(VLOOKUP(($AJ12-$AI12-$AH12-$AG12-$AF12-$AE12*(1+FC$3))/$AJ12,Уголь_коэфф!$A:$B,2,1),(FB12-0.05)))</f>
        <v>1</v>
      </c>
      <c r="FD12" s="102">
        <f>MIN(1,MAX(VLOOKUP(($AJ12-$AI12-$AH12-$AG12-$AF12-$AE12*(1+FD$3))/$AJ12,Уголь_коэфф!$A:$B,2,1),(FC12-0.05)))</f>
        <v>1</v>
      </c>
      <c r="FE12" s="102">
        <f>MIN(1,MAX(VLOOKUP(($AJ12-$AI12-$AH12-$AG12-$AF12-$AE12*(1+FE$3))/$AJ12,Уголь_коэфф!$A:$B,2,1),(FD12-0.05)))</f>
        <v>1</v>
      </c>
      <c r="FF12" s="102">
        <f>MIN(1,MAX(VLOOKUP(($AJ12-$AI12-$AH12-$AG12-$AF12-$AE12*(1+FF$3))/$AJ12,Уголь_коэфф!$A:$B,2,1),(FE12-0.05)))</f>
        <v>1</v>
      </c>
      <c r="FG12" s="102">
        <f>MIN(1,MAX(VLOOKUP(($AJ12-$AI12-$AH12-$AG12-$AF12-$AE12*(1+FG$3))/$AJ12,Уголь_коэфф!$A:$B,2,1),(FF12-0.05)))</f>
        <v>1</v>
      </c>
      <c r="FH12" s="102">
        <f>MIN(1,MAX(VLOOKUP(($AJ12-$AI12-$AH12-$AG12-$AF12-$AE12*(1+FH$3))/$AJ12,Уголь_коэфф!$A:$B,2,1),(FG12-0.05)))</f>
        <v>0.995</v>
      </c>
      <c r="FI12" s="102">
        <f>MIN(1,MAX(VLOOKUP(($AJ12-$AI12-$AH12-$AG12-$AF12-$AE12*(1+FI$3))/$AJ12,Уголь_коэфф!$A:$B,2,1),(FH12-0.05)))</f>
        <v>0.995</v>
      </c>
      <c r="FJ12" s="102">
        <f>MIN(1,MAX(VLOOKUP(($AJ12-$AI12-$AH12-$AG12-$AF12-$AE12*(1+FJ$3))/$AJ12,Уголь_коэфф!$A:$B,2,1),(FI12-0.05)))</f>
        <v>0.995</v>
      </c>
      <c r="FK12" s="102">
        <f>MIN(1,MAX(VLOOKUP(($AJ12-$AI12-$AH12-$AG12-$AF12-$AE12*(1+FK$3))/$AJ12,Уголь_коэфф!$A:$B,2,1),(FJ12-0.05)))</f>
        <v>0.995</v>
      </c>
      <c r="FL12" s="102">
        <f>MIN(1,MAX(VLOOKUP(($AJ12-$AI12-$AH12-$AG12-$AF12-$AE12*(1+FL$3))/$AJ12,Уголь_коэфф!$A:$B,2,1),(FK12-0.05)))</f>
        <v>0.995</v>
      </c>
      <c r="FM12" s="102">
        <f>MIN(1,MAX(VLOOKUP(($AJ12-$AI12-$AH12-$AG12-$AF12-$AE12*(1+FM$3))/$AJ12,Уголь_коэфф!$A:$B,2,1),(FL12-0.05)))</f>
        <v>0.99</v>
      </c>
      <c r="FN12" s="102">
        <f>MIN(1,MAX(VLOOKUP(($AJ12-$AI12-$AH12-$AG12-$AF12-$AE12*(1+FN$3))/$AJ12,Уголь_коэфф!$A:$B,2,1),(FM12-0.05)))</f>
        <v>0.99</v>
      </c>
      <c r="FO12" s="102">
        <f>MIN(1,MAX(VLOOKUP(($AJ12-$AI12-$AH12-$AG12-$AF12-$AE12*(1+FO$3))/$AJ12,Уголь_коэфф!$A:$B,2,1),(FN12-0.05)))</f>
        <v>0.99</v>
      </c>
      <c r="FP12" s="102">
        <f>MIN(1,MAX(VLOOKUP(($AJ12-$AI12-$AH12-$AG12-$AF12-$AE12*(1+FP$3))/$AJ12,Уголь_коэфф!$A:$B,2,1),(FO12-0.05)))</f>
        <v>0.99</v>
      </c>
      <c r="FQ12" s="102">
        <f>MIN(1,MAX(VLOOKUP(($AJ12-$AI12-$AH12-$AG12-$AF12-$AE12*(1+FQ$3))/$AJ12,Уголь_коэфф!$A:$B,2,1),(FP12-0.05)))</f>
        <v>0.98499999999999999</v>
      </c>
      <c r="FR12" s="102">
        <f>MIN(1,MAX(VLOOKUP(($AJ12-$AI12-$AH12-$AG12-$AF12-$AE12*(1+FR$3))/$AJ12,Уголь_коэфф!$A:$B,2,1),(FQ12-0.05)))</f>
        <v>0.98499999999999999</v>
      </c>
      <c r="FS12" s="102">
        <f>MIN(1,MAX(VLOOKUP(($AJ12-$AI12-$AH12-$AG12-$AF12-$AE12*(1+FS$3))/$AJ12,Уголь_коэфф!$A:$B,2,1),(FR12-0.05)))</f>
        <v>0.98499999999999999</v>
      </c>
      <c r="FT12" s="102">
        <f>MIN(1,MAX(VLOOKUP(($AJ12-$AI12-$AH12-$AG12-$AF12-$AE12*(1+FT$3))/$AJ12,Уголь_коэфф!$A:$B,2,1),(FS12-0.05)))</f>
        <v>0.98499999999999999</v>
      </c>
      <c r="FU12" s="102">
        <f>MIN(1,MAX(VLOOKUP(($AJ12-$AI12-$AH12-$AG12-$AF12-$AE12*(1+FU$3))/$AJ12,Уголь_коэфф!$A:$B,2,1),(FT12-0.05)))</f>
        <v>0.98499999999999999</v>
      </c>
      <c r="FV12" s="102">
        <f>MIN(1,MAX(VLOOKUP(($AJ12-$AI12-$AH12-$AG12-$AF12-$AE12*(1+FV$3))/$AJ12,Уголь_коэфф!$A:$B,2,1),(FU12-0.05)))</f>
        <v>0.98</v>
      </c>
      <c r="FW12" s="102">
        <f>MIN(1,MAX(VLOOKUP(($AJ12-$AI12-$AH12-$AG12-$AF12-$AE12*(1+FW$3))/$AJ12,Уголь_коэфф!$A:$B,2,1),(FV12-0.05)))</f>
        <v>0.98</v>
      </c>
      <c r="FX12" s="102">
        <f>MIN(1,MAX(VLOOKUP(($AJ12-$AI12-$AH12-$AG12-$AF12-$AE12*(1+FX$3))/$AJ12,Уголь_коэфф!$A:$B,2,1),(FW12-0.05)))</f>
        <v>0.98</v>
      </c>
      <c r="FY12" s="102">
        <f>MIN(1,MAX(VLOOKUP(($AJ12-$AI12-$AH12-$AG12-$AF12-$AE12*(1+FY$3))/$AJ12,Уголь_коэфф!$A:$B,2,1),(FX12-0.05)))</f>
        <v>0.98</v>
      </c>
      <c r="FZ12" s="102">
        <f>MIN(1,MAX(VLOOKUP(($AJ12-$AI12-$AH12-$AG12-$AF12-$AE12*(1+FZ$3))/$AJ12,Уголь_коэфф!$A:$B,2,1),(FY12-0.05)))</f>
        <v>0.97499999999999998</v>
      </c>
      <c r="GA12" s="102">
        <f>MIN(1,MAX(VLOOKUP(($AJ12-$AI12-$AH12-$AG12-$AF12-$AE12*(1+GA$3))/$AJ12,Уголь_коэфф!$A:$B,2,1),(FZ12-0.05)))</f>
        <v>0.97499999999999998</v>
      </c>
      <c r="GB12" s="102">
        <f>MIN(1,MAX(VLOOKUP(($AJ12-$AI12-$AH12-$AG12-$AF12-$AE12*(1+GB$3))/$AJ12,Уголь_коэфф!$A:$B,2,1),(GA12-0.05)))</f>
        <v>0.97499999999999998</v>
      </c>
      <c r="GC12" s="102">
        <f>MIN(1,MAX(VLOOKUP(($AJ12-$AI12-$AH12-$AG12-$AF12-$AE12*(1+GC$3))/$AJ12,Уголь_коэфф!$A:$B,2,1),(GB12-0.05)))</f>
        <v>0.97499999999999998</v>
      </c>
      <c r="GD12" s="102">
        <f>MIN(1,MAX(VLOOKUP(($AJ12-$AI12-$AH12-$AG12-$AF12-$AE12*(1+GD$3))/$AJ12,Уголь_коэфф!$A:$B,2,1),(GC12-0.05)))</f>
        <v>0.97499999999999998</v>
      </c>
      <c r="GE12" s="102">
        <f>MIN(1,MAX(VLOOKUP(($AJ12-$AI12-$AH12-$AG12-$AF12-$AE12*(1+GE$3))/$AJ12,Уголь_коэфф!$A:$B,2,1),(GD12-0.05)))</f>
        <v>0.97</v>
      </c>
      <c r="GF12" s="102">
        <f>MIN(1,MAX(VLOOKUP(($AJ12-$AI12-$AH12-$AG12-$AF12-$AE12*(1+GF$3))/$AJ12,Уголь_коэфф!$A:$B,2,1),(GE12-0.05)))</f>
        <v>0.97</v>
      </c>
      <c r="GG12" s="102">
        <f>MIN(1,MAX(VLOOKUP(($AJ12-$AI12-$AH12-$AG12-$AF12-$AE12*(1+GG$3))/$AJ12,Уголь_коэфф!$A:$B,2,1),(GF12-0.05)))</f>
        <v>0.97</v>
      </c>
      <c r="GH12" s="102">
        <f>MIN(1,MAX(VLOOKUP(($AJ12-$AI12-$AH12-$AG12-$AF12-$AE12*(1+GH$3))/$AJ12,Уголь_коэфф!$A:$B,2,1),(GG12-0.05)))</f>
        <v>0.97</v>
      </c>
      <c r="GI12" s="102">
        <f>MIN(1,MAX(VLOOKUP(($AJ12-$AI12-$AH12-$AG12-$AF12-$AE12*(1+GI$3))/$AJ12,Уголь_коэфф!$A:$B,2,1),(GH12-0.05)))</f>
        <v>0.96499999999999997</v>
      </c>
      <c r="GJ12" s="102">
        <f>MIN(1,MAX(VLOOKUP(($AJ12-$AI12-$AH12-$AG12-$AF12-$AE12*(1+GJ$3))/$AJ12,Уголь_коэфф!$A:$B,2,1),(GI12-0.05)))</f>
        <v>0.96499999999999997</v>
      </c>
      <c r="GK12" s="102">
        <f>MIN(1,MAX(VLOOKUP(($AJ12-$AI12-$AH12-$AG12-$AF12-$AE12*(1+GK$3))/$AJ12,Уголь_коэфф!$A:$B,2,1),(GJ12-0.05)))</f>
        <v>0.96499999999999997</v>
      </c>
      <c r="GL12" s="102">
        <f>MIN(1,MAX(VLOOKUP(($AJ12-$AI12-$AH12-$AG12-$AF12-$AE12*(1+GL$3))/$AJ12,Уголь_коэфф!$A:$B,2,1),(GK12-0.05)))</f>
        <v>0.96499999999999997</v>
      </c>
      <c r="GM12" s="102">
        <f>MIN(1,MAX(VLOOKUP(($AJ12-$AI12-$AH12-$AG12-$AF12-$AE12*(1+GM$3))/$AJ12,Уголь_коэфф!$A:$B,2,1),(GL12-0.05)))</f>
        <v>0.96499999999999997</v>
      </c>
      <c r="GN12" s="102">
        <f>MIN(1,MAX(VLOOKUP(($AJ12-$AI12-$AH12-$AG12-$AF12-$AE12*(1+GN$3))/$AJ12,Уголь_коэфф!$A:$B,2,1),(GM12-0.05)))</f>
        <v>0.96</v>
      </c>
      <c r="GO12" s="102">
        <f>MIN(1,MAX(VLOOKUP(($AJ12-$AI12-$AH12-$AG12-$AF12-$AE12*(1+GO$3))/$AJ12,Уголь_коэфф!$A:$B,2,1),(GN12-0.05)))</f>
        <v>0.96</v>
      </c>
      <c r="GP12" s="102">
        <f>MIN(1,MAX(VLOOKUP(($AJ12-$AI12-$AH12-$AG12-$AF12-$AE12*(1+GP$3))/$AJ12,Уголь_коэфф!$A:$B,2,1),(GO12-0.05)))</f>
        <v>0.96</v>
      </c>
      <c r="GQ12" s="102">
        <f>MIN(1,MAX(VLOOKUP(($AJ12-$AI12-$AH12-$AG12-$AF12-$AE12*(1+GQ$3))/$AJ12,Уголь_коэфф!$A:$B,2,1),(GP12-0.05)))</f>
        <v>0.96</v>
      </c>
      <c r="GR12" s="102">
        <f>MIN(1,MAX(VLOOKUP(($AJ12-$AI12-$AH12-$AG12-$AF12-$AE12*(1+GR$3))/$AJ12,Уголь_коэфф!$A:$B,2,1),(GQ12-0.05)))</f>
        <v>0.95499999999999996</v>
      </c>
      <c r="GS12" s="102">
        <f>MIN(1,MAX(VLOOKUP(($AJ12-$AI12-$AH12-$AG12-$AF12-$AE12*(1+GS$3))/$AJ12,Уголь_коэфф!$A:$B,2,1),(GR12-0.05)))</f>
        <v>0.95499999999999996</v>
      </c>
      <c r="GT12" s="102">
        <f>MIN(1,MAX(VLOOKUP(($AJ12-$AI12-$AH12-$AG12-$AF12-$AE12*(1+GT$3))/$AJ12,Уголь_коэфф!$A:$B,2,1),(GS12-0.05)))</f>
        <v>0.95499999999999996</v>
      </c>
      <c r="GU12" s="102">
        <f>MIN(1,MAX(VLOOKUP(($AJ12-$AI12-$AH12-$AG12-$AF12-$AE12*(1+GU$3))/$AJ12,Уголь_коэфф!$A:$B,2,1),(GT12-0.05)))</f>
        <v>0.95499999999999996</v>
      </c>
      <c r="GV12" s="102">
        <f>MIN(1,MAX(VLOOKUP(($AJ12-$AI12-$AH12-$AG12-$AF12-$AE12*(1+GV$3))/$AJ12,Уголь_коэфф!$A:$B,2,1),(GU12-0.05)))</f>
        <v>0.95499999999999996</v>
      </c>
      <c r="GW12" s="102">
        <f>MIN(1,MAX(VLOOKUP(($AJ12-$AI12-$AH12-$AG12-$AF12-$AE12*(1+GW$3))/$AJ12,Уголь_коэфф!$A:$B,2,1),(GV12-0.05)))</f>
        <v>0.95</v>
      </c>
      <c r="GX12" s="102">
        <f>MIN(1,MAX(VLOOKUP(($AJ12-$AI12-$AH12-$AG12-$AF12-$AE12*(1+GX$3))/$AJ12,Уголь_коэфф!$A:$B,2,1),(GW12-0.05)))</f>
        <v>0.95</v>
      </c>
      <c r="GY12" s="102">
        <f>MIN(1,MAX(VLOOKUP(($AJ12-$AI12-$AH12-$AG12-$AF12-$AE12*(1+GY$3))/$AJ12,Уголь_коэфф!$A:$B,2,1),(GX12-0.05)))</f>
        <v>0.95</v>
      </c>
      <c r="GZ12" s="102">
        <f>MIN(1,MAX(VLOOKUP(($AJ12-$AI12-$AH12-$AG12-$AF12-$AE12*(1+GZ$3))/$AJ12,Уголь_коэфф!$A:$B,2,1),(GY12-0.05)))</f>
        <v>0.95</v>
      </c>
      <c r="HA12" s="102">
        <f>MIN(1,MAX(VLOOKUP(($AJ12-$AI12-$AH12-$AG12-$AF12-$AE12*(1+HA$3))/$AJ12,Уголь_коэфф!$A:$B,2,1),(GZ12-0.05)))</f>
        <v>0.94499999999999995</v>
      </c>
      <c r="HB12" s="102">
        <f>MIN(1,MAX(VLOOKUP(($AJ12-$AI12-$AH12-$AG12-$AF12-$AE12*(1+HB$3))/$AJ12,Уголь_коэфф!$A:$B,2,1),(HA12-0.05)))</f>
        <v>0.94499999999999995</v>
      </c>
      <c r="HC12" s="102">
        <f>MIN(1,MAX(VLOOKUP(($AJ12-$AI12-$AH12-$AG12-$AF12-$AE12*(1+HC$3))/$AJ12,Уголь_коэфф!$A:$B,2,1),(HB12-0.05)))</f>
        <v>0.94499999999999995</v>
      </c>
      <c r="HD12" s="102">
        <f>MIN(1,MAX(VLOOKUP(($AJ12-$AI12-$AH12-$AG12-$AF12-$AE12*(1+HD$3))/$AJ12,Уголь_коэфф!$A:$B,2,1),(HC12-0.05)))</f>
        <v>0.94499999999999995</v>
      </c>
      <c r="HE12" s="102">
        <f>MIN(1,MAX(VLOOKUP(($AJ12-$AI12-$AH12-$AG12-$AF12-$AE12*(1+HE$3))/$AJ12,Уголь_коэфф!$A:$B,2,1),(HD12-0.05)))</f>
        <v>0.94499999999999995</v>
      </c>
      <c r="HF12" s="102">
        <f>MIN(1,MAX(VLOOKUP(($AJ12-$AI12-$AH12-$AG12-$AF12-$AE12*(1+HF$3))/$AJ12,Уголь_коэфф!$A:$B,2,1),(HE12-0.05)))</f>
        <v>0.94</v>
      </c>
      <c r="HG12" s="102">
        <f>MIN(1,MAX(VLOOKUP(($AJ12-$AI12-$AH12-$AG12-$AF12-$AE12*(1+HG$3))/$AJ12,Уголь_коэфф!$A:$B,2,1),(HF12-0.05)))</f>
        <v>0.94</v>
      </c>
      <c r="HH12" s="102">
        <f>MIN(1,MAX(VLOOKUP(($AJ12-$AI12-$AH12-$AG12-$AF12-$AE12*(1+HH$3))/$AJ12,Уголь_коэфф!$A:$B,2,1),(HG12-0.05)))</f>
        <v>0.94</v>
      </c>
      <c r="HI12" s="102">
        <f>MIN(1,MAX(VLOOKUP(($AJ12-$AI12-$AH12-$AG12-$AF12-$AE12*(1+HI$3))/$AJ12,Уголь_коэфф!$A:$B,2,1),(HH12-0.05)))</f>
        <v>0.94</v>
      </c>
      <c r="HJ12" s="102">
        <f>MIN(1,MAX(VLOOKUP(($AJ12-$AI12-$AH12-$AG12-$AF12-$AE12*(1+HJ$3))/$AJ12,Уголь_коэфф!$A:$B,2,1),(HI12-0.05)))</f>
        <v>0.93500000000000005</v>
      </c>
      <c r="HK12" s="102">
        <f>MIN(1,MAX(VLOOKUP(($AJ12-$AI12-$AH12-$AG12-$AF12-$AE12*(1+HK$3))/$AJ12,Уголь_коэфф!$A:$B,2,1),(HJ12-0.05)))</f>
        <v>0.93500000000000005</v>
      </c>
      <c r="HL12" s="102">
        <f>MIN(1,MAX(VLOOKUP(($AJ12-$AI12-$AH12-$AG12-$AF12-$AE12*(1+HL$3))/$AJ12,Уголь_коэфф!$A:$B,2,1),(HK12-0.05)))</f>
        <v>0.93500000000000005</v>
      </c>
      <c r="HM12" s="102">
        <f>MIN(1,MAX(VLOOKUP(($AJ12-$AI12-$AH12-$AG12-$AF12-$AE12*(1+HM$3))/$AJ12,Уголь_коэфф!$A:$B,2,1),(HL12-0.05)))</f>
        <v>0.93500000000000005</v>
      </c>
      <c r="HN12" s="102">
        <f>MIN(1,MAX(VLOOKUP(($AJ12-$AI12-$AH12-$AG12-$AF12-$AE12*(1+HN$3))/$AJ12,Уголь_коэфф!$A:$B,2,1),(HM12-0.05)))</f>
        <v>0.93500000000000005</v>
      </c>
      <c r="HO12" s="102">
        <f>MIN(1,MAX(VLOOKUP(($AJ12-$AI12-$AH12-$AG12-$AF12-$AE12*(1+HO$3))/$AJ12,Уголь_коэфф!$A:$B,2,1),(HN12-0.05)))</f>
        <v>0.93</v>
      </c>
      <c r="HP12" s="102">
        <f>MIN(1,MAX(VLOOKUP(($AJ12-$AI12-$AH12-$AG12-$AF12-$AE12*(1+HP$3))/$AJ12,Уголь_коэфф!$A:$B,2,1),(HO12-0.05)))</f>
        <v>0.93</v>
      </c>
      <c r="HQ12" s="102">
        <f>MIN(1,MAX(VLOOKUP(($AJ12-$AI12-$AH12-$AG12-$AF12-$AE12*(1+HQ$3))/$AJ12,Уголь_коэфф!$A:$B,2,1),(HP12-0.05)))</f>
        <v>0.93</v>
      </c>
      <c r="HR12" s="102">
        <f>MIN(1,MAX(VLOOKUP(($AJ12-$AI12-$AH12-$AG12-$AF12-$AE12*(1+HR$3))/$AJ12,Уголь_коэфф!$A:$B,2,1),(HQ12-0.05)))</f>
        <v>0.93</v>
      </c>
      <c r="HS12" s="102">
        <f>MIN(1,MAX(VLOOKUP(($AJ12-$AI12-$AH12-$AG12-$AF12-$AE12*(1+HS$3))/$AJ12,Уголь_коэфф!$A:$B,2,1),(HR12-0.05)))</f>
        <v>0.92500000000000004</v>
      </c>
      <c r="HT12" s="102">
        <f>MIN(1,MAX(VLOOKUP(($AJ12-$AI12-$AH12-$AG12-$AF12-$AE12*(1+HT$3))/$AJ12,Уголь_коэфф!$A:$B,2,1),(HS12-0.05)))</f>
        <v>0.92500000000000004</v>
      </c>
      <c r="HU12" s="102">
        <f>MIN(1,MAX(VLOOKUP(($AJ12-$AI12-$AH12-$AG12-$AF12-$AE12*(1+HU$3))/$AJ12,Уголь_коэфф!$A:$B,2,1),(HT12-0.05)))</f>
        <v>0.92500000000000004</v>
      </c>
      <c r="HV12" s="102">
        <f>MIN(1,MAX(VLOOKUP(($AJ12-$AI12-$AH12-$AG12-$AF12-$AE12*(1+HV$3))/$AJ12,Уголь_коэфф!$A:$B,2,1),(HU12-0.05)))</f>
        <v>0.92500000000000004</v>
      </c>
      <c r="HW12" s="102">
        <f>MIN(1,MAX(VLOOKUP(($AJ12-$AI12-$AH12-$AG12-$AF12-$AE12*(1+HW$3))/$AJ12,Уголь_коэфф!$A:$B,2,1),(HV12-0.05)))</f>
        <v>0.92500000000000004</v>
      </c>
      <c r="HX12" s="102">
        <f>MIN(1,MAX(VLOOKUP(($AJ12-$AI12-$AH12-$AG12-$AF12-$AE12*(1+HX$3))/$AJ12,Уголь_коэфф!$A:$B,2,1),(HW12-0.05)))</f>
        <v>0.92</v>
      </c>
      <c r="HY12" s="102">
        <f>MIN(1,MAX(VLOOKUP(($AJ12-$AI12-$AH12-$AG12-$AF12-$AE12*(1+HY$3))/$AJ12,Уголь_коэфф!$A:$B,2,1),(HX12-0.05)))</f>
        <v>0.92</v>
      </c>
      <c r="HZ12" s="102">
        <f>MIN(1,MAX(VLOOKUP(($AJ12-$AI12-$AH12-$AG12-$AF12-$AE12*(1+HZ$3))/$AJ12,Уголь_коэфф!$A:$B,2,1),(HY12-0.05)))</f>
        <v>0.92</v>
      </c>
      <c r="IA12" s="102">
        <f>MIN(1,MAX(VLOOKUP(($AJ12-$AI12-$AH12-$AG12-$AF12-$AE12*(1+IA$3))/$AJ12,Уголь_коэфф!$A:$B,2,1),(HZ12-0.05)))</f>
        <v>0.92</v>
      </c>
      <c r="IB12" s="102">
        <f>MIN(1,MAX(VLOOKUP(($AJ12-$AI12-$AH12-$AG12-$AF12-$AE12*(1+IB$3))/$AJ12,Уголь_коэфф!$A:$B,2,1),(IA12-0.05)))</f>
        <v>0.91400000000000003</v>
      </c>
      <c r="IC12" s="102">
        <f>MIN(1,MAX(VLOOKUP(($AJ12-$AI12-$AH12-$AG12-$AF12-$AE12*(1+IC$3))/$AJ12,Уголь_коэфф!$A:$B,2,1),(IB12-0.05)))</f>
        <v>0.91400000000000003</v>
      </c>
      <c r="ID12" s="102">
        <f>MIN(1,MAX(VLOOKUP(($AJ12-$AI12-$AH12-$AG12-$AF12-$AE12*(1+ID$3))/$AJ12,Уголь_коэфф!$A:$B,2,1),(IC12-0.05)))</f>
        <v>0.91400000000000003</v>
      </c>
      <c r="IE12" s="102">
        <f>MIN(1,MAX(VLOOKUP(($AJ12-$AI12-$AH12-$AG12-$AF12-$AE12*(1+IE$3))/$AJ12,Уголь_коэфф!$A:$B,2,1),(ID12-0.05)))</f>
        <v>0.91400000000000003</v>
      </c>
      <c r="IF12" s="102">
        <f>MIN(1,MAX(VLOOKUP(($AJ12-$AI12-$AH12-$AG12-$AF12-$AE12*(1+IF$3))/$AJ12,Уголь_коэфф!$A:$B,2,1),(IE12-0.05)))</f>
        <v>0.91400000000000003</v>
      </c>
      <c r="IG12" s="102">
        <f>MIN(1,MAX(VLOOKUP(($AJ12-$AI12-$AH12-$AG12-$AF12-$AE12*(1+IG$3))/$AJ12,Уголь_коэфф!$A:$B,2,1),(IF12-0.05)))</f>
        <v>0.90800000000000003</v>
      </c>
      <c r="IH12" s="102">
        <f>MIN(1,MAX(VLOOKUP(($AJ12-$AI12-$AH12-$AG12-$AF12-$AE12*(1+IH$3))/$AJ12,Уголь_коэфф!$A:$B,2,1),(IG12-0.05)))</f>
        <v>0.90800000000000003</v>
      </c>
      <c r="II12" s="102">
        <f>MIN(1,MAX(VLOOKUP(($AJ12-$AI12-$AH12-$AG12-$AF12-$AE12*(1+II$3))/$AJ12,Уголь_коэфф!$A:$B,2,1),(IH12-0.05)))</f>
        <v>0.90800000000000003</v>
      </c>
      <c r="IJ12" s="102">
        <f>MIN(1,MAX(VLOOKUP(($AJ12-$AI12-$AH12-$AG12-$AF12-$AE12*(1+IJ$3))/$AJ12,Уголь_коэфф!$A:$B,2,1),(II12-0.05)))</f>
        <v>0.90800000000000003</v>
      </c>
      <c r="IK12" s="102">
        <f>MIN(1,MAX(VLOOKUP(($AJ12-$AI12-$AH12-$AG12-$AF12-$AE12*(1+IK$3))/$AJ12,Уголь_коэфф!$A:$B,2,1),(IJ12-0.05)))</f>
        <v>0.90200000000000002</v>
      </c>
      <c r="IL12" s="102">
        <f>MIN(1,MAX(VLOOKUP(($AJ12-$AI12-$AH12-$AG12-$AF12-$AE12*(1+IL$3))/$AJ12,Уголь_коэфф!$A:$B,2,1),(IK12-0.05)))</f>
        <v>0.90200000000000002</v>
      </c>
      <c r="IM12" s="102">
        <f>MIN(1,MAX(VLOOKUP(($AJ12-$AI12-$AH12-$AG12-$AF12-$AE12*(1+IM$3))/$AJ12,Уголь_коэфф!$A:$B,2,1),(IL12-0.05)))</f>
        <v>0.90200000000000002</v>
      </c>
      <c r="IN12" s="102">
        <f>MIN(1,MAX(VLOOKUP(($AJ12-$AI12-$AH12-$AG12-$AF12-$AE12*(1+IN$3))/$AJ12,Уголь_коэфф!$A:$B,2,1),(IM12-0.05)))</f>
        <v>0.90200000000000002</v>
      </c>
      <c r="IO12" s="102">
        <f>MIN(1,MAX(VLOOKUP(($AJ12-$AI12-$AH12-$AG12-$AF12-$AE12*(1+IO$3))/$AJ12,Уголь_коэфф!$A:$B,2,1),(IN12-0.05)))</f>
        <v>0.90200000000000002</v>
      </c>
      <c r="IP12" s="102">
        <f>MIN(1,MAX(VLOOKUP(($AJ12-$AI12-$AH12-$AG12-$AF12-$AE12*(1+IP$3))/$AJ12,Уголь_коэфф!$A:$B,2,1),(IO12-0.05)))</f>
        <v>0.89600000000000002</v>
      </c>
      <c r="IQ12" s="102">
        <f>MIN(1,MAX(VLOOKUP(($AJ12-$AI12-$AH12-$AG12-$AF12-$AE12*(1+IQ$3))/$AJ12,Уголь_коэфф!$A:$B,2,1),(IP12-0.05)))</f>
        <v>0.89600000000000002</v>
      </c>
      <c r="IR12" s="102">
        <f>MIN(1,MAX(VLOOKUP(($AJ12-$AI12-$AH12-$AG12-$AF12-$AE12*(1+IR$3))/$AJ12,Уголь_коэфф!$A:$B,2,1),(IQ12-0.05)))</f>
        <v>0.89600000000000002</v>
      </c>
      <c r="IS12" s="102">
        <f t="shared" si="20"/>
        <v>0.98499999999999999</v>
      </c>
      <c r="IT12" s="102">
        <f t="shared" si="7"/>
        <v>0.98499999999999999</v>
      </c>
      <c r="IU12" s="110"/>
    </row>
    <row r="13" spans="1:266" ht="14.6" customHeight="1">
      <c r="A13" t="s">
        <v>239</v>
      </c>
      <c r="B13" s="36">
        <v>1</v>
      </c>
      <c r="C13" s="34" t="s">
        <v>16</v>
      </c>
      <c r="D13" s="1">
        <v>16111</v>
      </c>
      <c r="E13" s="1" t="s">
        <v>17</v>
      </c>
      <c r="F13" s="34" t="s">
        <v>18</v>
      </c>
      <c r="G13" s="1" t="s">
        <v>19</v>
      </c>
      <c r="H13" s="1" t="s">
        <v>19</v>
      </c>
      <c r="I13" s="1" t="s">
        <v>81</v>
      </c>
      <c r="J13" s="1" t="s">
        <v>82</v>
      </c>
      <c r="K13" s="1">
        <v>2421</v>
      </c>
      <c r="L13" s="1" t="s">
        <v>22</v>
      </c>
      <c r="M13" s="1" t="s">
        <v>23</v>
      </c>
      <c r="N13" s="1" t="s">
        <v>24</v>
      </c>
      <c r="O13" s="1" t="s">
        <v>25</v>
      </c>
      <c r="P13" s="4">
        <v>50029397</v>
      </c>
      <c r="Q13" s="4" t="s">
        <v>83</v>
      </c>
      <c r="R13" s="1" t="s">
        <v>84</v>
      </c>
      <c r="S13" s="49">
        <v>3770445</v>
      </c>
      <c r="T13" s="45">
        <v>9130041724</v>
      </c>
      <c r="U13" s="45">
        <v>50798</v>
      </c>
      <c r="V13" s="45"/>
      <c r="W13" s="51">
        <v>4501908298</v>
      </c>
      <c r="X13" s="104">
        <v>75</v>
      </c>
      <c r="Y13" s="104" t="s">
        <v>163</v>
      </c>
      <c r="Z13" s="107">
        <v>6</v>
      </c>
      <c r="AA13" s="107">
        <v>6</v>
      </c>
      <c r="AB13" s="107">
        <v>4</v>
      </c>
      <c r="AC13" s="88">
        <v>1199.8699999999999</v>
      </c>
      <c r="AD13" s="88">
        <v>560.68000000000006</v>
      </c>
      <c r="AE13" s="88">
        <f>AC13+AD13</f>
        <v>1760.55</v>
      </c>
      <c r="AF13" s="89">
        <f>'Цены,перевалка,аренда'!$C$26*SUM(Уголь_эластика_экспорт!Z13+Уголь_эластика_экспорт!AA13+Уголь_эластика_экспорт!AB13)/Уголь_эластика_экспорт!X13</f>
        <v>213.33333333333334</v>
      </c>
      <c r="AG13" s="90">
        <f>SUMIF('Цены,перевалка,аренда'!$A$20:$A$22,Уголь_эластика_экспорт!$O13,'Цены,перевалка,аренда'!$D$20:$D$22)</f>
        <v>763.05499999999995</v>
      </c>
      <c r="AH13" s="47"/>
      <c r="AI13" s="91">
        <v>3240</v>
      </c>
      <c r="AJ13" s="92">
        <f>SUMIF('Цены,перевалка,аренда'!$A$5:$A$17,Уголь_эластика_экспорт!A13,'Цены,перевалка,аренда'!$D$5:$D$17)</f>
        <v>8546.2160000000003</v>
      </c>
      <c r="AK13" s="47">
        <f>AJ13/'Цены,перевалка,аренда'!$C$1</f>
        <v>112.00000000000001</v>
      </c>
      <c r="AL13" s="47">
        <f t="shared" si="9"/>
        <v>2736.938333333333</v>
      </c>
      <c r="AM13" s="47">
        <f t="shared" si="10"/>
        <v>5809.2776666666668</v>
      </c>
      <c r="AN13" s="47">
        <f t="shared" si="11"/>
        <v>5976.9383333333335</v>
      </c>
      <c r="AO13" s="93">
        <f t="shared" si="12"/>
        <v>0.30063336413058911</v>
      </c>
      <c r="AP13" s="94">
        <f t="shared" si="13"/>
        <v>0.32025148127935604</v>
      </c>
      <c r="AQ13" s="94">
        <f t="shared" si="5"/>
        <v>0.20600345228812375</v>
      </c>
      <c r="AR13" s="94">
        <f t="shared" si="6"/>
        <v>0.64325526759523877</v>
      </c>
      <c r="AS13" s="167">
        <f t="shared" si="14"/>
        <v>1</v>
      </c>
      <c r="AT13" s="173">
        <f t="shared" si="15"/>
        <v>3770445</v>
      </c>
      <c r="AU13" s="97">
        <f>35/40</f>
        <v>0.875</v>
      </c>
      <c r="AV13" s="93">
        <f t="shared" si="16"/>
        <v>0.27591294985601428</v>
      </c>
      <c r="AW13" s="94">
        <f t="shared" si="17"/>
        <v>0.34497189555393087</v>
      </c>
      <c r="AX13" s="94">
        <f t="shared" si="18"/>
        <v>0.23072386656269861</v>
      </c>
      <c r="AY13" s="94">
        <f t="shared" si="19"/>
        <v>0.66881931408417761</v>
      </c>
      <c r="AZ13" s="102">
        <f>MIN(IF($AU13=100%,1,1+VLOOKUP(($AJ13-$AI13-$AH13-$AG13-$AF13-$AE13*(1+AZ$3))/$AJ13,Уголь_коэфф!$A:$B,2,1)-VLOOKUP($AO13,Уголь_коэфф!$A:$B,2,1)),1+(1-$AU13))</f>
        <v>1.0679999999999998</v>
      </c>
      <c r="BA13" s="102">
        <f>MIN(IF($AU13=100%,1,1+VLOOKUP(($AJ13-$AI13-$AH13-$AG13-$AF13-$AE13*(1+BA$3))/$AJ13,Уголь_коэфф!$A:$B,2,1)-VLOOKUP($AO13,Уголь_коэфф!$A:$B,2,1)),1+(1-$AU13))</f>
        <v>1.0679999999999998</v>
      </c>
      <c r="BB13" s="102">
        <f>MIN(IF($AU13=100%,1,1+VLOOKUP(($AJ13-$AI13-$AH13-$AG13-$AF13-$AE13*(1+BB$3))/$AJ13,Уголь_коэфф!$A:$B,2,1)-VLOOKUP($AO13,Уголь_коэфф!$A:$B,2,1)),1+(1-$AU13))</f>
        <v>1.0679999999999998</v>
      </c>
      <c r="BC13" s="102">
        <f>MIN(IF($AU13=100%,1,1+VLOOKUP(($AJ13-$AI13-$AH13-$AG13-$AF13-$AE13*(1+BC$3))/$AJ13,Уголь_коэфф!$A:$B,2,1)-VLOOKUP($AO13,Уголь_коэфф!$A:$B,2,1)),1+(1-$AU13))</f>
        <v>1.0679999999999998</v>
      </c>
      <c r="BD13" s="102">
        <f>MIN(IF($AU13=100%,1,1+VLOOKUP(($AJ13-$AI13-$AH13-$AG13-$AF13-$AE13*(1+BD$3))/$AJ13,Уголь_коэфф!$A:$B,2,1)-VLOOKUP($AO13,Уголь_коэфф!$A:$B,2,1)),1+(1-$AU13))</f>
        <v>1.0610000000000002</v>
      </c>
      <c r="BE13" s="102">
        <f>MIN(IF($AU13=100%,1,1+VLOOKUP(($AJ13-$AI13-$AH13-$AG13-$AF13-$AE13*(1+BE$3))/$AJ13,Уголь_коэфф!$A:$B,2,1)-VLOOKUP($AO13,Уголь_коэфф!$A:$B,2,1)),1+(1-$AU13))</f>
        <v>1.0610000000000002</v>
      </c>
      <c r="BF13" s="102">
        <f>MIN(IF($AU13=100%,1,1+VLOOKUP(($AJ13-$AI13-$AH13-$AG13-$AF13-$AE13*(1+BF$3))/$AJ13,Уголь_коэфф!$A:$B,2,1)-VLOOKUP($AO13,Уголь_коэфф!$A:$B,2,1)),1+(1-$AU13))</f>
        <v>1.0610000000000002</v>
      </c>
      <c r="BG13" s="102">
        <f>MIN(IF($AU13=100%,1,1+VLOOKUP(($AJ13-$AI13-$AH13-$AG13-$AF13-$AE13*(1+BG$3))/$AJ13,Уголь_коэфф!$A:$B,2,1)-VLOOKUP($AO13,Уголь_коэфф!$A:$B,2,1)),1+(1-$AU13))</f>
        <v>1.0610000000000002</v>
      </c>
      <c r="BH13" s="102">
        <f>MIN(IF($AU13=100%,1,1+VLOOKUP(($AJ13-$AI13-$AH13-$AG13-$AF13-$AE13*(1+BH$3))/$AJ13,Уголь_коэфф!$A:$B,2,1)-VLOOKUP($AO13,Уголь_коэфф!$A:$B,2,1)),1+(1-$AU13))</f>
        <v>1.0610000000000002</v>
      </c>
      <c r="BI13" s="102">
        <f>MIN(IF($AU13=100%,1,1+VLOOKUP(($AJ13-$AI13-$AH13-$AG13-$AF13-$AE13*(1+BI$3))/$AJ13,Уголь_коэфф!$A:$B,2,1)-VLOOKUP($AO13,Уголь_коэфф!$A:$B,2,1)),1+(1-$AU13))</f>
        <v>1.0610000000000002</v>
      </c>
      <c r="BJ13" s="102">
        <f>MIN(IF($AU13=100%,1,1+VLOOKUP(($AJ13-$AI13-$AH13-$AG13-$AF13-$AE13*(1+BJ$3))/$AJ13,Уголь_коэфф!$A:$B,2,1)-VLOOKUP($AO13,Уголь_коэфф!$A:$B,2,1)),1+(1-$AU13))</f>
        <v>1.0610000000000002</v>
      </c>
      <c r="BK13" s="102">
        <f>MIN(IF($AU13=100%,1,1+VLOOKUP(($AJ13-$AI13-$AH13-$AG13-$AF13-$AE13*(1+BK$3))/$AJ13,Уголь_коэфф!$A:$B,2,1)-VLOOKUP($AO13,Уголь_коэфф!$A:$B,2,1)),1+(1-$AU13))</f>
        <v>1.0610000000000002</v>
      </c>
      <c r="BL13" s="102">
        <f>MIN(IF($AU13=100%,1,1+VLOOKUP(($AJ13-$AI13-$AH13-$AG13-$AF13-$AE13*(1+BL$3))/$AJ13,Уголь_коэфф!$A:$B,2,1)-VLOOKUP($AO13,Уголь_коэфф!$A:$B,2,1)),1+(1-$AU13))</f>
        <v>1.0610000000000002</v>
      </c>
      <c r="BM13" s="102">
        <f>MIN(IF($AU13=100%,1,1+VLOOKUP(($AJ13-$AI13-$AH13-$AG13-$AF13-$AE13*(1+BM$3))/$AJ13,Уголь_коэфф!$A:$B,2,1)-VLOOKUP($AO13,Уголь_коэфф!$A:$B,2,1)),1+(1-$AU13))</f>
        <v>1.0610000000000002</v>
      </c>
      <c r="BN13" s="102">
        <f>MIN(IF($AU13=100%,1,1+VLOOKUP(($AJ13-$AI13-$AH13-$AG13-$AF13-$AE13*(1+BN$3))/$AJ13,Уголь_коэфф!$A:$B,2,1)-VLOOKUP($AO13,Уголь_коэфф!$A:$B,2,1)),1+(1-$AU13))</f>
        <v>1.054</v>
      </c>
      <c r="BO13" s="102">
        <f>MIN(IF($AU13=100%,1,1+VLOOKUP(($AJ13-$AI13-$AH13-$AG13-$AF13-$AE13*(1+BO$3))/$AJ13,Уголь_коэфф!$A:$B,2,1)-VLOOKUP($AO13,Уголь_коэфф!$A:$B,2,1)),1+(1-$AU13))</f>
        <v>1.054</v>
      </c>
      <c r="BP13" s="102">
        <f>MIN(IF($AU13=100%,1,1+VLOOKUP(($AJ13-$AI13-$AH13-$AG13-$AF13-$AE13*(1+BP$3))/$AJ13,Уголь_коэфф!$A:$B,2,1)-VLOOKUP($AO13,Уголь_коэфф!$A:$B,2,1)),1+(1-$AU13))</f>
        <v>1.054</v>
      </c>
      <c r="BQ13" s="102">
        <f>MIN(IF($AU13=100%,1,1+VLOOKUP(($AJ13-$AI13-$AH13-$AG13-$AF13-$AE13*(1+BQ$3))/$AJ13,Уголь_коэфф!$A:$B,2,1)-VLOOKUP($AO13,Уголь_коэфф!$A:$B,2,1)),1+(1-$AU13))</f>
        <v>1.054</v>
      </c>
      <c r="BR13" s="102">
        <f>MIN(IF($AU13=100%,1,1+VLOOKUP(($AJ13-$AI13-$AH13-$AG13-$AF13-$AE13*(1+BR$3))/$AJ13,Уголь_коэфф!$A:$B,2,1)-VLOOKUP($AO13,Уголь_коэфф!$A:$B,2,1)),1+(1-$AU13))</f>
        <v>1.054</v>
      </c>
      <c r="BS13" s="102">
        <f>MIN(IF($AU13=100%,1,1+VLOOKUP(($AJ13-$AI13-$AH13-$AG13-$AF13-$AE13*(1+BS$3))/$AJ13,Уголь_коэфф!$A:$B,2,1)-VLOOKUP($AO13,Уголь_коэфф!$A:$B,2,1)),1+(1-$AU13))</f>
        <v>1.054</v>
      </c>
      <c r="BT13" s="102">
        <f>MIN(IF($AU13=100%,1,1+VLOOKUP(($AJ13-$AI13-$AH13-$AG13-$AF13-$AE13*(1+BT$3))/$AJ13,Уголь_коэфф!$A:$B,2,1)-VLOOKUP($AO13,Уголь_коэфф!$A:$B,2,1)),1+(1-$AU13))</f>
        <v>1.054</v>
      </c>
      <c r="BU13" s="102">
        <f>MIN(IF($AU13=100%,1,1+VLOOKUP(($AJ13-$AI13-$AH13-$AG13-$AF13-$AE13*(1+BU$3))/$AJ13,Уголь_коэфф!$A:$B,2,1)-VLOOKUP($AO13,Уголь_коэфф!$A:$B,2,1)),1+(1-$AU13))</f>
        <v>1.054</v>
      </c>
      <c r="BV13" s="102">
        <f>MIN(IF($AU13=100%,1,1+VLOOKUP(($AJ13-$AI13-$AH13-$AG13-$AF13-$AE13*(1+BV$3))/$AJ13,Уголь_коэфф!$A:$B,2,1)-VLOOKUP($AO13,Уголь_коэфф!$A:$B,2,1)),1+(1-$AU13))</f>
        <v>1.054</v>
      </c>
      <c r="BW13" s="102">
        <f>MIN(IF($AU13=100%,1,1+VLOOKUP(($AJ13-$AI13-$AH13-$AG13-$AF13-$AE13*(1+BW$3))/$AJ13,Уголь_коэфф!$A:$B,2,1)-VLOOKUP($AO13,Уголь_коэфф!$A:$B,2,1)),1+(1-$AU13))</f>
        <v>1.0469999999999999</v>
      </c>
      <c r="BX13" s="102">
        <f>MIN(IF($AU13=100%,1,1+VLOOKUP(($AJ13-$AI13-$AH13-$AG13-$AF13-$AE13*(1+BX$3))/$AJ13,Уголь_коэфф!$A:$B,2,1)-VLOOKUP($AO13,Уголь_коэфф!$A:$B,2,1)),1+(1-$AU13))</f>
        <v>1.0469999999999999</v>
      </c>
      <c r="BY13" s="102">
        <f>MIN(IF($AU13=100%,1,1+VLOOKUP(($AJ13-$AI13-$AH13-$AG13-$AF13-$AE13*(1+BY$3))/$AJ13,Уголь_коэфф!$A:$B,2,1)-VLOOKUP($AO13,Уголь_коэфф!$A:$B,2,1)),1+(1-$AU13))</f>
        <v>1.0469999999999999</v>
      </c>
      <c r="BZ13" s="102">
        <f>MIN(IF($AU13=100%,1,1+VLOOKUP(($AJ13-$AI13-$AH13-$AG13-$AF13-$AE13*(1+BZ$3))/$AJ13,Уголь_коэфф!$A:$B,2,1)-VLOOKUP($AO13,Уголь_коэфф!$A:$B,2,1)),1+(1-$AU13))</f>
        <v>1.0469999999999999</v>
      </c>
      <c r="CA13" s="102">
        <f>MIN(IF($AU13=100%,1,1+VLOOKUP(($AJ13-$AI13-$AH13-$AG13-$AF13-$AE13*(1+CA$3))/$AJ13,Уголь_коэфф!$A:$B,2,1)-VLOOKUP($AO13,Уголь_коэфф!$A:$B,2,1)),1+(1-$AU13))</f>
        <v>1.0469999999999999</v>
      </c>
      <c r="CB13" s="102">
        <f>MIN(IF($AU13=100%,1,1+VLOOKUP(($AJ13-$AI13-$AH13-$AG13-$AF13-$AE13*(1+CB$3))/$AJ13,Уголь_коэфф!$A:$B,2,1)-VLOOKUP($AO13,Уголь_коэфф!$A:$B,2,1)),1+(1-$AU13))</f>
        <v>1.0469999999999999</v>
      </c>
      <c r="CC13" s="102">
        <f>MIN(IF($AU13=100%,1,1+VLOOKUP(($AJ13-$AI13-$AH13-$AG13-$AF13-$AE13*(1+CC$3))/$AJ13,Уголь_коэфф!$A:$B,2,1)-VLOOKUP($AO13,Уголь_коэфф!$A:$B,2,1)),1+(1-$AU13))</f>
        <v>1.0469999999999999</v>
      </c>
      <c r="CD13" s="102">
        <f>MIN(IF($AU13=100%,1,1+VLOOKUP(($AJ13-$AI13-$AH13-$AG13-$AF13-$AE13*(1+CD$3))/$AJ13,Уголь_коэфф!$A:$B,2,1)-VLOOKUP($AO13,Уголь_коэфф!$A:$B,2,1)),1+(1-$AU13))</f>
        <v>1.0469999999999999</v>
      </c>
      <c r="CE13" s="102">
        <f>MIN(IF($AU13=100%,1,1+VLOOKUP(($AJ13-$AI13-$AH13-$AG13-$AF13-$AE13*(1+CE$3))/$AJ13,Уголь_коэфф!$A:$B,2,1)-VLOOKUP($AO13,Уголь_коэфф!$A:$B,2,1)),1+(1-$AU13))</f>
        <v>1.0469999999999999</v>
      </c>
      <c r="CF13" s="102">
        <f>MIN(IF($AU13=100%,1,1+VLOOKUP(($AJ13-$AI13-$AH13-$AG13-$AF13-$AE13*(1+CF$3))/$AJ13,Уголь_коэфф!$A:$B,2,1)-VLOOKUP($AO13,Уголь_коэфф!$A:$B,2,1)),1+(1-$AU13))</f>
        <v>1.0469999999999999</v>
      </c>
      <c r="CG13" s="102">
        <f>MIN(IF($AU13=100%,1,1+VLOOKUP(($AJ13-$AI13-$AH13-$AG13-$AF13-$AE13*(1+CG$3))/$AJ13,Уголь_коэфф!$A:$B,2,1)-VLOOKUP($AO13,Уголь_коэфф!$A:$B,2,1)),1+(1-$AU13))</f>
        <v>1.0400000000000003</v>
      </c>
      <c r="CH13" s="102">
        <f>MIN(IF($AU13=100%,1,1+VLOOKUP(($AJ13-$AI13-$AH13-$AG13-$AF13-$AE13*(1+CH$3))/$AJ13,Уголь_коэфф!$A:$B,2,1)-VLOOKUP($AO13,Уголь_коэфф!$A:$B,2,1)),1+(1-$AU13))</f>
        <v>1.0400000000000003</v>
      </c>
      <c r="CI13" s="102">
        <f>MIN(IF($AU13=100%,1,1+VLOOKUP(($AJ13-$AI13-$AH13-$AG13-$AF13-$AE13*(1+CI$3))/$AJ13,Уголь_коэфф!$A:$B,2,1)-VLOOKUP($AO13,Уголь_коэфф!$A:$B,2,1)),1+(1-$AU13))</f>
        <v>1.0400000000000003</v>
      </c>
      <c r="CJ13" s="102">
        <f>MIN(IF($AU13=100%,1,1+VLOOKUP(($AJ13-$AI13-$AH13-$AG13-$AF13-$AE13*(1+CJ$3))/$AJ13,Уголь_коэфф!$A:$B,2,1)-VLOOKUP($AO13,Уголь_коэфф!$A:$B,2,1)),1+(1-$AU13))</f>
        <v>1.0400000000000003</v>
      </c>
      <c r="CK13" s="102">
        <f>MIN(IF($AU13=100%,1,1+VLOOKUP(($AJ13-$AI13-$AH13-$AG13-$AF13-$AE13*(1+CK$3))/$AJ13,Уголь_коэфф!$A:$B,2,1)-VLOOKUP($AO13,Уголь_коэфф!$A:$B,2,1)),1+(1-$AU13))</f>
        <v>1.0400000000000003</v>
      </c>
      <c r="CL13" s="102">
        <f>MIN(IF($AU13=100%,1,1+VLOOKUP(($AJ13-$AI13-$AH13-$AG13-$AF13-$AE13*(1+CL$3))/$AJ13,Уголь_коэфф!$A:$B,2,1)-VLOOKUP($AO13,Уголь_коэфф!$A:$B,2,1)),1+(1-$AU13))</f>
        <v>1.0400000000000003</v>
      </c>
      <c r="CM13" s="102">
        <f>MIN(IF($AU13=100%,1,1+VLOOKUP(($AJ13-$AI13-$AH13-$AG13-$AF13-$AE13*(1+CM$3))/$AJ13,Уголь_коэфф!$A:$B,2,1)-VLOOKUP($AO13,Уголь_коэфф!$A:$B,2,1)),1+(1-$AU13))</f>
        <v>1.0400000000000003</v>
      </c>
      <c r="CN13" s="102">
        <f>MIN(IF($AU13=100%,1,1+VLOOKUP(($AJ13-$AI13-$AH13-$AG13-$AF13-$AE13*(1+CN$3))/$AJ13,Уголь_коэфф!$A:$B,2,1)-VLOOKUP($AO13,Уголь_коэфф!$A:$B,2,1)),1+(1-$AU13))</f>
        <v>1.0400000000000003</v>
      </c>
      <c r="CO13" s="102">
        <f>MIN(IF($AU13=100%,1,1+VLOOKUP(($AJ13-$AI13-$AH13-$AG13-$AF13-$AE13*(1+CO$3))/$AJ13,Уголь_коэфф!$A:$B,2,1)-VLOOKUP($AO13,Уголь_коэфф!$A:$B,2,1)),1+(1-$AU13))</f>
        <v>1.0400000000000003</v>
      </c>
      <c r="CP13" s="102">
        <f>MIN(IF($AU13=100%,1,1+VLOOKUP(($AJ13-$AI13-$AH13-$AG13-$AF13-$AE13*(1+CP$3))/$AJ13,Уголь_коэфф!$A:$B,2,1)-VLOOKUP($AO13,Уголь_коэфф!$A:$B,2,1)),1+(1-$AU13))</f>
        <v>1.0400000000000003</v>
      </c>
      <c r="CQ13" s="102">
        <f>MIN(IF($AU13=100%,1,1+VLOOKUP(($AJ13-$AI13-$AH13-$AG13-$AF13-$AE13*(1+CQ$3))/$AJ13,Уголь_коэфф!$A:$B,2,1)-VLOOKUP($AO13,Уголь_коэфф!$A:$B,2,1)),1+(1-$AU13))</f>
        <v>1.0330000000000001</v>
      </c>
      <c r="CR13" s="102">
        <f>MIN(IF($AU13=100%,1,1+VLOOKUP(($AJ13-$AI13-$AH13-$AG13-$AF13-$AE13*(1+CR$3))/$AJ13,Уголь_коэфф!$A:$B,2,1)-VLOOKUP($AO13,Уголь_коэфф!$A:$B,2,1)),1+(1-$AU13))</f>
        <v>1.0330000000000001</v>
      </c>
      <c r="CS13" s="102">
        <f>MIN(IF($AU13=100%,1,1+VLOOKUP(($AJ13-$AI13-$AH13-$AG13-$AF13-$AE13*(1+CS$3))/$AJ13,Уголь_коэфф!$A:$B,2,1)-VLOOKUP($AO13,Уголь_коэфф!$A:$B,2,1)),1+(1-$AU13))</f>
        <v>1.0330000000000001</v>
      </c>
      <c r="CT13" s="102">
        <f>MIN(IF($AU13=100%,1,1+VLOOKUP(($AJ13-$AI13-$AH13-$AG13-$AF13-$AE13*(1+CT$3))/$AJ13,Уголь_коэфф!$A:$B,2,1)-VLOOKUP($AO13,Уголь_коэфф!$A:$B,2,1)),1+(1-$AU13))</f>
        <v>1.0330000000000001</v>
      </c>
      <c r="CU13" s="102">
        <f>MIN(IF($AU13=100%,1,1+VLOOKUP(($AJ13-$AI13-$AH13-$AG13-$AF13-$AE13*(1+CU$3))/$AJ13,Уголь_коэфф!$A:$B,2,1)-VLOOKUP($AO13,Уголь_коэфф!$A:$B,2,1)),1+(1-$AU13))</f>
        <v>1.0330000000000001</v>
      </c>
      <c r="CV13" s="102">
        <f>MIN(IF($AU13=100%,1,1+VLOOKUP(($AJ13-$AI13-$AH13-$AG13-$AF13-$AE13*(1+CV$3))/$AJ13,Уголь_коэфф!$A:$B,2,1)-VLOOKUP($AO13,Уголь_коэфф!$A:$B,2,1)),1+(1-$AU13))</f>
        <v>1.0330000000000001</v>
      </c>
      <c r="CW13" s="102">
        <f>MIN(IF($AU13=100%,1,1+VLOOKUP(($AJ13-$AI13-$AH13-$AG13-$AF13-$AE13*(1+CW$3))/$AJ13,Уголь_коэфф!$A:$B,2,1)-VLOOKUP($AO13,Уголь_коэфф!$A:$B,2,1)),1+(1-$AU13))</f>
        <v>1.0330000000000001</v>
      </c>
      <c r="CX13" s="102">
        <f>MIN(IF($AU13=100%,1,1+VLOOKUP(($AJ13-$AI13-$AH13-$AG13-$AF13-$AE13*(1+CX$3))/$AJ13,Уголь_коэфф!$A:$B,2,1)-VLOOKUP($AO13,Уголь_коэфф!$A:$B,2,1)),1+(1-$AU13))</f>
        <v>1.0330000000000001</v>
      </c>
      <c r="CY13" s="102">
        <f>MIN(IF($AU13=100%,1,1+VLOOKUP(($AJ13-$AI13-$AH13-$AG13-$AF13-$AE13*(1+CY$3))/$AJ13,Уголь_коэфф!$A:$B,2,1)-VLOOKUP($AO13,Уголь_коэфф!$A:$B,2,1)),1+(1-$AU13))</f>
        <v>1.0330000000000001</v>
      </c>
      <c r="CZ13" s="102">
        <f>MIN(IF($AU13=100%,1,1+VLOOKUP(($AJ13-$AI13-$AH13-$AG13-$AF13-$AE13*(1+CZ$3))/$AJ13,Уголь_коэфф!$A:$B,2,1)-VLOOKUP($AO13,Уголь_коэфф!$A:$B,2,1)),1+(1-$AU13))</f>
        <v>1.0330000000000001</v>
      </c>
      <c r="DA13" s="102">
        <f>MIN(IF($AU13=100%,1,1+VLOOKUP(($AJ13-$AI13-$AH13-$AG13-$AF13-$AE13*(1+DA$3))/$AJ13,Уголь_коэфф!$A:$B,2,1)-VLOOKUP($AO13,Уголь_коэфф!$A:$B,2,1)),1+(1-$AU13))</f>
        <v>1.026</v>
      </c>
      <c r="DB13" s="102">
        <f>MIN(IF($AU13=100%,1,1+VLOOKUP(($AJ13-$AI13-$AH13-$AG13-$AF13-$AE13*(1+DB$3))/$AJ13,Уголь_коэфф!$A:$B,2,1)-VLOOKUP($AO13,Уголь_коэфф!$A:$B,2,1)),1+(1-$AU13))</f>
        <v>1.026</v>
      </c>
      <c r="DC13" s="102">
        <f>MIN(IF($AU13=100%,1,1+VLOOKUP(($AJ13-$AI13-$AH13-$AG13-$AF13-$AE13*(1+DC$3))/$AJ13,Уголь_коэфф!$A:$B,2,1)-VLOOKUP($AO13,Уголь_коэфф!$A:$B,2,1)),1+(1-$AU13))</f>
        <v>1.026</v>
      </c>
      <c r="DD13" s="102">
        <f>MIN(IF($AU13=100%,1,1+VLOOKUP(($AJ13-$AI13-$AH13-$AG13-$AF13-$AE13*(1+DD$3))/$AJ13,Уголь_коэфф!$A:$B,2,1)-VLOOKUP($AO13,Уголь_коэфф!$A:$B,2,1)),1+(1-$AU13))</f>
        <v>1.026</v>
      </c>
      <c r="DE13" s="102">
        <f>MIN(IF($AU13=100%,1,1+VLOOKUP(($AJ13-$AI13-$AH13-$AG13-$AF13-$AE13*(1+DE$3))/$AJ13,Уголь_коэфф!$A:$B,2,1)-VLOOKUP($AO13,Уголь_коэфф!$A:$B,2,1)),1+(1-$AU13))</f>
        <v>1.026</v>
      </c>
      <c r="DF13" s="102">
        <f>MIN(IF($AU13=100%,1,1+VLOOKUP(($AJ13-$AI13-$AH13-$AG13-$AF13-$AE13*(1+DF$3))/$AJ13,Уголь_коэфф!$A:$B,2,1)-VLOOKUP($AO13,Уголь_коэфф!$A:$B,2,1)),1+(1-$AU13))</f>
        <v>1.026</v>
      </c>
      <c r="DG13" s="102">
        <f>MIN(IF($AU13=100%,1,1+VLOOKUP(($AJ13-$AI13-$AH13-$AG13-$AF13-$AE13*(1+DG$3))/$AJ13,Уголь_коэфф!$A:$B,2,1)-VLOOKUP($AO13,Уголь_коэфф!$A:$B,2,1)),1+(1-$AU13))</f>
        <v>1.026</v>
      </c>
      <c r="DH13" s="102">
        <f>MIN(IF($AU13=100%,1,1+VLOOKUP(($AJ13-$AI13-$AH13-$AG13-$AF13-$AE13*(1+DH$3))/$AJ13,Уголь_коэфф!$A:$B,2,1)-VLOOKUP($AO13,Уголь_коэфф!$A:$B,2,1)),1+(1-$AU13))</f>
        <v>1.026</v>
      </c>
      <c r="DI13" s="102">
        <f>MIN(IF($AU13=100%,1,1+VLOOKUP(($AJ13-$AI13-$AH13-$AG13-$AF13-$AE13*(1+DI$3))/$AJ13,Уголь_коэфф!$A:$B,2,1)-VLOOKUP($AO13,Уголь_коэфф!$A:$B,2,1)),1+(1-$AU13))</f>
        <v>1.026</v>
      </c>
      <c r="DJ13" s="102">
        <f>MIN(IF($AU13=100%,1,1+VLOOKUP(($AJ13-$AI13-$AH13-$AG13-$AF13-$AE13*(1+DJ$3))/$AJ13,Уголь_коэфф!$A:$B,2,1)-VLOOKUP($AO13,Уголь_коэфф!$A:$B,2,1)),1+(1-$AU13))</f>
        <v>1.0190000000000003</v>
      </c>
      <c r="DK13" s="102">
        <f>MIN(IF($AU13=100%,1,1+VLOOKUP(($AJ13-$AI13-$AH13-$AG13-$AF13-$AE13*(1+DK$3))/$AJ13,Уголь_коэфф!$A:$B,2,1)-VLOOKUP($AO13,Уголь_коэфф!$A:$B,2,1)),1+(1-$AU13))</f>
        <v>1.0190000000000003</v>
      </c>
      <c r="DL13" s="102">
        <f>MIN(IF($AU13=100%,1,1+VLOOKUP(($AJ13-$AI13-$AH13-$AG13-$AF13-$AE13*(1+DL$3))/$AJ13,Уголь_коэфф!$A:$B,2,1)-VLOOKUP($AO13,Уголь_коэфф!$A:$B,2,1)),1+(1-$AU13))</f>
        <v>1.0190000000000003</v>
      </c>
      <c r="DM13" s="102">
        <f>MIN(IF($AU13=100%,1,1+VLOOKUP(($AJ13-$AI13-$AH13-$AG13-$AF13-$AE13*(1+DM$3))/$AJ13,Уголь_коэфф!$A:$B,2,1)-VLOOKUP($AO13,Уголь_коэфф!$A:$B,2,1)),1+(1-$AU13))</f>
        <v>1.0190000000000003</v>
      </c>
      <c r="DN13" s="102">
        <f>MIN(IF($AU13=100%,1,1+VLOOKUP(($AJ13-$AI13-$AH13-$AG13-$AF13-$AE13*(1+DN$3))/$AJ13,Уголь_коэфф!$A:$B,2,1)-VLOOKUP($AO13,Уголь_коэфф!$A:$B,2,1)),1+(1-$AU13))</f>
        <v>1.0190000000000003</v>
      </c>
      <c r="DO13" s="102">
        <f>MIN(IF($AU13=100%,1,1+VLOOKUP(($AJ13-$AI13-$AH13-$AG13-$AF13-$AE13*(1+DO$3))/$AJ13,Уголь_коэфф!$A:$B,2,1)-VLOOKUP($AO13,Уголь_коэфф!$A:$B,2,1)),1+(1-$AU13))</f>
        <v>1.0190000000000003</v>
      </c>
      <c r="DP13" s="102">
        <f>MIN(IF($AU13=100%,1,1+VLOOKUP(($AJ13-$AI13-$AH13-$AG13-$AF13-$AE13*(1+DP$3))/$AJ13,Уголь_коэфф!$A:$B,2,1)-VLOOKUP($AO13,Уголь_коэфф!$A:$B,2,1)),1+(1-$AU13))</f>
        <v>1.0190000000000003</v>
      </c>
      <c r="DQ13" s="102">
        <f>MIN(IF($AU13=100%,1,1+VLOOKUP(($AJ13-$AI13-$AH13-$AG13-$AF13-$AE13*(1+DQ$3))/$AJ13,Уголь_коэфф!$A:$B,2,1)-VLOOKUP($AO13,Уголь_коэфф!$A:$B,2,1)),1+(1-$AU13))</f>
        <v>1.0190000000000003</v>
      </c>
      <c r="DR13" s="102">
        <f>MIN(IF($AU13=100%,1,1+VLOOKUP(($AJ13-$AI13-$AH13-$AG13-$AF13-$AE13*(1+DR$3))/$AJ13,Уголь_коэфф!$A:$B,2,1)-VLOOKUP($AO13,Уголь_коэфф!$A:$B,2,1)),1+(1-$AU13))</f>
        <v>1.0190000000000003</v>
      </c>
      <c r="DS13" s="102">
        <f>MIN(IF($AU13=100%,1,1+VLOOKUP(($AJ13-$AI13-$AH13-$AG13-$AF13-$AE13*(1+DS$3))/$AJ13,Уголь_коэфф!$A:$B,2,1)-VLOOKUP($AO13,Уголь_коэфф!$A:$B,2,1)),1+(1-$AU13))</f>
        <v>1.0190000000000003</v>
      </c>
      <c r="DT13" s="102">
        <f>MIN(IF($AU13=100%,1,1+VLOOKUP(($AJ13-$AI13-$AH13-$AG13-$AF13-$AE13*(1+DT$3))/$AJ13,Уголь_коэфф!$A:$B,2,1)-VLOOKUP($AO13,Уголь_коэфф!$A:$B,2,1)),1+(1-$AU13))</f>
        <v>1.0119999999999998</v>
      </c>
      <c r="DU13" s="102">
        <f>MIN(IF($AU13=100%,1,1+VLOOKUP(($AJ13-$AI13-$AH13-$AG13-$AF13-$AE13*(1+DU$3))/$AJ13,Уголь_коэфф!$A:$B,2,1)-VLOOKUP($AO13,Уголь_коэфф!$A:$B,2,1)),1+(1-$AU13))</f>
        <v>1.0119999999999998</v>
      </c>
      <c r="DV13" s="102">
        <f>MIN(IF($AU13=100%,1,1+VLOOKUP(($AJ13-$AI13-$AH13-$AG13-$AF13-$AE13*(1+DV$3))/$AJ13,Уголь_коэфф!$A:$B,2,1)-VLOOKUP($AO13,Уголь_коэфф!$A:$B,2,1)),1+(1-$AU13))</f>
        <v>1.0119999999999998</v>
      </c>
      <c r="DW13" s="102">
        <f>MIN(IF($AU13=100%,1,1+VLOOKUP(($AJ13-$AI13-$AH13-$AG13-$AF13-$AE13*(1+DW$3))/$AJ13,Уголь_коэфф!$A:$B,2,1)-VLOOKUP($AO13,Уголь_коэфф!$A:$B,2,1)),1+(1-$AU13))</f>
        <v>1.0119999999999998</v>
      </c>
      <c r="DX13" s="102">
        <f>MIN(IF($AU13=100%,1,1+VLOOKUP(($AJ13-$AI13-$AH13-$AG13-$AF13-$AE13*(1+DX$3))/$AJ13,Уголь_коэфф!$A:$B,2,1)-VLOOKUP($AO13,Уголь_коэфф!$A:$B,2,1)),1+(1-$AU13))</f>
        <v>1.0119999999999998</v>
      </c>
      <c r="DY13" s="102">
        <f>MIN(IF($AU13=100%,1,1+VLOOKUP(($AJ13-$AI13-$AH13-$AG13-$AF13-$AE13*(1+DY$3))/$AJ13,Уголь_коэфф!$A:$B,2,1)-VLOOKUP($AO13,Уголь_коэфф!$A:$B,2,1)),1+(1-$AU13))</f>
        <v>1.0119999999999998</v>
      </c>
      <c r="DZ13" s="102">
        <f>MIN(IF($AU13=100%,1,1+VLOOKUP(($AJ13-$AI13-$AH13-$AG13-$AF13-$AE13*(1+DZ$3))/$AJ13,Уголь_коэфф!$A:$B,2,1)-VLOOKUP($AO13,Уголь_коэфф!$A:$B,2,1)),1+(1-$AU13))</f>
        <v>1.0119999999999998</v>
      </c>
      <c r="EA13" s="102">
        <f>MIN(IF($AU13=100%,1,1+VLOOKUP(($AJ13-$AI13-$AH13-$AG13-$AF13-$AE13*(1+EA$3))/$AJ13,Уголь_коэфф!$A:$B,2,1)-VLOOKUP($AO13,Уголь_коэфф!$A:$B,2,1)),1+(1-$AU13))</f>
        <v>1.0119999999999998</v>
      </c>
      <c r="EB13" s="102">
        <f>MIN(IF($AU13=100%,1,1+VLOOKUP(($AJ13-$AI13-$AH13-$AG13-$AF13-$AE13*(1+EB$3))/$AJ13,Уголь_коэфф!$A:$B,2,1)-VLOOKUP($AO13,Уголь_коэфф!$A:$B,2,1)),1+(1-$AU13))</f>
        <v>1.0119999999999998</v>
      </c>
      <c r="EC13" s="102">
        <f>MIN(IF($AU13=100%,1,1+VLOOKUP(($AJ13-$AI13-$AH13-$AG13-$AF13-$AE13*(1+EC$3))/$AJ13,Уголь_коэфф!$A:$B,2,1)-VLOOKUP($AO13,Уголь_коэфф!$A:$B,2,1)),1+(1-$AU13))</f>
        <v>1.0119999999999998</v>
      </c>
      <c r="ED13" s="102">
        <f>MIN(IF($AU13=100%,1,1+VLOOKUP(($AJ13-$AI13-$AH13-$AG13-$AF13-$AE13*(1+ED$3))/$AJ13,Уголь_коэфф!$A:$B,2,1)-VLOOKUP($AO13,Уголь_коэфф!$A:$B,2,1)),1+(1-$AU13))</f>
        <v>1.006</v>
      </c>
      <c r="EE13" s="102">
        <f>MIN(IF($AU13=100%,1,1+VLOOKUP(($AJ13-$AI13-$AH13-$AG13-$AF13-$AE13*(1+EE$3))/$AJ13,Уголь_коэфф!$A:$B,2,1)-VLOOKUP($AO13,Уголь_коэфф!$A:$B,2,1)),1+(1-$AU13))</f>
        <v>1.006</v>
      </c>
      <c r="EF13" s="102">
        <f>MIN(IF($AU13=100%,1,1+VLOOKUP(($AJ13-$AI13-$AH13-$AG13-$AF13-$AE13*(1+EF$3))/$AJ13,Уголь_коэфф!$A:$B,2,1)-VLOOKUP($AO13,Уголь_коэфф!$A:$B,2,1)),1+(1-$AU13))</f>
        <v>1.006</v>
      </c>
      <c r="EG13" s="102">
        <f>MIN(IF($AU13=100%,1,1+VLOOKUP(($AJ13-$AI13-$AH13-$AG13-$AF13-$AE13*(1+EG$3))/$AJ13,Уголь_коэфф!$A:$B,2,1)-VLOOKUP($AO13,Уголь_коэфф!$A:$B,2,1)),1+(1-$AU13))</f>
        <v>1.006</v>
      </c>
      <c r="EH13" s="102">
        <f>MIN(IF($AU13=100%,1,1+VLOOKUP(($AJ13-$AI13-$AH13-$AG13-$AF13-$AE13*(1+EH$3))/$AJ13,Уголь_коэфф!$A:$B,2,1)-VLOOKUP($AO13,Уголь_коэфф!$A:$B,2,1)),1+(1-$AU13))</f>
        <v>1.006</v>
      </c>
      <c r="EI13" s="102">
        <f>MIN(IF($AU13=100%,1,1+VLOOKUP(($AJ13-$AI13-$AH13-$AG13-$AF13-$AE13*(1+EI$3))/$AJ13,Уголь_коэфф!$A:$B,2,1)-VLOOKUP($AO13,Уголь_коэфф!$A:$B,2,1)),1+(1-$AU13))</f>
        <v>1.006</v>
      </c>
      <c r="EJ13" s="102">
        <f>MIN(IF($AU13=100%,1,1+VLOOKUP(($AJ13-$AI13-$AH13-$AG13-$AF13-$AE13*(1+EJ$3))/$AJ13,Уголь_коэфф!$A:$B,2,1)-VLOOKUP($AO13,Уголь_коэфф!$A:$B,2,1)),1+(1-$AU13))</f>
        <v>1.006</v>
      </c>
      <c r="EK13" s="102">
        <f>MIN(IF($AU13=100%,1,1+VLOOKUP(($AJ13-$AI13-$AH13-$AG13-$AF13-$AE13*(1+EK$3))/$AJ13,Уголь_коэфф!$A:$B,2,1)-VLOOKUP($AO13,Уголь_коэфф!$A:$B,2,1)),1+(1-$AU13))</f>
        <v>1.006</v>
      </c>
      <c r="EL13" s="102">
        <f>MIN(IF($AU13=100%,1,1+VLOOKUP(($AJ13-$AI13-$AH13-$AG13-$AF13-$AE13*(1+EL$3))/$AJ13,Уголь_коэфф!$A:$B,2,1)-VLOOKUP($AO13,Уголь_коэфф!$A:$B,2,1)),1+(1-$AU13))</f>
        <v>1.006</v>
      </c>
      <c r="EM13" s="102">
        <f>MIN(IF($AU13=100%,1,1+VLOOKUP(($AJ13-$AI13-$AH13-$AG13-$AF13-$AE13*(1+EM$3))/$AJ13,Уголь_коэфф!$A:$B,2,1)-VLOOKUP($AO13,Уголь_коэфф!$A:$B,2,1)),1+(1-$AU13))</f>
        <v>1.0000000000000002</v>
      </c>
      <c r="EN13" s="102">
        <f>MIN(IF($AU13=100%,1,1+VLOOKUP(($AJ13-$AI13-$AH13-$AG13-$AF13-$AE13*(1+EN$3))/$AJ13,Уголь_коэфф!$A:$B,2,1)-VLOOKUP($AO13,Уголь_коэфф!$A:$B,2,1)),1+(1-$AU13))</f>
        <v>1.0000000000000002</v>
      </c>
      <c r="EO13" s="102">
        <f>MIN(IF($AU13=100%,1,1+VLOOKUP(($AJ13-$AI13-$AH13-$AG13-$AF13-$AE13*(1+EO$3))/$AJ13,Уголь_коэфф!$A:$B,2,1)-VLOOKUP($AO13,Уголь_коэфф!$A:$B,2,1)),1+(1-$AU13))</f>
        <v>1.0000000000000002</v>
      </c>
      <c r="EP13" s="102">
        <f>MIN(IF($AU13=100%,1,1+VLOOKUP(($AJ13-$AI13-$AH13-$AG13-$AF13-$AE13*(1+EP$3))/$AJ13,Уголь_коэфф!$A:$B,2,1)-VLOOKUP($AO13,Уголь_коэфф!$A:$B,2,1)),1+(1-$AU13))</f>
        <v>1.0000000000000002</v>
      </c>
      <c r="EQ13" s="102">
        <f>MIN(IF($AU13=100%,1,1+VLOOKUP(($AJ13-$AI13-$AH13-$AG13-$AF13-$AE13*(1+EQ$3))/$AJ13,Уголь_коэфф!$A:$B,2,1)-VLOOKUP($AO13,Уголь_коэфф!$A:$B,2,1)),1+(1-$AU13))</f>
        <v>1.0000000000000002</v>
      </c>
      <c r="ER13" s="102">
        <f>MIN(IF($AU13=100%,1,1+VLOOKUP(($AJ13-$AI13-$AH13-$AG13-$AF13-$AE13*(1+ER$3))/$AJ13,Уголь_коэфф!$A:$B,2,1)-VLOOKUP($AO13,Уголь_коэфф!$A:$B,2,1)),1+(1-$AU13))</f>
        <v>1.0000000000000002</v>
      </c>
      <c r="ES13" s="102">
        <f>MIN(IF($AU13=100%,1,1+VLOOKUP(($AJ13-$AI13-$AH13-$AG13-$AF13-$AE13*(1+ES$3))/$AJ13,Уголь_коэфф!$A:$B,2,1)-VLOOKUP($AO13,Уголь_коэфф!$A:$B,2,1)),1+(1-$AU13))</f>
        <v>1.0000000000000002</v>
      </c>
      <c r="ET13" s="102">
        <f>MIN(IF($AU13=100%,1,1+VLOOKUP(($AJ13-$AI13-$AH13-$AG13-$AF13-$AE13*(1+ET$3))/$AJ13,Уголь_коэфф!$A:$B,2,1)-VLOOKUP($AO13,Уголь_коэфф!$A:$B,2,1)),1+(1-$AU13))</f>
        <v>1.0000000000000002</v>
      </c>
      <c r="EU13" s="102">
        <f>MIN(IF($AU13=100%,1,1+VLOOKUP(($AJ13-$AI13-$AH13-$AG13-$AF13-$AE13*(1+EU$3))/$AJ13,Уголь_коэфф!$A:$B,2,1)-VLOOKUP($AO13,Уголь_коэфф!$A:$B,2,1)),1+(1-$AU13))</f>
        <v>1.0000000000000002</v>
      </c>
      <c r="EV13" s="103">
        <v>1</v>
      </c>
      <c r="EW13" s="102">
        <f>MIN(1,MAX(VLOOKUP(($AJ13-$AI13-$AH13-$AG13-$AF13-$AE13*(1+EW$3))/$AJ13,Уголь_коэфф!$A:$B,2,1),(EV13-0.05)))</f>
        <v>1</v>
      </c>
      <c r="EX13" s="102">
        <f>MIN(1,MAX(VLOOKUP(($AJ13-$AI13-$AH13-$AG13-$AF13-$AE13*(1+EX$3))/$AJ13,Уголь_коэфф!$A:$B,2,1),(EW13-0.05)))</f>
        <v>1</v>
      </c>
      <c r="EY13" s="102">
        <f>MIN(1,MAX(VLOOKUP(($AJ13-$AI13-$AH13-$AG13-$AF13-$AE13*(1+EY$3))/$AJ13,Уголь_коэфф!$A:$B,2,1),(EX13-0.05)))</f>
        <v>1</v>
      </c>
      <c r="EZ13" s="102">
        <f>MIN(1,MAX(VLOOKUP(($AJ13-$AI13-$AH13-$AG13-$AF13-$AE13*(1+EZ$3))/$AJ13,Уголь_коэфф!$A:$B,2,1),(EY13-0.05)))</f>
        <v>1</v>
      </c>
      <c r="FA13" s="102">
        <f>MIN(1,MAX(VLOOKUP(($AJ13-$AI13-$AH13-$AG13-$AF13-$AE13*(1+FA$3))/$AJ13,Уголь_коэфф!$A:$B,2,1),(EZ13-0.05)))</f>
        <v>1</v>
      </c>
      <c r="FB13" s="102">
        <f>MIN(1,MAX(VLOOKUP(($AJ13-$AI13-$AH13-$AG13-$AF13-$AE13*(1+FB$3))/$AJ13,Уголь_коэфф!$A:$B,2,1),(FA13-0.05)))</f>
        <v>1</v>
      </c>
      <c r="FC13" s="102">
        <f>MIN(1,MAX(VLOOKUP(($AJ13-$AI13-$AH13-$AG13-$AF13-$AE13*(1+FC$3))/$AJ13,Уголь_коэфф!$A:$B,2,1),(FB13-0.05)))</f>
        <v>1</v>
      </c>
      <c r="FD13" s="102">
        <f>MIN(1,MAX(VLOOKUP(($AJ13-$AI13-$AH13-$AG13-$AF13-$AE13*(1+FD$3))/$AJ13,Уголь_коэфф!$A:$B,2,1),(FC13-0.05)))</f>
        <v>1</v>
      </c>
      <c r="FE13" s="102">
        <f>MIN(1,MAX(VLOOKUP(($AJ13-$AI13-$AH13-$AG13-$AF13-$AE13*(1+FE$3))/$AJ13,Уголь_коэфф!$A:$B,2,1),(FD13-0.05)))</f>
        <v>1</v>
      </c>
      <c r="FF13" s="102">
        <f>MIN(1,MAX(VLOOKUP(($AJ13-$AI13-$AH13-$AG13-$AF13-$AE13*(1+FF$3))/$AJ13,Уголь_коэфф!$A:$B,2,1),(FE13-0.05)))</f>
        <v>1</v>
      </c>
      <c r="FG13" s="102">
        <f>MIN(1,MAX(VLOOKUP(($AJ13-$AI13-$AH13-$AG13-$AF13-$AE13*(1+FG$3))/$AJ13,Уголь_коэфф!$A:$B,2,1),(FF13-0.05)))</f>
        <v>1</v>
      </c>
      <c r="FH13" s="102">
        <f>MIN(1,MAX(VLOOKUP(($AJ13-$AI13-$AH13-$AG13-$AF13-$AE13*(1+FH$3))/$AJ13,Уголь_коэфф!$A:$B,2,1),(FG13-0.05)))</f>
        <v>1</v>
      </c>
      <c r="FI13" s="102">
        <f>MIN(1,MAX(VLOOKUP(($AJ13-$AI13-$AH13-$AG13-$AF13-$AE13*(1+FI$3))/$AJ13,Уголь_коэфф!$A:$B,2,1),(FH13-0.05)))</f>
        <v>1</v>
      </c>
      <c r="FJ13" s="102">
        <f>MIN(1,MAX(VLOOKUP(($AJ13-$AI13-$AH13-$AG13-$AF13-$AE13*(1+FJ$3))/$AJ13,Уголь_коэфф!$A:$B,2,1),(FI13-0.05)))</f>
        <v>1</v>
      </c>
      <c r="FK13" s="102">
        <f>MIN(1,MAX(VLOOKUP(($AJ13-$AI13-$AH13-$AG13-$AF13-$AE13*(1+FK$3))/$AJ13,Уголь_коэфф!$A:$B,2,1),(FJ13-0.05)))</f>
        <v>1</v>
      </c>
      <c r="FL13" s="102">
        <f>MIN(1,MAX(VLOOKUP(($AJ13-$AI13-$AH13-$AG13-$AF13-$AE13*(1+FL$3))/$AJ13,Уголь_коэфф!$A:$B,2,1),(FK13-0.05)))</f>
        <v>1</v>
      </c>
      <c r="FM13" s="102">
        <f>MIN(1,MAX(VLOOKUP(($AJ13-$AI13-$AH13-$AG13-$AF13-$AE13*(1+FM$3))/$AJ13,Уголь_коэфф!$A:$B,2,1),(FL13-0.05)))</f>
        <v>1</v>
      </c>
      <c r="FN13" s="102">
        <f>MIN(1,MAX(VLOOKUP(($AJ13-$AI13-$AH13-$AG13-$AF13-$AE13*(1+FN$3))/$AJ13,Уголь_коэфф!$A:$B,2,1),(FM13-0.05)))</f>
        <v>1</v>
      </c>
      <c r="FO13" s="102">
        <f>MIN(1,MAX(VLOOKUP(($AJ13-$AI13-$AH13-$AG13-$AF13-$AE13*(1+FO$3))/$AJ13,Уголь_коэфф!$A:$B,2,1),(FN13-0.05)))</f>
        <v>1</v>
      </c>
      <c r="FP13" s="102">
        <f>MIN(1,MAX(VLOOKUP(($AJ13-$AI13-$AH13-$AG13-$AF13-$AE13*(1+FP$3))/$AJ13,Уголь_коэфф!$A:$B,2,1),(FO13-0.05)))</f>
        <v>1</v>
      </c>
      <c r="FQ13" s="102">
        <f>MIN(1,MAX(VLOOKUP(($AJ13-$AI13-$AH13-$AG13-$AF13-$AE13*(1+FQ$3))/$AJ13,Уголь_коэфф!$A:$B,2,1),(FP13-0.05)))</f>
        <v>1</v>
      </c>
      <c r="FR13" s="102">
        <f>MIN(1,MAX(VLOOKUP(($AJ13-$AI13-$AH13-$AG13-$AF13-$AE13*(1+FR$3))/$AJ13,Уголь_коэфф!$A:$B,2,1),(FQ13-0.05)))</f>
        <v>1</v>
      </c>
      <c r="FS13" s="102">
        <f>MIN(1,MAX(VLOOKUP(($AJ13-$AI13-$AH13-$AG13-$AF13-$AE13*(1+FS$3))/$AJ13,Уголь_коэфф!$A:$B,2,1),(FR13-0.05)))</f>
        <v>1</v>
      </c>
      <c r="FT13" s="102">
        <f>MIN(1,MAX(VLOOKUP(($AJ13-$AI13-$AH13-$AG13-$AF13-$AE13*(1+FT$3))/$AJ13,Уголь_коэфф!$A:$B,2,1),(FS13-0.05)))</f>
        <v>1</v>
      </c>
      <c r="FU13" s="102">
        <f>MIN(1,MAX(VLOOKUP(($AJ13-$AI13-$AH13-$AG13-$AF13-$AE13*(1+FU$3))/$AJ13,Уголь_коэфф!$A:$B,2,1),(FT13-0.05)))</f>
        <v>1</v>
      </c>
      <c r="FV13" s="102">
        <f>MIN(1,MAX(VLOOKUP(($AJ13-$AI13-$AH13-$AG13-$AF13-$AE13*(1+FV$3))/$AJ13,Уголь_коэфф!$A:$B,2,1),(FU13-0.05)))</f>
        <v>1</v>
      </c>
      <c r="FW13" s="102">
        <f>MIN(1,MAX(VLOOKUP(($AJ13-$AI13-$AH13-$AG13-$AF13-$AE13*(1+FW$3))/$AJ13,Уголь_коэфф!$A:$B,2,1),(FV13-0.05)))</f>
        <v>1</v>
      </c>
      <c r="FX13" s="102">
        <f>MIN(1,MAX(VLOOKUP(($AJ13-$AI13-$AH13-$AG13-$AF13-$AE13*(1+FX$3))/$AJ13,Уголь_коэфф!$A:$B,2,1),(FW13-0.05)))</f>
        <v>1</v>
      </c>
      <c r="FY13" s="102">
        <f>MIN(1,MAX(VLOOKUP(($AJ13-$AI13-$AH13-$AG13-$AF13-$AE13*(1+FY$3))/$AJ13,Уголь_коэфф!$A:$B,2,1),(FX13-0.05)))</f>
        <v>1</v>
      </c>
      <c r="FZ13" s="102">
        <f>MIN(1,MAX(VLOOKUP(($AJ13-$AI13-$AH13-$AG13-$AF13-$AE13*(1+FZ$3))/$AJ13,Уголь_коэфф!$A:$B,2,1),(FY13-0.05)))</f>
        <v>1</v>
      </c>
      <c r="GA13" s="102">
        <f>MIN(1,MAX(VLOOKUP(($AJ13-$AI13-$AH13-$AG13-$AF13-$AE13*(1+GA$3))/$AJ13,Уголь_коэфф!$A:$B,2,1),(FZ13-0.05)))</f>
        <v>1</v>
      </c>
      <c r="GB13" s="102">
        <f>MIN(1,MAX(VLOOKUP(($AJ13-$AI13-$AH13-$AG13-$AF13-$AE13*(1+GB$3))/$AJ13,Уголь_коэфф!$A:$B,2,1),(GA13-0.05)))</f>
        <v>1</v>
      </c>
      <c r="GC13" s="102">
        <f>MIN(1,MAX(VLOOKUP(($AJ13-$AI13-$AH13-$AG13-$AF13-$AE13*(1+GC$3))/$AJ13,Уголь_коэфф!$A:$B,2,1),(GB13-0.05)))</f>
        <v>1</v>
      </c>
      <c r="GD13" s="102">
        <f>MIN(1,MAX(VLOOKUP(($AJ13-$AI13-$AH13-$AG13-$AF13-$AE13*(1+GD$3))/$AJ13,Уголь_коэфф!$A:$B,2,1),(GC13-0.05)))</f>
        <v>1</v>
      </c>
      <c r="GE13" s="102">
        <f>MIN(1,MAX(VLOOKUP(($AJ13-$AI13-$AH13-$AG13-$AF13-$AE13*(1+GE$3))/$AJ13,Уголь_коэфф!$A:$B,2,1),(GD13-0.05)))</f>
        <v>1</v>
      </c>
      <c r="GF13" s="102">
        <f>MIN(1,MAX(VLOOKUP(($AJ13-$AI13-$AH13-$AG13-$AF13-$AE13*(1+GF$3))/$AJ13,Уголь_коэфф!$A:$B,2,1),(GE13-0.05)))</f>
        <v>1</v>
      </c>
      <c r="GG13" s="102">
        <f>MIN(1,MAX(VLOOKUP(($AJ13-$AI13-$AH13-$AG13-$AF13-$AE13*(1+GG$3))/$AJ13,Уголь_коэфф!$A:$B,2,1),(GF13-0.05)))</f>
        <v>1</v>
      </c>
      <c r="GH13" s="102">
        <f>MIN(1,MAX(VLOOKUP(($AJ13-$AI13-$AH13-$AG13-$AF13-$AE13*(1+GH$3))/$AJ13,Уголь_коэфф!$A:$B,2,1),(GG13-0.05)))</f>
        <v>1</v>
      </c>
      <c r="GI13" s="102">
        <f>MIN(1,MAX(VLOOKUP(($AJ13-$AI13-$AH13-$AG13-$AF13-$AE13*(1+GI$3))/$AJ13,Уголь_коэфф!$A:$B,2,1),(GH13-0.05)))</f>
        <v>1</v>
      </c>
      <c r="GJ13" s="102">
        <f>MIN(1,MAX(VLOOKUP(($AJ13-$AI13-$AH13-$AG13-$AF13-$AE13*(1+GJ$3))/$AJ13,Уголь_коэфф!$A:$B,2,1),(GI13-0.05)))</f>
        <v>1</v>
      </c>
      <c r="GK13" s="102">
        <f>MIN(1,MAX(VLOOKUP(($AJ13-$AI13-$AH13-$AG13-$AF13-$AE13*(1+GK$3))/$AJ13,Уголь_коэфф!$A:$B,2,1),(GJ13-0.05)))</f>
        <v>1</v>
      </c>
      <c r="GL13" s="102">
        <f>MIN(1,MAX(VLOOKUP(($AJ13-$AI13-$AH13-$AG13-$AF13-$AE13*(1+GL$3))/$AJ13,Уголь_коэфф!$A:$B,2,1),(GK13-0.05)))</f>
        <v>1</v>
      </c>
      <c r="GM13" s="102">
        <f>MIN(1,MAX(VLOOKUP(($AJ13-$AI13-$AH13-$AG13-$AF13-$AE13*(1+GM$3))/$AJ13,Уголь_коэфф!$A:$B,2,1),(GL13-0.05)))</f>
        <v>1</v>
      </c>
      <c r="GN13" s="102">
        <f>MIN(1,MAX(VLOOKUP(($AJ13-$AI13-$AH13-$AG13-$AF13-$AE13*(1+GN$3))/$AJ13,Уголь_коэфф!$A:$B,2,1),(GM13-0.05)))</f>
        <v>1</v>
      </c>
      <c r="GO13" s="102">
        <f>MIN(1,MAX(VLOOKUP(($AJ13-$AI13-$AH13-$AG13-$AF13-$AE13*(1+GO$3))/$AJ13,Уголь_коэфф!$A:$B,2,1),(GN13-0.05)))</f>
        <v>1</v>
      </c>
      <c r="GP13" s="102">
        <f>MIN(1,MAX(VLOOKUP(($AJ13-$AI13-$AH13-$AG13-$AF13-$AE13*(1+GP$3))/$AJ13,Уголь_коэфф!$A:$B,2,1),(GO13-0.05)))</f>
        <v>1</v>
      </c>
      <c r="GQ13" s="102">
        <f>MIN(1,MAX(VLOOKUP(($AJ13-$AI13-$AH13-$AG13-$AF13-$AE13*(1+GQ$3))/$AJ13,Уголь_коэфф!$A:$B,2,1),(GP13-0.05)))</f>
        <v>1</v>
      </c>
      <c r="GR13" s="102">
        <f>MIN(1,MAX(VLOOKUP(($AJ13-$AI13-$AH13-$AG13-$AF13-$AE13*(1+GR$3))/$AJ13,Уголь_коэфф!$A:$B,2,1),(GQ13-0.05)))</f>
        <v>1</v>
      </c>
      <c r="GS13" s="102">
        <f>MIN(1,MAX(VLOOKUP(($AJ13-$AI13-$AH13-$AG13-$AF13-$AE13*(1+GS$3))/$AJ13,Уголь_коэфф!$A:$B,2,1),(GR13-0.05)))</f>
        <v>1</v>
      </c>
      <c r="GT13" s="102">
        <f>MIN(1,MAX(VLOOKUP(($AJ13-$AI13-$AH13-$AG13-$AF13-$AE13*(1+GT$3))/$AJ13,Уголь_коэфф!$A:$B,2,1),(GS13-0.05)))</f>
        <v>1</v>
      </c>
      <c r="GU13" s="102">
        <f>MIN(1,MAX(VLOOKUP(($AJ13-$AI13-$AH13-$AG13-$AF13-$AE13*(1+GU$3))/$AJ13,Уголь_коэфф!$A:$B,2,1),(GT13-0.05)))</f>
        <v>1</v>
      </c>
      <c r="GV13" s="102">
        <f>MIN(1,MAX(VLOOKUP(($AJ13-$AI13-$AH13-$AG13-$AF13-$AE13*(1+GV$3))/$AJ13,Уголь_коэфф!$A:$B,2,1),(GU13-0.05)))</f>
        <v>1</v>
      </c>
      <c r="GW13" s="102">
        <f>MIN(1,MAX(VLOOKUP(($AJ13-$AI13-$AH13-$AG13-$AF13-$AE13*(1+GW$3))/$AJ13,Уголь_коэфф!$A:$B,2,1),(GV13-0.05)))</f>
        <v>1</v>
      </c>
      <c r="GX13" s="102">
        <f>MIN(1,MAX(VLOOKUP(($AJ13-$AI13-$AH13-$AG13-$AF13-$AE13*(1+GX$3))/$AJ13,Уголь_коэфф!$A:$B,2,1),(GW13-0.05)))</f>
        <v>1</v>
      </c>
      <c r="GY13" s="102">
        <f>MIN(1,MAX(VLOOKUP(($AJ13-$AI13-$AH13-$AG13-$AF13-$AE13*(1+GY$3))/$AJ13,Уголь_коэфф!$A:$B,2,1),(GX13-0.05)))</f>
        <v>1</v>
      </c>
      <c r="GZ13" s="102">
        <f>MIN(1,MAX(VLOOKUP(($AJ13-$AI13-$AH13-$AG13-$AF13-$AE13*(1+GZ$3))/$AJ13,Уголь_коэфф!$A:$B,2,1),(GY13-0.05)))</f>
        <v>1</v>
      </c>
      <c r="HA13" s="102">
        <f>MIN(1,MAX(VLOOKUP(($AJ13-$AI13-$AH13-$AG13-$AF13-$AE13*(1+HA$3))/$AJ13,Уголь_коэфф!$A:$B,2,1),(GZ13-0.05)))</f>
        <v>1</v>
      </c>
      <c r="HB13" s="102">
        <f>MIN(1,MAX(VLOOKUP(($AJ13-$AI13-$AH13-$AG13-$AF13-$AE13*(1+HB$3))/$AJ13,Уголь_коэфф!$A:$B,2,1),(HA13-0.05)))</f>
        <v>1</v>
      </c>
      <c r="HC13" s="102">
        <f>MIN(1,MAX(VLOOKUP(($AJ13-$AI13-$AH13-$AG13-$AF13-$AE13*(1+HC$3))/$AJ13,Уголь_коэфф!$A:$B,2,1),(HB13-0.05)))</f>
        <v>1</v>
      </c>
      <c r="HD13" s="102">
        <f>MIN(1,MAX(VLOOKUP(($AJ13-$AI13-$AH13-$AG13-$AF13-$AE13*(1+HD$3))/$AJ13,Уголь_коэфф!$A:$B,2,1),(HC13-0.05)))</f>
        <v>1</v>
      </c>
      <c r="HE13" s="102">
        <f>MIN(1,MAX(VLOOKUP(($AJ13-$AI13-$AH13-$AG13-$AF13-$AE13*(1+HE$3))/$AJ13,Уголь_коэфф!$A:$B,2,1),(HD13-0.05)))</f>
        <v>1</v>
      </c>
      <c r="HF13" s="102">
        <f>MIN(1,MAX(VLOOKUP(($AJ13-$AI13-$AH13-$AG13-$AF13-$AE13*(1+HF$3))/$AJ13,Уголь_коэфф!$A:$B,2,1),(HE13-0.05)))</f>
        <v>1</v>
      </c>
      <c r="HG13" s="102">
        <f>MIN(1,MAX(VLOOKUP(($AJ13-$AI13-$AH13-$AG13-$AF13-$AE13*(1+HG$3))/$AJ13,Уголь_коэфф!$A:$B,2,1),(HF13-0.05)))</f>
        <v>1</v>
      </c>
      <c r="HH13" s="102">
        <f>MIN(1,MAX(VLOOKUP(($AJ13-$AI13-$AH13-$AG13-$AF13-$AE13*(1+HH$3))/$AJ13,Уголь_коэфф!$A:$B,2,1),(HG13-0.05)))</f>
        <v>1</v>
      </c>
      <c r="HI13" s="102">
        <f>MIN(1,MAX(VLOOKUP(($AJ13-$AI13-$AH13-$AG13-$AF13-$AE13*(1+HI$3))/$AJ13,Уголь_коэфф!$A:$B,2,1),(HH13-0.05)))</f>
        <v>1</v>
      </c>
      <c r="HJ13" s="102">
        <f>MIN(1,MAX(VLOOKUP(($AJ13-$AI13-$AH13-$AG13-$AF13-$AE13*(1+HJ$3))/$AJ13,Уголь_коэфф!$A:$B,2,1),(HI13-0.05)))</f>
        <v>1</v>
      </c>
      <c r="HK13" s="102">
        <f>MIN(1,MAX(VLOOKUP(($AJ13-$AI13-$AH13-$AG13-$AF13-$AE13*(1+HK$3))/$AJ13,Уголь_коэфф!$A:$B,2,1),(HJ13-0.05)))</f>
        <v>1</v>
      </c>
      <c r="HL13" s="102">
        <f>MIN(1,MAX(VLOOKUP(($AJ13-$AI13-$AH13-$AG13-$AF13-$AE13*(1+HL$3))/$AJ13,Уголь_коэфф!$A:$B,2,1),(HK13-0.05)))</f>
        <v>1</v>
      </c>
      <c r="HM13" s="102">
        <f>MIN(1,MAX(VLOOKUP(($AJ13-$AI13-$AH13-$AG13-$AF13-$AE13*(1+HM$3))/$AJ13,Уголь_коэфф!$A:$B,2,1),(HL13-0.05)))</f>
        <v>1</v>
      </c>
      <c r="HN13" s="102">
        <f>MIN(1,MAX(VLOOKUP(($AJ13-$AI13-$AH13-$AG13-$AF13-$AE13*(1+HN$3))/$AJ13,Уголь_коэфф!$A:$B,2,1),(HM13-0.05)))</f>
        <v>1</v>
      </c>
      <c r="HO13" s="102">
        <f>MIN(1,MAX(VLOOKUP(($AJ13-$AI13-$AH13-$AG13-$AF13-$AE13*(1+HO$3))/$AJ13,Уголь_коэфф!$A:$B,2,1),(HN13-0.05)))</f>
        <v>1</v>
      </c>
      <c r="HP13" s="102">
        <f>MIN(1,MAX(VLOOKUP(($AJ13-$AI13-$AH13-$AG13-$AF13-$AE13*(1+HP$3))/$AJ13,Уголь_коэфф!$A:$B,2,1),(HO13-0.05)))</f>
        <v>1</v>
      </c>
      <c r="HQ13" s="102">
        <f>MIN(1,MAX(VLOOKUP(($AJ13-$AI13-$AH13-$AG13-$AF13-$AE13*(1+HQ$3))/$AJ13,Уголь_коэфф!$A:$B,2,1),(HP13-0.05)))</f>
        <v>1</v>
      </c>
      <c r="HR13" s="102">
        <f>MIN(1,MAX(VLOOKUP(($AJ13-$AI13-$AH13-$AG13-$AF13-$AE13*(1+HR$3))/$AJ13,Уголь_коэфф!$A:$B,2,1),(HQ13-0.05)))</f>
        <v>1</v>
      </c>
      <c r="HS13" s="102">
        <f>MIN(1,MAX(VLOOKUP(($AJ13-$AI13-$AH13-$AG13-$AF13-$AE13*(1+HS$3))/$AJ13,Уголь_коэфф!$A:$B,2,1),(HR13-0.05)))</f>
        <v>1</v>
      </c>
      <c r="HT13" s="102">
        <f>MIN(1,MAX(VLOOKUP(($AJ13-$AI13-$AH13-$AG13-$AF13-$AE13*(1+HT$3))/$AJ13,Уголь_коэфф!$A:$B,2,1),(HS13-0.05)))</f>
        <v>1</v>
      </c>
      <c r="HU13" s="102">
        <f>MIN(1,MAX(VLOOKUP(($AJ13-$AI13-$AH13-$AG13-$AF13-$AE13*(1+HU$3))/$AJ13,Уголь_коэфф!$A:$B,2,1),(HT13-0.05)))</f>
        <v>1</v>
      </c>
      <c r="HV13" s="102">
        <f>MIN(1,MAX(VLOOKUP(($AJ13-$AI13-$AH13-$AG13-$AF13-$AE13*(1+HV$3))/$AJ13,Уголь_коэфф!$A:$B,2,1),(HU13-0.05)))</f>
        <v>1</v>
      </c>
      <c r="HW13" s="102">
        <f>MIN(1,MAX(VLOOKUP(($AJ13-$AI13-$AH13-$AG13-$AF13-$AE13*(1+HW$3))/$AJ13,Уголь_коэфф!$A:$B,2,1),(HV13-0.05)))</f>
        <v>1</v>
      </c>
      <c r="HX13" s="102">
        <f>MIN(1,MAX(VLOOKUP(($AJ13-$AI13-$AH13-$AG13-$AF13-$AE13*(1+HX$3))/$AJ13,Уголь_коэфф!$A:$B,2,1),(HW13-0.05)))</f>
        <v>1</v>
      </c>
      <c r="HY13" s="102">
        <f>MIN(1,MAX(VLOOKUP(($AJ13-$AI13-$AH13-$AG13-$AF13-$AE13*(1+HY$3))/$AJ13,Уголь_коэфф!$A:$B,2,1),(HX13-0.05)))</f>
        <v>1</v>
      </c>
      <c r="HZ13" s="102">
        <f>MIN(1,MAX(VLOOKUP(($AJ13-$AI13-$AH13-$AG13-$AF13-$AE13*(1+HZ$3))/$AJ13,Уголь_коэфф!$A:$B,2,1),(HY13-0.05)))</f>
        <v>1</v>
      </c>
      <c r="IA13" s="102">
        <f>MIN(1,MAX(VLOOKUP(($AJ13-$AI13-$AH13-$AG13-$AF13-$AE13*(1+IA$3))/$AJ13,Уголь_коэфф!$A:$B,2,1),(HZ13-0.05)))</f>
        <v>1</v>
      </c>
      <c r="IB13" s="102">
        <f>MIN(1,MAX(VLOOKUP(($AJ13-$AI13-$AH13-$AG13-$AF13-$AE13*(1+IB$3))/$AJ13,Уголь_коэфф!$A:$B,2,1),(IA13-0.05)))</f>
        <v>1</v>
      </c>
      <c r="IC13" s="102">
        <f>MIN(1,MAX(VLOOKUP(($AJ13-$AI13-$AH13-$AG13-$AF13-$AE13*(1+IC$3))/$AJ13,Уголь_коэфф!$A:$B,2,1),(IB13-0.05)))</f>
        <v>1</v>
      </c>
      <c r="ID13" s="102">
        <f>MIN(1,MAX(VLOOKUP(($AJ13-$AI13-$AH13-$AG13-$AF13-$AE13*(1+ID$3))/$AJ13,Уголь_коэфф!$A:$B,2,1),(IC13-0.05)))</f>
        <v>1</v>
      </c>
      <c r="IE13" s="102">
        <f>MIN(1,MAX(VLOOKUP(($AJ13-$AI13-$AH13-$AG13-$AF13-$AE13*(1+IE$3))/$AJ13,Уголь_коэфф!$A:$B,2,1),(ID13-0.05)))</f>
        <v>1</v>
      </c>
      <c r="IF13" s="102">
        <f>MIN(1,MAX(VLOOKUP(($AJ13-$AI13-$AH13-$AG13-$AF13-$AE13*(1+IF$3))/$AJ13,Уголь_коэфф!$A:$B,2,1),(IE13-0.05)))</f>
        <v>1</v>
      </c>
      <c r="IG13" s="102">
        <f>MIN(1,MAX(VLOOKUP(($AJ13-$AI13-$AH13-$AG13-$AF13-$AE13*(1+IG$3))/$AJ13,Уголь_коэфф!$A:$B,2,1),(IF13-0.05)))</f>
        <v>1</v>
      </c>
      <c r="IH13" s="102">
        <f>MIN(1,MAX(VLOOKUP(($AJ13-$AI13-$AH13-$AG13-$AF13-$AE13*(1+IH$3))/$AJ13,Уголь_коэфф!$A:$B,2,1),(IG13-0.05)))</f>
        <v>1</v>
      </c>
      <c r="II13" s="102">
        <f>MIN(1,MAX(VLOOKUP(($AJ13-$AI13-$AH13-$AG13-$AF13-$AE13*(1+II$3))/$AJ13,Уголь_коэфф!$A:$B,2,1),(IH13-0.05)))</f>
        <v>1</v>
      </c>
      <c r="IJ13" s="102">
        <f>MIN(1,MAX(VLOOKUP(($AJ13-$AI13-$AH13-$AG13-$AF13-$AE13*(1+IJ$3))/$AJ13,Уголь_коэфф!$A:$B,2,1),(II13-0.05)))</f>
        <v>1</v>
      </c>
      <c r="IK13" s="102">
        <f>MIN(1,MAX(VLOOKUP(($AJ13-$AI13-$AH13-$AG13-$AF13-$AE13*(1+IK$3))/$AJ13,Уголь_коэфф!$A:$B,2,1),(IJ13-0.05)))</f>
        <v>1</v>
      </c>
      <c r="IL13" s="102">
        <f>MIN(1,MAX(VLOOKUP(($AJ13-$AI13-$AH13-$AG13-$AF13-$AE13*(1+IL$3))/$AJ13,Уголь_коэфф!$A:$B,2,1),(IK13-0.05)))</f>
        <v>1</v>
      </c>
      <c r="IM13" s="102">
        <f>MIN(1,MAX(VLOOKUP(($AJ13-$AI13-$AH13-$AG13-$AF13-$AE13*(1+IM$3))/$AJ13,Уголь_коэфф!$A:$B,2,1),(IL13-0.05)))</f>
        <v>1</v>
      </c>
      <c r="IN13" s="102">
        <f>MIN(1,MAX(VLOOKUP(($AJ13-$AI13-$AH13-$AG13-$AF13-$AE13*(1+IN$3))/$AJ13,Уголь_коэфф!$A:$B,2,1),(IM13-0.05)))</f>
        <v>1</v>
      </c>
      <c r="IO13" s="102">
        <f>MIN(1,MAX(VLOOKUP(($AJ13-$AI13-$AH13-$AG13-$AF13-$AE13*(1+IO$3))/$AJ13,Уголь_коэфф!$A:$B,2,1),(IN13-0.05)))</f>
        <v>1</v>
      </c>
      <c r="IP13" s="102">
        <f>MIN(1,MAX(VLOOKUP(($AJ13-$AI13-$AH13-$AG13-$AF13-$AE13*(1+IP$3))/$AJ13,Уголь_коэфф!$A:$B,2,1),(IO13-0.05)))</f>
        <v>1</v>
      </c>
      <c r="IQ13" s="102">
        <f>MIN(1,MAX(VLOOKUP(($AJ13-$AI13-$AH13-$AG13-$AF13-$AE13*(1+IQ$3))/$AJ13,Уголь_коэфф!$A:$B,2,1),(IP13-0.05)))</f>
        <v>1</v>
      </c>
      <c r="IR13" s="102">
        <f>MIN(1,MAX(VLOOKUP(($AJ13-$AI13-$AH13-$AG13-$AF13-$AE13*(1+IR$3))/$AJ13,Уголь_коэфф!$A:$B,2,1),(IQ13-0.05)))</f>
        <v>1</v>
      </c>
      <c r="IS13" s="102">
        <f t="shared" si="20"/>
        <v>1</v>
      </c>
      <c r="IT13" s="102">
        <f t="shared" si="7"/>
        <v>1</v>
      </c>
      <c r="IU13" s="110"/>
    </row>
    <row r="14" spans="1:266" ht="14.6" customHeight="1">
      <c r="A14" t="s">
        <v>242</v>
      </c>
      <c r="B14" s="105">
        <v>1</v>
      </c>
      <c r="C14" s="127" t="s">
        <v>16</v>
      </c>
      <c r="D14" s="128">
        <v>16104</v>
      </c>
      <c r="E14" s="128" t="s">
        <v>88</v>
      </c>
      <c r="F14" s="127" t="s">
        <v>78</v>
      </c>
      <c r="G14" s="128" t="s">
        <v>45</v>
      </c>
      <c r="H14" s="127" t="s">
        <v>19</v>
      </c>
      <c r="I14" s="128">
        <v>0</v>
      </c>
      <c r="J14" s="128" t="s">
        <v>90</v>
      </c>
      <c r="K14" s="128">
        <v>5820</v>
      </c>
      <c r="L14" s="128" t="s">
        <v>22</v>
      </c>
      <c r="M14" s="128" t="s">
        <v>23</v>
      </c>
      <c r="N14" s="128" t="s">
        <v>24</v>
      </c>
      <c r="O14" s="127" t="s">
        <v>25</v>
      </c>
      <c r="P14" s="129">
        <v>57775656</v>
      </c>
      <c r="Q14" s="129" t="s">
        <v>91</v>
      </c>
      <c r="R14" s="128" t="s">
        <v>92</v>
      </c>
      <c r="S14" s="131">
        <v>1434447</v>
      </c>
      <c r="T14" s="130">
        <v>8349124223</v>
      </c>
      <c r="U14" s="130">
        <v>19225</v>
      </c>
      <c r="V14" s="130"/>
      <c r="W14" s="132">
        <v>3205086675</v>
      </c>
      <c r="X14" s="104">
        <v>75</v>
      </c>
      <c r="Y14" s="104" t="s">
        <v>163</v>
      </c>
      <c r="Z14" s="107">
        <v>13</v>
      </c>
      <c r="AA14" s="107">
        <v>14</v>
      </c>
      <c r="AB14" s="107">
        <v>4</v>
      </c>
      <c r="AC14" s="88">
        <v>2483.44</v>
      </c>
      <c r="AD14" s="88">
        <v>1092.0900000000001</v>
      </c>
      <c r="AE14" s="88">
        <f t="shared" ref="AE14:AE16" si="23">AC14+AD14</f>
        <v>3575.53</v>
      </c>
      <c r="AF14" s="89">
        <f>'Цены,перевалка,аренда'!$C$26*SUM(Уголь_эластика_экспорт!Z14+Уголь_эластика_экспорт!AA14+Уголь_эластика_экспорт!AB14)/Уголь_эластика_экспорт!X14</f>
        <v>413.33333333333331</v>
      </c>
      <c r="AG14" s="90">
        <f>SUMIF('Цены,перевалка,аренда'!$A$20:$A$22,Уголь_эластика_экспорт!$O14,'Цены,перевалка,аренда'!$D$20:$D$22)</f>
        <v>763.05499999999995</v>
      </c>
      <c r="AH14" s="47"/>
      <c r="AI14" s="91">
        <v>3876</v>
      </c>
      <c r="AJ14" s="92">
        <f>SUMIF('Цены,перевалка,аренда'!$A$5:$A$17,Уголь_эластика_экспорт!A14,'Цены,перевалка,аренда'!$D$5:$D$17)</f>
        <v>10911.6865</v>
      </c>
      <c r="AK14" s="47">
        <f>AJ14/'Цены,перевалка,аренда'!$C$1</f>
        <v>143</v>
      </c>
      <c r="AL14" s="47">
        <f t="shared" si="9"/>
        <v>4751.918333333334</v>
      </c>
      <c r="AM14" s="47">
        <f t="shared" si="10"/>
        <v>6159.7681666666658</v>
      </c>
      <c r="AN14" s="47">
        <f t="shared" si="11"/>
        <v>8627.9183333333331</v>
      </c>
      <c r="AO14" s="93">
        <f t="shared" si="12"/>
        <v>0.20929561774586053</v>
      </c>
      <c r="AP14" s="94">
        <f t="shared" si="13"/>
        <v>0.43548889837820526</v>
      </c>
      <c r="AQ14" s="94">
        <f t="shared" si="5"/>
        <v>0.32767895228661492</v>
      </c>
      <c r="AR14" s="94">
        <f t="shared" si="6"/>
        <v>0.75243927803192456</v>
      </c>
      <c r="AS14" s="167">
        <f t="shared" si="14"/>
        <v>1</v>
      </c>
      <c r="AT14" s="173">
        <f t="shared" si="15"/>
        <v>1434447</v>
      </c>
      <c r="AU14" s="97">
        <v>1</v>
      </c>
      <c r="AV14" s="93">
        <f t="shared" si="16"/>
        <v>0.16997414347146661</v>
      </c>
      <c r="AW14" s="94">
        <f t="shared" si="17"/>
        <v>0.47481037265259907</v>
      </c>
      <c r="AX14" s="94">
        <f t="shared" si="18"/>
        <v>0.36700042656100873</v>
      </c>
      <c r="AY14" s="94">
        <f t="shared" si="19"/>
        <v>0.77294104699252053</v>
      </c>
      <c r="AZ14" s="102">
        <f>MIN(IF($AU14=100%,1,1+VLOOKUP(($AJ14-$AI14-$AH14-$AG14-$AF14-$AE14*(1+AZ$3))/$AJ14,Уголь_коэфф!$A:$B,2,1)-VLOOKUP($AO14,Уголь_коэфф!$A:$B,2,1)),1+(1-$AU14))</f>
        <v>1</v>
      </c>
      <c r="BA14" s="102">
        <f>MIN(IF($AU14=100%,1,1+VLOOKUP(($AJ14-$AI14-$AH14-$AG14-$AF14-$AE14*(1+BA$3))/$AJ14,Уголь_коэфф!$A:$B,2,1)-VLOOKUP($AO14,Уголь_коэфф!$A:$B,2,1)),1+(1-$AU14))</f>
        <v>1</v>
      </c>
      <c r="BB14" s="102">
        <f>MIN(IF($AU14=100%,1,1+VLOOKUP(($AJ14-$AI14-$AH14-$AG14-$AF14-$AE14*(1+BB$3))/$AJ14,Уголь_коэфф!$A:$B,2,1)-VLOOKUP($AO14,Уголь_коэфф!$A:$B,2,1)),1+(1-$AU14))</f>
        <v>1</v>
      </c>
      <c r="BC14" s="102">
        <f>MIN(IF($AU14=100%,1,1+VLOOKUP(($AJ14-$AI14-$AH14-$AG14-$AF14-$AE14*(1+BC$3))/$AJ14,Уголь_коэфф!$A:$B,2,1)-VLOOKUP($AO14,Уголь_коэфф!$A:$B,2,1)),1+(1-$AU14))</f>
        <v>1</v>
      </c>
      <c r="BD14" s="102">
        <f>MIN(IF($AU14=100%,1,1+VLOOKUP(($AJ14-$AI14-$AH14-$AG14-$AF14-$AE14*(1+BD$3))/$AJ14,Уголь_коэфф!$A:$B,2,1)-VLOOKUP($AO14,Уголь_коэфф!$A:$B,2,1)),1+(1-$AU14))</f>
        <v>1</v>
      </c>
      <c r="BE14" s="102">
        <f>MIN(IF($AU14=100%,1,1+VLOOKUP(($AJ14-$AI14-$AH14-$AG14-$AF14-$AE14*(1+BE$3))/$AJ14,Уголь_коэфф!$A:$B,2,1)-VLOOKUP($AO14,Уголь_коэфф!$A:$B,2,1)),1+(1-$AU14))</f>
        <v>1</v>
      </c>
      <c r="BF14" s="102">
        <f>MIN(IF($AU14=100%,1,1+VLOOKUP(($AJ14-$AI14-$AH14-$AG14-$AF14-$AE14*(1+BF$3))/$AJ14,Уголь_коэфф!$A:$B,2,1)-VLOOKUP($AO14,Уголь_коэфф!$A:$B,2,1)),1+(1-$AU14))</f>
        <v>1</v>
      </c>
      <c r="BG14" s="102">
        <f>MIN(IF($AU14=100%,1,1+VLOOKUP(($AJ14-$AI14-$AH14-$AG14-$AF14-$AE14*(1+BG$3))/$AJ14,Уголь_коэфф!$A:$B,2,1)-VLOOKUP($AO14,Уголь_коэфф!$A:$B,2,1)),1+(1-$AU14))</f>
        <v>1</v>
      </c>
      <c r="BH14" s="102">
        <f>MIN(IF($AU14=100%,1,1+VLOOKUP(($AJ14-$AI14-$AH14-$AG14-$AF14-$AE14*(1+BH$3))/$AJ14,Уголь_коэфф!$A:$B,2,1)-VLOOKUP($AO14,Уголь_коэфф!$A:$B,2,1)),1+(1-$AU14))</f>
        <v>1</v>
      </c>
      <c r="BI14" s="102">
        <f>MIN(IF($AU14=100%,1,1+VLOOKUP(($AJ14-$AI14-$AH14-$AG14-$AF14-$AE14*(1+BI$3))/$AJ14,Уголь_коэфф!$A:$B,2,1)-VLOOKUP($AO14,Уголь_коэфф!$A:$B,2,1)),1+(1-$AU14))</f>
        <v>1</v>
      </c>
      <c r="BJ14" s="102">
        <f>MIN(IF($AU14=100%,1,1+VLOOKUP(($AJ14-$AI14-$AH14-$AG14-$AF14-$AE14*(1+BJ$3))/$AJ14,Уголь_коэфф!$A:$B,2,1)-VLOOKUP($AO14,Уголь_коэфф!$A:$B,2,1)),1+(1-$AU14))</f>
        <v>1</v>
      </c>
      <c r="BK14" s="102">
        <f>MIN(IF($AU14=100%,1,1+VLOOKUP(($AJ14-$AI14-$AH14-$AG14-$AF14-$AE14*(1+BK$3))/$AJ14,Уголь_коэфф!$A:$B,2,1)-VLOOKUP($AO14,Уголь_коэфф!$A:$B,2,1)),1+(1-$AU14))</f>
        <v>1</v>
      </c>
      <c r="BL14" s="102">
        <f>MIN(IF($AU14=100%,1,1+VLOOKUP(($AJ14-$AI14-$AH14-$AG14-$AF14-$AE14*(1+BL$3))/$AJ14,Уголь_коэфф!$A:$B,2,1)-VLOOKUP($AO14,Уголь_коэфф!$A:$B,2,1)),1+(1-$AU14))</f>
        <v>1</v>
      </c>
      <c r="BM14" s="102">
        <f>MIN(IF($AU14=100%,1,1+VLOOKUP(($AJ14-$AI14-$AH14-$AG14-$AF14-$AE14*(1+BM$3))/$AJ14,Уголь_коэфф!$A:$B,2,1)-VLOOKUP($AO14,Уголь_коэфф!$A:$B,2,1)),1+(1-$AU14))</f>
        <v>1</v>
      </c>
      <c r="BN14" s="102">
        <f>MIN(IF($AU14=100%,1,1+VLOOKUP(($AJ14-$AI14-$AH14-$AG14-$AF14-$AE14*(1+BN$3))/$AJ14,Уголь_коэфф!$A:$B,2,1)-VLOOKUP($AO14,Уголь_коэфф!$A:$B,2,1)),1+(1-$AU14))</f>
        <v>1</v>
      </c>
      <c r="BO14" s="102">
        <f>MIN(IF($AU14=100%,1,1+VLOOKUP(($AJ14-$AI14-$AH14-$AG14-$AF14-$AE14*(1+BO$3))/$AJ14,Уголь_коэфф!$A:$B,2,1)-VLOOKUP($AO14,Уголь_коэфф!$A:$B,2,1)),1+(1-$AU14))</f>
        <v>1</v>
      </c>
      <c r="BP14" s="102">
        <f>MIN(IF($AU14=100%,1,1+VLOOKUP(($AJ14-$AI14-$AH14-$AG14-$AF14-$AE14*(1+BP$3))/$AJ14,Уголь_коэфф!$A:$B,2,1)-VLOOKUP($AO14,Уголь_коэфф!$A:$B,2,1)),1+(1-$AU14))</f>
        <v>1</v>
      </c>
      <c r="BQ14" s="102">
        <f>MIN(IF($AU14=100%,1,1+VLOOKUP(($AJ14-$AI14-$AH14-$AG14-$AF14-$AE14*(1+BQ$3))/$AJ14,Уголь_коэфф!$A:$B,2,1)-VLOOKUP($AO14,Уголь_коэфф!$A:$B,2,1)),1+(1-$AU14))</f>
        <v>1</v>
      </c>
      <c r="BR14" s="102">
        <f>MIN(IF($AU14=100%,1,1+VLOOKUP(($AJ14-$AI14-$AH14-$AG14-$AF14-$AE14*(1+BR$3))/$AJ14,Уголь_коэфф!$A:$B,2,1)-VLOOKUP($AO14,Уголь_коэфф!$A:$B,2,1)),1+(1-$AU14))</f>
        <v>1</v>
      </c>
      <c r="BS14" s="102">
        <f>MIN(IF($AU14=100%,1,1+VLOOKUP(($AJ14-$AI14-$AH14-$AG14-$AF14-$AE14*(1+BS$3))/$AJ14,Уголь_коэфф!$A:$B,2,1)-VLOOKUP($AO14,Уголь_коэфф!$A:$B,2,1)),1+(1-$AU14))</f>
        <v>1</v>
      </c>
      <c r="BT14" s="102">
        <f>MIN(IF($AU14=100%,1,1+VLOOKUP(($AJ14-$AI14-$AH14-$AG14-$AF14-$AE14*(1+BT$3))/$AJ14,Уголь_коэфф!$A:$B,2,1)-VLOOKUP($AO14,Уголь_коэфф!$A:$B,2,1)),1+(1-$AU14))</f>
        <v>1</v>
      </c>
      <c r="BU14" s="102">
        <f>MIN(IF($AU14=100%,1,1+VLOOKUP(($AJ14-$AI14-$AH14-$AG14-$AF14-$AE14*(1+BU$3))/$AJ14,Уголь_коэфф!$A:$B,2,1)-VLOOKUP($AO14,Уголь_коэфф!$A:$B,2,1)),1+(1-$AU14))</f>
        <v>1</v>
      </c>
      <c r="BV14" s="102">
        <f>MIN(IF($AU14=100%,1,1+VLOOKUP(($AJ14-$AI14-$AH14-$AG14-$AF14-$AE14*(1+BV$3))/$AJ14,Уголь_коэфф!$A:$B,2,1)-VLOOKUP($AO14,Уголь_коэфф!$A:$B,2,1)),1+(1-$AU14))</f>
        <v>1</v>
      </c>
      <c r="BW14" s="102">
        <f>MIN(IF($AU14=100%,1,1+VLOOKUP(($AJ14-$AI14-$AH14-$AG14-$AF14-$AE14*(1+BW$3))/$AJ14,Уголь_коэфф!$A:$B,2,1)-VLOOKUP($AO14,Уголь_коэфф!$A:$B,2,1)),1+(1-$AU14))</f>
        <v>1</v>
      </c>
      <c r="BX14" s="102">
        <f>MIN(IF($AU14=100%,1,1+VLOOKUP(($AJ14-$AI14-$AH14-$AG14-$AF14-$AE14*(1+BX$3))/$AJ14,Уголь_коэфф!$A:$B,2,1)-VLOOKUP($AO14,Уголь_коэфф!$A:$B,2,1)),1+(1-$AU14))</f>
        <v>1</v>
      </c>
      <c r="BY14" s="102">
        <f>MIN(IF($AU14=100%,1,1+VLOOKUP(($AJ14-$AI14-$AH14-$AG14-$AF14-$AE14*(1+BY$3))/$AJ14,Уголь_коэфф!$A:$B,2,1)-VLOOKUP($AO14,Уголь_коэфф!$A:$B,2,1)),1+(1-$AU14))</f>
        <v>1</v>
      </c>
      <c r="BZ14" s="102">
        <f>MIN(IF($AU14=100%,1,1+VLOOKUP(($AJ14-$AI14-$AH14-$AG14-$AF14-$AE14*(1+BZ$3))/$AJ14,Уголь_коэфф!$A:$B,2,1)-VLOOKUP($AO14,Уголь_коэфф!$A:$B,2,1)),1+(1-$AU14))</f>
        <v>1</v>
      </c>
      <c r="CA14" s="102">
        <f>MIN(IF($AU14=100%,1,1+VLOOKUP(($AJ14-$AI14-$AH14-$AG14-$AF14-$AE14*(1+CA$3))/$AJ14,Уголь_коэфф!$A:$B,2,1)-VLOOKUP($AO14,Уголь_коэфф!$A:$B,2,1)),1+(1-$AU14))</f>
        <v>1</v>
      </c>
      <c r="CB14" s="102">
        <f>MIN(IF($AU14=100%,1,1+VLOOKUP(($AJ14-$AI14-$AH14-$AG14-$AF14-$AE14*(1+CB$3))/$AJ14,Уголь_коэфф!$A:$B,2,1)-VLOOKUP($AO14,Уголь_коэфф!$A:$B,2,1)),1+(1-$AU14))</f>
        <v>1</v>
      </c>
      <c r="CC14" s="102">
        <f>MIN(IF($AU14=100%,1,1+VLOOKUP(($AJ14-$AI14-$AH14-$AG14-$AF14-$AE14*(1+CC$3))/$AJ14,Уголь_коэфф!$A:$B,2,1)-VLOOKUP($AO14,Уголь_коэфф!$A:$B,2,1)),1+(1-$AU14))</f>
        <v>1</v>
      </c>
      <c r="CD14" s="102">
        <f>MIN(IF($AU14=100%,1,1+VLOOKUP(($AJ14-$AI14-$AH14-$AG14-$AF14-$AE14*(1+CD$3))/$AJ14,Уголь_коэфф!$A:$B,2,1)-VLOOKUP($AO14,Уголь_коэфф!$A:$B,2,1)),1+(1-$AU14))</f>
        <v>1</v>
      </c>
      <c r="CE14" s="102">
        <f>MIN(IF($AU14=100%,1,1+VLOOKUP(($AJ14-$AI14-$AH14-$AG14-$AF14-$AE14*(1+CE$3))/$AJ14,Уголь_коэфф!$A:$B,2,1)-VLOOKUP($AO14,Уголь_коэфф!$A:$B,2,1)),1+(1-$AU14))</f>
        <v>1</v>
      </c>
      <c r="CF14" s="102">
        <f>MIN(IF($AU14=100%,1,1+VLOOKUP(($AJ14-$AI14-$AH14-$AG14-$AF14-$AE14*(1+CF$3))/$AJ14,Уголь_коэфф!$A:$B,2,1)-VLOOKUP($AO14,Уголь_коэфф!$A:$B,2,1)),1+(1-$AU14))</f>
        <v>1</v>
      </c>
      <c r="CG14" s="102">
        <f>MIN(IF($AU14=100%,1,1+VLOOKUP(($AJ14-$AI14-$AH14-$AG14-$AF14-$AE14*(1+CG$3))/$AJ14,Уголь_коэфф!$A:$B,2,1)-VLOOKUP($AO14,Уголь_коэфф!$A:$B,2,1)),1+(1-$AU14))</f>
        <v>1</v>
      </c>
      <c r="CH14" s="102">
        <f>MIN(IF($AU14=100%,1,1+VLOOKUP(($AJ14-$AI14-$AH14-$AG14-$AF14-$AE14*(1+CH$3))/$AJ14,Уголь_коэфф!$A:$B,2,1)-VLOOKUP($AO14,Уголь_коэфф!$A:$B,2,1)),1+(1-$AU14))</f>
        <v>1</v>
      </c>
      <c r="CI14" s="102">
        <f>MIN(IF($AU14=100%,1,1+VLOOKUP(($AJ14-$AI14-$AH14-$AG14-$AF14-$AE14*(1+CI$3))/$AJ14,Уголь_коэфф!$A:$B,2,1)-VLOOKUP($AO14,Уголь_коэфф!$A:$B,2,1)),1+(1-$AU14))</f>
        <v>1</v>
      </c>
      <c r="CJ14" s="102">
        <f>MIN(IF($AU14=100%,1,1+VLOOKUP(($AJ14-$AI14-$AH14-$AG14-$AF14-$AE14*(1+CJ$3))/$AJ14,Уголь_коэфф!$A:$B,2,1)-VLOOKUP($AO14,Уголь_коэфф!$A:$B,2,1)),1+(1-$AU14))</f>
        <v>1</v>
      </c>
      <c r="CK14" s="102">
        <f>MIN(IF($AU14=100%,1,1+VLOOKUP(($AJ14-$AI14-$AH14-$AG14-$AF14-$AE14*(1+CK$3))/$AJ14,Уголь_коэфф!$A:$B,2,1)-VLOOKUP($AO14,Уголь_коэфф!$A:$B,2,1)),1+(1-$AU14))</f>
        <v>1</v>
      </c>
      <c r="CL14" s="102">
        <f>MIN(IF($AU14=100%,1,1+VLOOKUP(($AJ14-$AI14-$AH14-$AG14-$AF14-$AE14*(1+CL$3))/$AJ14,Уголь_коэфф!$A:$B,2,1)-VLOOKUP($AO14,Уголь_коэфф!$A:$B,2,1)),1+(1-$AU14))</f>
        <v>1</v>
      </c>
      <c r="CM14" s="102">
        <f>MIN(IF($AU14=100%,1,1+VLOOKUP(($AJ14-$AI14-$AH14-$AG14-$AF14-$AE14*(1+CM$3))/$AJ14,Уголь_коэфф!$A:$B,2,1)-VLOOKUP($AO14,Уголь_коэфф!$A:$B,2,1)),1+(1-$AU14))</f>
        <v>1</v>
      </c>
      <c r="CN14" s="102">
        <f>MIN(IF($AU14=100%,1,1+VLOOKUP(($AJ14-$AI14-$AH14-$AG14-$AF14-$AE14*(1+CN$3))/$AJ14,Уголь_коэфф!$A:$B,2,1)-VLOOKUP($AO14,Уголь_коэфф!$A:$B,2,1)),1+(1-$AU14))</f>
        <v>1</v>
      </c>
      <c r="CO14" s="102">
        <f>MIN(IF($AU14=100%,1,1+VLOOKUP(($AJ14-$AI14-$AH14-$AG14-$AF14-$AE14*(1+CO$3))/$AJ14,Уголь_коэфф!$A:$B,2,1)-VLOOKUP($AO14,Уголь_коэфф!$A:$B,2,1)),1+(1-$AU14))</f>
        <v>1</v>
      </c>
      <c r="CP14" s="102">
        <f>MIN(IF($AU14=100%,1,1+VLOOKUP(($AJ14-$AI14-$AH14-$AG14-$AF14-$AE14*(1+CP$3))/$AJ14,Уголь_коэфф!$A:$B,2,1)-VLOOKUP($AO14,Уголь_коэфф!$A:$B,2,1)),1+(1-$AU14))</f>
        <v>1</v>
      </c>
      <c r="CQ14" s="102">
        <f>MIN(IF($AU14=100%,1,1+VLOOKUP(($AJ14-$AI14-$AH14-$AG14-$AF14-$AE14*(1+CQ$3))/$AJ14,Уголь_коэфф!$A:$B,2,1)-VLOOKUP($AO14,Уголь_коэфф!$A:$B,2,1)),1+(1-$AU14))</f>
        <v>1</v>
      </c>
      <c r="CR14" s="102">
        <f>MIN(IF($AU14=100%,1,1+VLOOKUP(($AJ14-$AI14-$AH14-$AG14-$AF14-$AE14*(1+CR$3))/$AJ14,Уголь_коэфф!$A:$B,2,1)-VLOOKUP($AO14,Уголь_коэфф!$A:$B,2,1)),1+(1-$AU14))</f>
        <v>1</v>
      </c>
      <c r="CS14" s="102">
        <f>MIN(IF($AU14=100%,1,1+VLOOKUP(($AJ14-$AI14-$AH14-$AG14-$AF14-$AE14*(1+CS$3))/$AJ14,Уголь_коэфф!$A:$B,2,1)-VLOOKUP($AO14,Уголь_коэфф!$A:$B,2,1)),1+(1-$AU14))</f>
        <v>1</v>
      </c>
      <c r="CT14" s="102">
        <f>MIN(IF($AU14=100%,1,1+VLOOKUP(($AJ14-$AI14-$AH14-$AG14-$AF14-$AE14*(1+CT$3))/$AJ14,Уголь_коэфф!$A:$B,2,1)-VLOOKUP($AO14,Уголь_коэфф!$A:$B,2,1)),1+(1-$AU14))</f>
        <v>1</v>
      </c>
      <c r="CU14" s="102">
        <f>MIN(IF($AU14=100%,1,1+VLOOKUP(($AJ14-$AI14-$AH14-$AG14-$AF14-$AE14*(1+CU$3))/$AJ14,Уголь_коэфф!$A:$B,2,1)-VLOOKUP($AO14,Уголь_коэфф!$A:$B,2,1)),1+(1-$AU14))</f>
        <v>1</v>
      </c>
      <c r="CV14" s="102">
        <f>MIN(IF($AU14=100%,1,1+VLOOKUP(($AJ14-$AI14-$AH14-$AG14-$AF14-$AE14*(1+CV$3))/$AJ14,Уголь_коэфф!$A:$B,2,1)-VLOOKUP($AO14,Уголь_коэфф!$A:$B,2,1)),1+(1-$AU14))</f>
        <v>1</v>
      </c>
      <c r="CW14" s="102">
        <f>MIN(IF($AU14=100%,1,1+VLOOKUP(($AJ14-$AI14-$AH14-$AG14-$AF14-$AE14*(1+CW$3))/$AJ14,Уголь_коэфф!$A:$B,2,1)-VLOOKUP($AO14,Уголь_коэфф!$A:$B,2,1)),1+(1-$AU14))</f>
        <v>1</v>
      </c>
      <c r="CX14" s="102">
        <f>MIN(IF($AU14=100%,1,1+VLOOKUP(($AJ14-$AI14-$AH14-$AG14-$AF14-$AE14*(1+CX$3))/$AJ14,Уголь_коэфф!$A:$B,2,1)-VLOOKUP($AO14,Уголь_коэфф!$A:$B,2,1)),1+(1-$AU14))</f>
        <v>1</v>
      </c>
      <c r="CY14" s="102">
        <f>MIN(IF($AU14=100%,1,1+VLOOKUP(($AJ14-$AI14-$AH14-$AG14-$AF14-$AE14*(1+CY$3))/$AJ14,Уголь_коэфф!$A:$B,2,1)-VLOOKUP($AO14,Уголь_коэфф!$A:$B,2,1)),1+(1-$AU14))</f>
        <v>1</v>
      </c>
      <c r="CZ14" s="102">
        <f>MIN(IF($AU14=100%,1,1+VLOOKUP(($AJ14-$AI14-$AH14-$AG14-$AF14-$AE14*(1+CZ$3))/$AJ14,Уголь_коэфф!$A:$B,2,1)-VLOOKUP($AO14,Уголь_коэфф!$A:$B,2,1)),1+(1-$AU14))</f>
        <v>1</v>
      </c>
      <c r="DA14" s="102">
        <f>MIN(IF($AU14=100%,1,1+VLOOKUP(($AJ14-$AI14-$AH14-$AG14-$AF14-$AE14*(1+DA$3))/$AJ14,Уголь_коэфф!$A:$B,2,1)-VLOOKUP($AO14,Уголь_коэфф!$A:$B,2,1)),1+(1-$AU14))</f>
        <v>1</v>
      </c>
      <c r="DB14" s="102">
        <f>MIN(IF($AU14=100%,1,1+VLOOKUP(($AJ14-$AI14-$AH14-$AG14-$AF14-$AE14*(1+DB$3))/$AJ14,Уголь_коэфф!$A:$B,2,1)-VLOOKUP($AO14,Уголь_коэфф!$A:$B,2,1)),1+(1-$AU14))</f>
        <v>1</v>
      </c>
      <c r="DC14" s="102">
        <f>MIN(IF($AU14=100%,1,1+VLOOKUP(($AJ14-$AI14-$AH14-$AG14-$AF14-$AE14*(1+DC$3))/$AJ14,Уголь_коэфф!$A:$B,2,1)-VLOOKUP($AO14,Уголь_коэфф!$A:$B,2,1)),1+(1-$AU14))</f>
        <v>1</v>
      </c>
      <c r="DD14" s="102">
        <f>MIN(IF($AU14=100%,1,1+VLOOKUP(($AJ14-$AI14-$AH14-$AG14-$AF14-$AE14*(1+DD$3))/$AJ14,Уголь_коэфф!$A:$B,2,1)-VLOOKUP($AO14,Уголь_коэфф!$A:$B,2,1)),1+(1-$AU14))</f>
        <v>1</v>
      </c>
      <c r="DE14" s="102">
        <f>MIN(IF($AU14=100%,1,1+VLOOKUP(($AJ14-$AI14-$AH14-$AG14-$AF14-$AE14*(1+DE$3))/$AJ14,Уголь_коэфф!$A:$B,2,1)-VLOOKUP($AO14,Уголь_коэфф!$A:$B,2,1)),1+(1-$AU14))</f>
        <v>1</v>
      </c>
      <c r="DF14" s="102">
        <f>MIN(IF($AU14=100%,1,1+VLOOKUP(($AJ14-$AI14-$AH14-$AG14-$AF14-$AE14*(1+DF$3))/$AJ14,Уголь_коэфф!$A:$B,2,1)-VLOOKUP($AO14,Уголь_коэфф!$A:$B,2,1)),1+(1-$AU14))</f>
        <v>1</v>
      </c>
      <c r="DG14" s="102">
        <f>MIN(IF($AU14=100%,1,1+VLOOKUP(($AJ14-$AI14-$AH14-$AG14-$AF14-$AE14*(1+DG$3))/$AJ14,Уголь_коэфф!$A:$B,2,1)-VLOOKUP($AO14,Уголь_коэфф!$A:$B,2,1)),1+(1-$AU14))</f>
        <v>1</v>
      </c>
      <c r="DH14" s="102">
        <f>MIN(IF($AU14=100%,1,1+VLOOKUP(($AJ14-$AI14-$AH14-$AG14-$AF14-$AE14*(1+DH$3))/$AJ14,Уголь_коэфф!$A:$B,2,1)-VLOOKUP($AO14,Уголь_коэфф!$A:$B,2,1)),1+(1-$AU14))</f>
        <v>1</v>
      </c>
      <c r="DI14" s="102">
        <f>MIN(IF($AU14=100%,1,1+VLOOKUP(($AJ14-$AI14-$AH14-$AG14-$AF14-$AE14*(1+DI$3))/$AJ14,Уголь_коэфф!$A:$B,2,1)-VLOOKUP($AO14,Уголь_коэфф!$A:$B,2,1)),1+(1-$AU14))</f>
        <v>1</v>
      </c>
      <c r="DJ14" s="102">
        <f>MIN(IF($AU14=100%,1,1+VLOOKUP(($AJ14-$AI14-$AH14-$AG14-$AF14-$AE14*(1+DJ$3))/$AJ14,Уголь_коэфф!$A:$B,2,1)-VLOOKUP($AO14,Уголь_коэфф!$A:$B,2,1)),1+(1-$AU14))</f>
        <v>1</v>
      </c>
      <c r="DK14" s="102">
        <f>MIN(IF($AU14=100%,1,1+VLOOKUP(($AJ14-$AI14-$AH14-$AG14-$AF14-$AE14*(1+DK$3))/$AJ14,Уголь_коэфф!$A:$B,2,1)-VLOOKUP($AO14,Уголь_коэфф!$A:$B,2,1)),1+(1-$AU14))</f>
        <v>1</v>
      </c>
      <c r="DL14" s="102">
        <f>MIN(IF($AU14=100%,1,1+VLOOKUP(($AJ14-$AI14-$AH14-$AG14-$AF14-$AE14*(1+DL$3))/$AJ14,Уголь_коэфф!$A:$B,2,1)-VLOOKUP($AO14,Уголь_коэфф!$A:$B,2,1)),1+(1-$AU14))</f>
        <v>1</v>
      </c>
      <c r="DM14" s="102">
        <f>MIN(IF($AU14=100%,1,1+VLOOKUP(($AJ14-$AI14-$AH14-$AG14-$AF14-$AE14*(1+DM$3))/$AJ14,Уголь_коэфф!$A:$B,2,1)-VLOOKUP($AO14,Уголь_коэфф!$A:$B,2,1)),1+(1-$AU14))</f>
        <v>1</v>
      </c>
      <c r="DN14" s="102">
        <f>MIN(IF($AU14=100%,1,1+VLOOKUP(($AJ14-$AI14-$AH14-$AG14-$AF14-$AE14*(1+DN$3))/$AJ14,Уголь_коэфф!$A:$B,2,1)-VLOOKUP($AO14,Уголь_коэфф!$A:$B,2,1)),1+(1-$AU14))</f>
        <v>1</v>
      </c>
      <c r="DO14" s="102">
        <f>MIN(IF($AU14=100%,1,1+VLOOKUP(($AJ14-$AI14-$AH14-$AG14-$AF14-$AE14*(1+DO$3))/$AJ14,Уголь_коэфф!$A:$B,2,1)-VLOOKUP($AO14,Уголь_коэфф!$A:$B,2,1)),1+(1-$AU14))</f>
        <v>1</v>
      </c>
      <c r="DP14" s="102">
        <f>MIN(IF($AU14=100%,1,1+VLOOKUP(($AJ14-$AI14-$AH14-$AG14-$AF14-$AE14*(1+DP$3))/$AJ14,Уголь_коэфф!$A:$B,2,1)-VLOOKUP($AO14,Уголь_коэфф!$A:$B,2,1)),1+(1-$AU14))</f>
        <v>1</v>
      </c>
      <c r="DQ14" s="102">
        <f>MIN(IF($AU14=100%,1,1+VLOOKUP(($AJ14-$AI14-$AH14-$AG14-$AF14-$AE14*(1+DQ$3))/$AJ14,Уголь_коэфф!$A:$B,2,1)-VLOOKUP($AO14,Уголь_коэфф!$A:$B,2,1)),1+(1-$AU14))</f>
        <v>1</v>
      </c>
      <c r="DR14" s="102">
        <f>MIN(IF($AU14=100%,1,1+VLOOKUP(($AJ14-$AI14-$AH14-$AG14-$AF14-$AE14*(1+DR$3))/$AJ14,Уголь_коэфф!$A:$B,2,1)-VLOOKUP($AO14,Уголь_коэфф!$A:$B,2,1)),1+(1-$AU14))</f>
        <v>1</v>
      </c>
      <c r="DS14" s="102">
        <f>MIN(IF($AU14=100%,1,1+VLOOKUP(($AJ14-$AI14-$AH14-$AG14-$AF14-$AE14*(1+DS$3))/$AJ14,Уголь_коэфф!$A:$B,2,1)-VLOOKUP($AO14,Уголь_коэфф!$A:$B,2,1)),1+(1-$AU14))</f>
        <v>1</v>
      </c>
      <c r="DT14" s="102">
        <f>MIN(IF($AU14=100%,1,1+VLOOKUP(($AJ14-$AI14-$AH14-$AG14-$AF14-$AE14*(1+DT$3))/$AJ14,Уголь_коэфф!$A:$B,2,1)-VLOOKUP($AO14,Уголь_коэфф!$A:$B,2,1)),1+(1-$AU14))</f>
        <v>1</v>
      </c>
      <c r="DU14" s="102">
        <f>MIN(IF($AU14=100%,1,1+VLOOKUP(($AJ14-$AI14-$AH14-$AG14-$AF14-$AE14*(1+DU$3))/$AJ14,Уголь_коэфф!$A:$B,2,1)-VLOOKUP($AO14,Уголь_коэфф!$A:$B,2,1)),1+(1-$AU14))</f>
        <v>1</v>
      </c>
      <c r="DV14" s="102">
        <f>MIN(IF($AU14=100%,1,1+VLOOKUP(($AJ14-$AI14-$AH14-$AG14-$AF14-$AE14*(1+DV$3))/$AJ14,Уголь_коэфф!$A:$B,2,1)-VLOOKUP($AO14,Уголь_коэфф!$A:$B,2,1)),1+(1-$AU14))</f>
        <v>1</v>
      </c>
      <c r="DW14" s="102">
        <f>MIN(IF($AU14=100%,1,1+VLOOKUP(($AJ14-$AI14-$AH14-$AG14-$AF14-$AE14*(1+DW$3))/$AJ14,Уголь_коэфф!$A:$B,2,1)-VLOOKUP($AO14,Уголь_коэфф!$A:$B,2,1)),1+(1-$AU14))</f>
        <v>1</v>
      </c>
      <c r="DX14" s="102">
        <f>MIN(IF($AU14=100%,1,1+VLOOKUP(($AJ14-$AI14-$AH14-$AG14-$AF14-$AE14*(1+DX$3))/$AJ14,Уголь_коэфф!$A:$B,2,1)-VLOOKUP($AO14,Уголь_коэфф!$A:$B,2,1)),1+(1-$AU14))</f>
        <v>1</v>
      </c>
      <c r="DY14" s="102">
        <f>MIN(IF($AU14=100%,1,1+VLOOKUP(($AJ14-$AI14-$AH14-$AG14-$AF14-$AE14*(1+DY$3))/$AJ14,Уголь_коэфф!$A:$B,2,1)-VLOOKUP($AO14,Уголь_коэфф!$A:$B,2,1)),1+(1-$AU14))</f>
        <v>1</v>
      </c>
      <c r="DZ14" s="102">
        <f>MIN(IF($AU14=100%,1,1+VLOOKUP(($AJ14-$AI14-$AH14-$AG14-$AF14-$AE14*(1+DZ$3))/$AJ14,Уголь_коэфф!$A:$B,2,1)-VLOOKUP($AO14,Уголь_коэфф!$A:$B,2,1)),1+(1-$AU14))</f>
        <v>1</v>
      </c>
      <c r="EA14" s="102">
        <f>MIN(IF($AU14=100%,1,1+VLOOKUP(($AJ14-$AI14-$AH14-$AG14-$AF14-$AE14*(1+EA$3))/$AJ14,Уголь_коэфф!$A:$B,2,1)-VLOOKUP($AO14,Уголь_коэфф!$A:$B,2,1)),1+(1-$AU14))</f>
        <v>1</v>
      </c>
      <c r="EB14" s="102">
        <f>MIN(IF($AU14=100%,1,1+VLOOKUP(($AJ14-$AI14-$AH14-$AG14-$AF14-$AE14*(1+EB$3))/$AJ14,Уголь_коэфф!$A:$B,2,1)-VLOOKUP($AO14,Уголь_коэфф!$A:$B,2,1)),1+(1-$AU14))</f>
        <v>1</v>
      </c>
      <c r="EC14" s="102">
        <f>MIN(IF($AU14=100%,1,1+VLOOKUP(($AJ14-$AI14-$AH14-$AG14-$AF14-$AE14*(1+EC$3))/$AJ14,Уголь_коэфф!$A:$B,2,1)-VLOOKUP($AO14,Уголь_коэфф!$A:$B,2,1)),1+(1-$AU14))</f>
        <v>1</v>
      </c>
      <c r="ED14" s="102">
        <f>MIN(IF($AU14=100%,1,1+VLOOKUP(($AJ14-$AI14-$AH14-$AG14-$AF14-$AE14*(1+ED$3))/$AJ14,Уголь_коэфф!$A:$B,2,1)-VLOOKUP($AO14,Уголь_коэфф!$A:$B,2,1)),1+(1-$AU14))</f>
        <v>1</v>
      </c>
      <c r="EE14" s="102">
        <f>MIN(IF($AU14=100%,1,1+VLOOKUP(($AJ14-$AI14-$AH14-$AG14-$AF14-$AE14*(1+EE$3))/$AJ14,Уголь_коэфф!$A:$B,2,1)-VLOOKUP($AO14,Уголь_коэфф!$A:$B,2,1)),1+(1-$AU14))</f>
        <v>1</v>
      </c>
      <c r="EF14" s="102">
        <f>MIN(IF($AU14=100%,1,1+VLOOKUP(($AJ14-$AI14-$AH14-$AG14-$AF14-$AE14*(1+EF$3))/$AJ14,Уголь_коэфф!$A:$B,2,1)-VLOOKUP($AO14,Уголь_коэфф!$A:$B,2,1)),1+(1-$AU14))</f>
        <v>1</v>
      </c>
      <c r="EG14" s="102">
        <f>MIN(IF($AU14=100%,1,1+VLOOKUP(($AJ14-$AI14-$AH14-$AG14-$AF14-$AE14*(1+EG$3))/$AJ14,Уголь_коэфф!$A:$B,2,1)-VLOOKUP($AO14,Уголь_коэфф!$A:$B,2,1)),1+(1-$AU14))</f>
        <v>1</v>
      </c>
      <c r="EH14" s="102">
        <f>MIN(IF($AU14=100%,1,1+VLOOKUP(($AJ14-$AI14-$AH14-$AG14-$AF14-$AE14*(1+EH$3))/$AJ14,Уголь_коэфф!$A:$B,2,1)-VLOOKUP($AO14,Уголь_коэфф!$A:$B,2,1)),1+(1-$AU14))</f>
        <v>1</v>
      </c>
      <c r="EI14" s="102">
        <f>MIN(IF($AU14=100%,1,1+VLOOKUP(($AJ14-$AI14-$AH14-$AG14-$AF14-$AE14*(1+EI$3))/$AJ14,Уголь_коэфф!$A:$B,2,1)-VLOOKUP($AO14,Уголь_коэфф!$A:$B,2,1)),1+(1-$AU14))</f>
        <v>1</v>
      </c>
      <c r="EJ14" s="102">
        <f>MIN(IF($AU14=100%,1,1+VLOOKUP(($AJ14-$AI14-$AH14-$AG14-$AF14-$AE14*(1+EJ$3))/$AJ14,Уголь_коэфф!$A:$B,2,1)-VLOOKUP($AO14,Уголь_коэфф!$A:$B,2,1)),1+(1-$AU14))</f>
        <v>1</v>
      </c>
      <c r="EK14" s="102">
        <f>MIN(IF($AU14=100%,1,1+VLOOKUP(($AJ14-$AI14-$AH14-$AG14-$AF14-$AE14*(1+EK$3))/$AJ14,Уголь_коэфф!$A:$B,2,1)-VLOOKUP($AO14,Уголь_коэфф!$A:$B,2,1)),1+(1-$AU14))</f>
        <v>1</v>
      </c>
      <c r="EL14" s="102">
        <f>MIN(IF($AU14=100%,1,1+VLOOKUP(($AJ14-$AI14-$AH14-$AG14-$AF14-$AE14*(1+EL$3))/$AJ14,Уголь_коэфф!$A:$B,2,1)-VLOOKUP($AO14,Уголь_коэфф!$A:$B,2,1)),1+(1-$AU14))</f>
        <v>1</v>
      </c>
      <c r="EM14" s="102">
        <f>MIN(IF($AU14=100%,1,1+VLOOKUP(($AJ14-$AI14-$AH14-$AG14-$AF14-$AE14*(1+EM$3))/$AJ14,Уголь_коэфф!$A:$B,2,1)-VLOOKUP($AO14,Уголь_коэфф!$A:$B,2,1)),1+(1-$AU14))</f>
        <v>1</v>
      </c>
      <c r="EN14" s="102">
        <f>MIN(IF($AU14=100%,1,1+VLOOKUP(($AJ14-$AI14-$AH14-$AG14-$AF14-$AE14*(1+EN$3))/$AJ14,Уголь_коэфф!$A:$B,2,1)-VLOOKUP($AO14,Уголь_коэфф!$A:$B,2,1)),1+(1-$AU14))</f>
        <v>1</v>
      </c>
      <c r="EO14" s="102">
        <f>MIN(IF($AU14=100%,1,1+VLOOKUP(($AJ14-$AI14-$AH14-$AG14-$AF14-$AE14*(1+EO$3))/$AJ14,Уголь_коэфф!$A:$B,2,1)-VLOOKUP($AO14,Уголь_коэфф!$A:$B,2,1)),1+(1-$AU14))</f>
        <v>1</v>
      </c>
      <c r="EP14" s="102">
        <f>MIN(IF($AU14=100%,1,1+VLOOKUP(($AJ14-$AI14-$AH14-$AG14-$AF14-$AE14*(1+EP$3))/$AJ14,Уголь_коэфф!$A:$B,2,1)-VLOOKUP($AO14,Уголь_коэфф!$A:$B,2,1)),1+(1-$AU14))</f>
        <v>1</v>
      </c>
      <c r="EQ14" s="102">
        <f>MIN(IF($AU14=100%,1,1+VLOOKUP(($AJ14-$AI14-$AH14-$AG14-$AF14-$AE14*(1+EQ$3))/$AJ14,Уголь_коэфф!$A:$B,2,1)-VLOOKUP($AO14,Уголь_коэфф!$A:$B,2,1)),1+(1-$AU14))</f>
        <v>1</v>
      </c>
      <c r="ER14" s="102">
        <f>MIN(IF($AU14=100%,1,1+VLOOKUP(($AJ14-$AI14-$AH14-$AG14-$AF14-$AE14*(1+ER$3))/$AJ14,Уголь_коэфф!$A:$B,2,1)-VLOOKUP($AO14,Уголь_коэфф!$A:$B,2,1)),1+(1-$AU14))</f>
        <v>1</v>
      </c>
      <c r="ES14" s="102">
        <f>MIN(IF($AU14=100%,1,1+VLOOKUP(($AJ14-$AI14-$AH14-$AG14-$AF14-$AE14*(1+ES$3))/$AJ14,Уголь_коэфф!$A:$B,2,1)-VLOOKUP($AO14,Уголь_коэфф!$A:$B,2,1)),1+(1-$AU14))</f>
        <v>1</v>
      </c>
      <c r="ET14" s="102">
        <f>MIN(IF($AU14=100%,1,1+VLOOKUP(($AJ14-$AI14-$AH14-$AG14-$AF14-$AE14*(1+ET$3))/$AJ14,Уголь_коэфф!$A:$B,2,1)-VLOOKUP($AO14,Уголь_коэфф!$A:$B,2,1)),1+(1-$AU14))</f>
        <v>1</v>
      </c>
      <c r="EU14" s="102">
        <f>MIN(IF($AU14=100%,1,1+VLOOKUP(($AJ14-$AI14-$AH14-$AG14-$AF14-$AE14*(1+EU$3))/$AJ14,Уголь_коэфф!$A:$B,2,1)-VLOOKUP($AO14,Уголь_коэфф!$A:$B,2,1)),1+(1-$AU14))</f>
        <v>1</v>
      </c>
      <c r="EV14" s="103">
        <v>1</v>
      </c>
      <c r="EW14" s="102">
        <f>MIN(1,MAX(VLOOKUP(($AJ14-$AI14-$AH14-$AG14-$AF14-$AE14*(1+EW$3))/$AJ14,Уголь_коэфф!$A:$B,2,1),(EV14-0.05)))</f>
        <v>1</v>
      </c>
      <c r="EX14" s="102">
        <f>MIN(1,MAX(VLOOKUP(($AJ14-$AI14-$AH14-$AG14-$AF14-$AE14*(1+EX$3))/$AJ14,Уголь_коэфф!$A:$B,2,1),(EW14-0.05)))</f>
        <v>1</v>
      </c>
      <c r="EY14" s="102">
        <f>MIN(1,MAX(VLOOKUP(($AJ14-$AI14-$AH14-$AG14-$AF14-$AE14*(1+EY$3))/$AJ14,Уголь_коэфф!$A:$B,2,1),(EX14-0.05)))</f>
        <v>1</v>
      </c>
      <c r="EZ14" s="102">
        <f>MIN(1,MAX(VLOOKUP(($AJ14-$AI14-$AH14-$AG14-$AF14-$AE14*(1+EZ$3))/$AJ14,Уголь_коэфф!$A:$B,2,1),(EY14-0.05)))</f>
        <v>1</v>
      </c>
      <c r="FA14" s="102">
        <f>MIN(1,MAX(VLOOKUP(($AJ14-$AI14-$AH14-$AG14-$AF14-$AE14*(1+FA$3))/$AJ14,Уголь_коэфф!$A:$B,2,1),(EZ14-0.05)))</f>
        <v>1</v>
      </c>
      <c r="FB14" s="102">
        <f>MIN(1,MAX(VLOOKUP(($AJ14-$AI14-$AH14-$AG14-$AF14-$AE14*(1+FB$3))/$AJ14,Уголь_коэфф!$A:$B,2,1),(FA14-0.05)))</f>
        <v>1</v>
      </c>
      <c r="FC14" s="102">
        <f>MIN(1,MAX(VLOOKUP(($AJ14-$AI14-$AH14-$AG14-$AF14-$AE14*(1+FC$3))/$AJ14,Уголь_коэфф!$A:$B,2,1),(FB14-0.05)))</f>
        <v>1</v>
      </c>
      <c r="FD14" s="102">
        <f>MIN(1,MAX(VLOOKUP(($AJ14-$AI14-$AH14-$AG14-$AF14-$AE14*(1+FD$3))/$AJ14,Уголь_коэфф!$A:$B,2,1),(FC14-0.05)))</f>
        <v>1</v>
      </c>
      <c r="FE14" s="102">
        <f>MIN(1,MAX(VLOOKUP(($AJ14-$AI14-$AH14-$AG14-$AF14-$AE14*(1+FE$3))/$AJ14,Уголь_коэфф!$A:$B,2,1),(FD14-0.05)))</f>
        <v>1</v>
      </c>
      <c r="FF14" s="102">
        <f>MIN(1,MAX(VLOOKUP(($AJ14-$AI14-$AH14-$AG14-$AF14-$AE14*(1+FF$3))/$AJ14,Уголь_коэфф!$A:$B,2,1),(FE14-0.05)))</f>
        <v>1</v>
      </c>
      <c r="FG14" s="102">
        <f>MIN(1,MAX(VLOOKUP(($AJ14-$AI14-$AH14-$AG14-$AF14-$AE14*(1+FG$3))/$AJ14,Уголь_коэфф!$A:$B,2,1),(FF14-0.05)))</f>
        <v>1</v>
      </c>
      <c r="FH14" s="102">
        <f>MIN(1,MAX(VLOOKUP(($AJ14-$AI14-$AH14-$AG14-$AF14-$AE14*(1+FH$3))/$AJ14,Уголь_коэфф!$A:$B,2,1),(FG14-0.05)))</f>
        <v>1</v>
      </c>
      <c r="FI14" s="102">
        <f>MIN(1,MAX(VLOOKUP(($AJ14-$AI14-$AH14-$AG14-$AF14-$AE14*(1+FI$3))/$AJ14,Уголь_коэфф!$A:$B,2,1),(FH14-0.05)))</f>
        <v>1</v>
      </c>
      <c r="FJ14" s="102">
        <f>MIN(1,MAX(VLOOKUP(($AJ14-$AI14-$AH14-$AG14-$AF14-$AE14*(1+FJ$3))/$AJ14,Уголь_коэфф!$A:$B,2,1),(FI14-0.05)))</f>
        <v>1</v>
      </c>
      <c r="FK14" s="102">
        <f>MIN(1,MAX(VLOOKUP(($AJ14-$AI14-$AH14-$AG14-$AF14-$AE14*(1+FK$3))/$AJ14,Уголь_коэфф!$A:$B,2,1),(FJ14-0.05)))</f>
        <v>1</v>
      </c>
      <c r="FL14" s="102">
        <f>MIN(1,MAX(VLOOKUP(($AJ14-$AI14-$AH14-$AG14-$AF14-$AE14*(1+FL$3))/$AJ14,Уголь_коэфф!$A:$B,2,1),(FK14-0.05)))</f>
        <v>1</v>
      </c>
      <c r="FM14" s="102">
        <f>MIN(1,MAX(VLOOKUP(($AJ14-$AI14-$AH14-$AG14-$AF14-$AE14*(1+FM$3))/$AJ14,Уголь_коэфф!$A:$B,2,1),(FL14-0.05)))</f>
        <v>1</v>
      </c>
      <c r="FN14" s="102">
        <f>MIN(1,MAX(VLOOKUP(($AJ14-$AI14-$AH14-$AG14-$AF14-$AE14*(1+FN$3))/$AJ14,Уголь_коэфф!$A:$B,2,1),(FM14-0.05)))</f>
        <v>1</v>
      </c>
      <c r="FO14" s="102">
        <f>MIN(1,MAX(VLOOKUP(($AJ14-$AI14-$AH14-$AG14-$AF14-$AE14*(1+FO$3))/$AJ14,Уголь_коэфф!$A:$B,2,1),(FN14-0.05)))</f>
        <v>1</v>
      </c>
      <c r="FP14" s="102">
        <f>MIN(1,MAX(VLOOKUP(($AJ14-$AI14-$AH14-$AG14-$AF14-$AE14*(1+FP$3))/$AJ14,Уголь_коэфф!$A:$B,2,1),(FO14-0.05)))</f>
        <v>1</v>
      </c>
      <c r="FQ14" s="102">
        <f>MIN(1,MAX(VLOOKUP(($AJ14-$AI14-$AH14-$AG14-$AF14-$AE14*(1+FQ$3))/$AJ14,Уголь_коэфф!$A:$B,2,1),(FP14-0.05)))</f>
        <v>1</v>
      </c>
      <c r="FR14" s="102">
        <f>MIN(1,MAX(VLOOKUP(($AJ14-$AI14-$AH14-$AG14-$AF14-$AE14*(1+FR$3))/$AJ14,Уголь_коэфф!$A:$B,2,1),(FQ14-0.05)))</f>
        <v>1</v>
      </c>
      <c r="FS14" s="102">
        <f>MIN(1,MAX(VLOOKUP(($AJ14-$AI14-$AH14-$AG14-$AF14-$AE14*(1+FS$3))/$AJ14,Уголь_коэфф!$A:$B,2,1),(FR14-0.05)))</f>
        <v>1</v>
      </c>
      <c r="FT14" s="102">
        <f>MIN(1,MAX(VLOOKUP(($AJ14-$AI14-$AH14-$AG14-$AF14-$AE14*(1+FT$3))/$AJ14,Уголь_коэфф!$A:$B,2,1),(FS14-0.05)))</f>
        <v>1</v>
      </c>
      <c r="FU14" s="102">
        <f>MIN(1,MAX(VLOOKUP(($AJ14-$AI14-$AH14-$AG14-$AF14-$AE14*(1+FU$3))/$AJ14,Уголь_коэфф!$A:$B,2,1),(FT14-0.05)))</f>
        <v>1</v>
      </c>
      <c r="FV14" s="102">
        <f>MIN(1,MAX(VLOOKUP(($AJ14-$AI14-$AH14-$AG14-$AF14-$AE14*(1+FV$3))/$AJ14,Уголь_коэфф!$A:$B,2,1),(FU14-0.05)))</f>
        <v>1</v>
      </c>
      <c r="FW14" s="102">
        <f>MIN(1,MAX(VLOOKUP(($AJ14-$AI14-$AH14-$AG14-$AF14-$AE14*(1+FW$3))/$AJ14,Уголь_коэфф!$A:$B,2,1),(FV14-0.05)))</f>
        <v>1</v>
      </c>
      <c r="FX14" s="102">
        <f>MIN(1,MAX(VLOOKUP(($AJ14-$AI14-$AH14-$AG14-$AF14-$AE14*(1+FX$3))/$AJ14,Уголь_коэфф!$A:$B,2,1),(FW14-0.05)))</f>
        <v>1</v>
      </c>
      <c r="FY14" s="102">
        <f>MIN(1,MAX(VLOOKUP(($AJ14-$AI14-$AH14-$AG14-$AF14-$AE14*(1+FY$3))/$AJ14,Уголь_коэфф!$A:$B,2,1),(FX14-0.05)))</f>
        <v>1</v>
      </c>
      <c r="FZ14" s="102">
        <f>MIN(1,MAX(VLOOKUP(($AJ14-$AI14-$AH14-$AG14-$AF14-$AE14*(1+FZ$3))/$AJ14,Уголь_коэфф!$A:$B,2,1),(FY14-0.05)))</f>
        <v>1</v>
      </c>
      <c r="GA14" s="102">
        <f>MIN(1,MAX(VLOOKUP(($AJ14-$AI14-$AH14-$AG14-$AF14-$AE14*(1+GA$3))/$AJ14,Уголь_коэфф!$A:$B,2,1),(FZ14-0.05)))</f>
        <v>1</v>
      </c>
      <c r="GB14" s="102">
        <f>MIN(1,MAX(VLOOKUP(($AJ14-$AI14-$AH14-$AG14-$AF14-$AE14*(1+GB$3))/$AJ14,Уголь_коэфф!$A:$B,2,1),(GA14-0.05)))</f>
        <v>1</v>
      </c>
      <c r="GC14" s="102">
        <f>MIN(1,MAX(VLOOKUP(($AJ14-$AI14-$AH14-$AG14-$AF14-$AE14*(1+GC$3))/$AJ14,Уголь_коэфф!$A:$B,2,1),(GB14-0.05)))</f>
        <v>1</v>
      </c>
      <c r="GD14" s="102">
        <f>MIN(1,MAX(VLOOKUP(($AJ14-$AI14-$AH14-$AG14-$AF14-$AE14*(1+GD$3))/$AJ14,Уголь_коэфф!$A:$B,2,1),(GC14-0.05)))</f>
        <v>1</v>
      </c>
      <c r="GE14" s="102">
        <f>MIN(1,MAX(VLOOKUP(($AJ14-$AI14-$AH14-$AG14-$AF14-$AE14*(1+GE$3))/$AJ14,Уголь_коэфф!$A:$B,2,1),(GD14-0.05)))</f>
        <v>1</v>
      </c>
      <c r="GF14" s="102">
        <f>MIN(1,MAX(VLOOKUP(($AJ14-$AI14-$AH14-$AG14-$AF14-$AE14*(1+GF$3))/$AJ14,Уголь_коэфф!$A:$B,2,1),(GE14-0.05)))</f>
        <v>1</v>
      </c>
      <c r="GG14" s="102">
        <f>MIN(1,MAX(VLOOKUP(($AJ14-$AI14-$AH14-$AG14-$AF14-$AE14*(1+GG$3))/$AJ14,Уголь_коэфф!$A:$B,2,1),(GF14-0.05)))</f>
        <v>1</v>
      </c>
      <c r="GH14" s="102">
        <f>MIN(1,MAX(VLOOKUP(($AJ14-$AI14-$AH14-$AG14-$AF14-$AE14*(1+GH$3))/$AJ14,Уголь_коэфф!$A:$B,2,1),(GG14-0.05)))</f>
        <v>1</v>
      </c>
      <c r="GI14" s="102">
        <f>MIN(1,MAX(VLOOKUP(($AJ14-$AI14-$AH14-$AG14-$AF14-$AE14*(1+GI$3))/$AJ14,Уголь_коэфф!$A:$B,2,1),(GH14-0.05)))</f>
        <v>1</v>
      </c>
      <c r="GJ14" s="102">
        <f>MIN(1,MAX(VLOOKUP(($AJ14-$AI14-$AH14-$AG14-$AF14-$AE14*(1+GJ$3))/$AJ14,Уголь_коэфф!$A:$B,2,1),(GI14-0.05)))</f>
        <v>1</v>
      </c>
      <c r="GK14" s="102">
        <f>MIN(1,MAX(VLOOKUP(($AJ14-$AI14-$AH14-$AG14-$AF14-$AE14*(1+GK$3))/$AJ14,Уголь_коэфф!$A:$B,2,1),(GJ14-0.05)))</f>
        <v>1</v>
      </c>
      <c r="GL14" s="102">
        <f>MIN(1,MAX(VLOOKUP(($AJ14-$AI14-$AH14-$AG14-$AF14-$AE14*(1+GL$3))/$AJ14,Уголь_коэфф!$A:$B,2,1),(GK14-0.05)))</f>
        <v>1</v>
      </c>
      <c r="GM14" s="102">
        <f>MIN(1,MAX(VLOOKUP(($AJ14-$AI14-$AH14-$AG14-$AF14-$AE14*(1+GM$3))/$AJ14,Уголь_коэфф!$A:$B,2,1),(GL14-0.05)))</f>
        <v>1</v>
      </c>
      <c r="GN14" s="102">
        <f>MIN(1,MAX(VLOOKUP(($AJ14-$AI14-$AH14-$AG14-$AF14-$AE14*(1+GN$3))/$AJ14,Уголь_коэфф!$A:$B,2,1),(GM14-0.05)))</f>
        <v>1</v>
      </c>
      <c r="GO14" s="102">
        <f>MIN(1,MAX(VLOOKUP(($AJ14-$AI14-$AH14-$AG14-$AF14-$AE14*(1+GO$3))/$AJ14,Уголь_коэфф!$A:$B,2,1),(GN14-0.05)))</f>
        <v>1</v>
      </c>
      <c r="GP14" s="102">
        <f>MIN(1,MAX(VLOOKUP(($AJ14-$AI14-$AH14-$AG14-$AF14-$AE14*(1+GP$3))/$AJ14,Уголь_коэфф!$A:$B,2,1),(GO14-0.05)))</f>
        <v>1</v>
      </c>
      <c r="GQ14" s="102">
        <f>MIN(1,MAX(VLOOKUP(($AJ14-$AI14-$AH14-$AG14-$AF14-$AE14*(1+GQ$3))/$AJ14,Уголь_коэфф!$A:$B,2,1),(GP14-0.05)))</f>
        <v>1</v>
      </c>
      <c r="GR14" s="102">
        <f>MIN(1,MAX(VLOOKUP(($AJ14-$AI14-$AH14-$AG14-$AF14-$AE14*(1+GR$3))/$AJ14,Уголь_коэфф!$A:$B,2,1),(GQ14-0.05)))</f>
        <v>1</v>
      </c>
      <c r="GS14" s="102">
        <f>MIN(1,MAX(VLOOKUP(($AJ14-$AI14-$AH14-$AG14-$AF14-$AE14*(1+GS$3))/$AJ14,Уголь_коэфф!$A:$B,2,1),(GR14-0.05)))</f>
        <v>1</v>
      </c>
      <c r="GT14" s="102">
        <f>MIN(1,MAX(VLOOKUP(($AJ14-$AI14-$AH14-$AG14-$AF14-$AE14*(1+GT$3))/$AJ14,Уголь_коэфф!$A:$B,2,1),(GS14-0.05)))</f>
        <v>1</v>
      </c>
      <c r="GU14" s="102">
        <f>MIN(1,MAX(VLOOKUP(($AJ14-$AI14-$AH14-$AG14-$AF14-$AE14*(1+GU$3))/$AJ14,Уголь_коэфф!$A:$B,2,1),(GT14-0.05)))</f>
        <v>1</v>
      </c>
      <c r="GV14" s="102">
        <f>MIN(1,MAX(VLOOKUP(($AJ14-$AI14-$AH14-$AG14-$AF14-$AE14*(1+GV$3))/$AJ14,Уголь_коэфф!$A:$B,2,1),(GU14-0.05)))</f>
        <v>1</v>
      </c>
      <c r="GW14" s="102">
        <f>MIN(1,MAX(VLOOKUP(($AJ14-$AI14-$AH14-$AG14-$AF14-$AE14*(1+GW$3))/$AJ14,Уголь_коэфф!$A:$B,2,1),(GV14-0.05)))</f>
        <v>1</v>
      </c>
      <c r="GX14" s="102">
        <f>MIN(1,MAX(VLOOKUP(($AJ14-$AI14-$AH14-$AG14-$AF14-$AE14*(1+GX$3))/$AJ14,Уголь_коэфф!$A:$B,2,1),(GW14-0.05)))</f>
        <v>1</v>
      </c>
      <c r="GY14" s="102">
        <f>MIN(1,MAX(VLOOKUP(($AJ14-$AI14-$AH14-$AG14-$AF14-$AE14*(1+GY$3))/$AJ14,Уголь_коэфф!$A:$B,2,1),(GX14-0.05)))</f>
        <v>1</v>
      </c>
      <c r="GZ14" s="102">
        <f>MIN(1,MAX(VLOOKUP(($AJ14-$AI14-$AH14-$AG14-$AF14-$AE14*(1+GZ$3))/$AJ14,Уголь_коэфф!$A:$B,2,1),(GY14-0.05)))</f>
        <v>1</v>
      </c>
      <c r="HA14" s="102">
        <f>MIN(1,MAX(VLOOKUP(($AJ14-$AI14-$AH14-$AG14-$AF14-$AE14*(1+HA$3))/$AJ14,Уголь_коэфф!$A:$B,2,1),(GZ14-0.05)))</f>
        <v>1</v>
      </c>
      <c r="HB14" s="102">
        <f>MIN(1,MAX(VLOOKUP(($AJ14-$AI14-$AH14-$AG14-$AF14-$AE14*(1+HB$3))/$AJ14,Уголь_коэфф!$A:$B,2,1),(HA14-0.05)))</f>
        <v>1</v>
      </c>
      <c r="HC14" s="102">
        <f>MIN(1,MAX(VLOOKUP(($AJ14-$AI14-$AH14-$AG14-$AF14-$AE14*(1+HC$3))/$AJ14,Уголь_коэфф!$A:$B,2,1),(HB14-0.05)))</f>
        <v>1</v>
      </c>
      <c r="HD14" s="102">
        <f>MIN(1,MAX(VLOOKUP(($AJ14-$AI14-$AH14-$AG14-$AF14-$AE14*(1+HD$3))/$AJ14,Уголь_коэфф!$A:$B,2,1),(HC14-0.05)))</f>
        <v>1</v>
      </c>
      <c r="HE14" s="102">
        <f>MIN(1,MAX(VLOOKUP(($AJ14-$AI14-$AH14-$AG14-$AF14-$AE14*(1+HE$3))/$AJ14,Уголь_коэфф!$A:$B,2,1),(HD14-0.05)))</f>
        <v>1</v>
      </c>
      <c r="HF14" s="102">
        <f>MIN(1,MAX(VLOOKUP(($AJ14-$AI14-$AH14-$AG14-$AF14-$AE14*(1+HF$3))/$AJ14,Уголь_коэфф!$A:$B,2,1),(HE14-0.05)))</f>
        <v>1</v>
      </c>
      <c r="HG14" s="102">
        <f>MIN(1,MAX(VLOOKUP(($AJ14-$AI14-$AH14-$AG14-$AF14-$AE14*(1+HG$3))/$AJ14,Уголь_коэфф!$A:$B,2,1),(HF14-0.05)))</f>
        <v>1</v>
      </c>
      <c r="HH14" s="102">
        <f>MIN(1,MAX(VLOOKUP(($AJ14-$AI14-$AH14-$AG14-$AF14-$AE14*(1+HH$3))/$AJ14,Уголь_коэфф!$A:$B,2,1),(HG14-0.05)))</f>
        <v>1</v>
      </c>
      <c r="HI14" s="102">
        <f>MIN(1,MAX(VLOOKUP(($AJ14-$AI14-$AH14-$AG14-$AF14-$AE14*(1+HI$3))/$AJ14,Уголь_коэфф!$A:$B,2,1),(HH14-0.05)))</f>
        <v>1</v>
      </c>
      <c r="HJ14" s="102">
        <f>MIN(1,MAX(VLOOKUP(($AJ14-$AI14-$AH14-$AG14-$AF14-$AE14*(1+HJ$3))/$AJ14,Уголь_коэфф!$A:$B,2,1),(HI14-0.05)))</f>
        <v>1</v>
      </c>
      <c r="HK14" s="102">
        <f>MIN(1,MAX(VLOOKUP(($AJ14-$AI14-$AH14-$AG14-$AF14-$AE14*(1+HK$3))/$AJ14,Уголь_коэфф!$A:$B,2,1),(HJ14-0.05)))</f>
        <v>1</v>
      </c>
      <c r="HL14" s="102">
        <f>MIN(1,MAX(VLOOKUP(($AJ14-$AI14-$AH14-$AG14-$AF14-$AE14*(1+HL$3))/$AJ14,Уголь_коэфф!$A:$B,2,1),(HK14-0.05)))</f>
        <v>1</v>
      </c>
      <c r="HM14" s="102">
        <f>MIN(1,MAX(VLOOKUP(($AJ14-$AI14-$AH14-$AG14-$AF14-$AE14*(1+HM$3))/$AJ14,Уголь_коэфф!$A:$B,2,1),(HL14-0.05)))</f>
        <v>1</v>
      </c>
      <c r="HN14" s="102">
        <f>MIN(1,MAX(VLOOKUP(($AJ14-$AI14-$AH14-$AG14-$AF14-$AE14*(1+HN$3))/$AJ14,Уголь_коэфф!$A:$B,2,1),(HM14-0.05)))</f>
        <v>1</v>
      </c>
      <c r="HO14" s="102">
        <f>MIN(1,MAX(VLOOKUP(($AJ14-$AI14-$AH14-$AG14-$AF14-$AE14*(1+HO$3))/$AJ14,Уголь_коэфф!$A:$B,2,1),(HN14-0.05)))</f>
        <v>1</v>
      </c>
      <c r="HP14" s="102">
        <f>MIN(1,MAX(VLOOKUP(($AJ14-$AI14-$AH14-$AG14-$AF14-$AE14*(1+HP$3))/$AJ14,Уголь_коэфф!$A:$B,2,1),(HO14-0.05)))</f>
        <v>1</v>
      </c>
      <c r="HQ14" s="102">
        <f>MIN(1,MAX(VLOOKUP(($AJ14-$AI14-$AH14-$AG14-$AF14-$AE14*(1+HQ$3))/$AJ14,Уголь_коэфф!$A:$B,2,1),(HP14-0.05)))</f>
        <v>1</v>
      </c>
      <c r="HR14" s="102">
        <f>MIN(1,MAX(VLOOKUP(($AJ14-$AI14-$AH14-$AG14-$AF14-$AE14*(1+HR$3))/$AJ14,Уголь_коэфф!$A:$B,2,1),(HQ14-0.05)))</f>
        <v>1</v>
      </c>
      <c r="HS14" s="102">
        <f>MIN(1,MAX(VLOOKUP(($AJ14-$AI14-$AH14-$AG14-$AF14-$AE14*(1+HS$3))/$AJ14,Уголь_коэфф!$A:$B,2,1),(HR14-0.05)))</f>
        <v>1</v>
      </c>
      <c r="HT14" s="102">
        <f>MIN(1,MAX(VLOOKUP(($AJ14-$AI14-$AH14-$AG14-$AF14-$AE14*(1+HT$3))/$AJ14,Уголь_коэфф!$A:$B,2,1),(HS14-0.05)))</f>
        <v>1</v>
      </c>
      <c r="HU14" s="102">
        <f>MIN(1,MAX(VLOOKUP(($AJ14-$AI14-$AH14-$AG14-$AF14-$AE14*(1+HU$3))/$AJ14,Уголь_коэфф!$A:$B,2,1),(HT14-0.05)))</f>
        <v>1</v>
      </c>
      <c r="HV14" s="102">
        <f>MIN(1,MAX(VLOOKUP(($AJ14-$AI14-$AH14-$AG14-$AF14-$AE14*(1+HV$3))/$AJ14,Уголь_коэфф!$A:$B,2,1),(HU14-0.05)))</f>
        <v>1</v>
      </c>
      <c r="HW14" s="102">
        <f>MIN(1,MAX(VLOOKUP(($AJ14-$AI14-$AH14-$AG14-$AF14-$AE14*(1+HW$3))/$AJ14,Уголь_коэфф!$A:$B,2,1),(HV14-0.05)))</f>
        <v>1</v>
      </c>
      <c r="HX14" s="102">
        <f>MIN(1,MAX(VLOOKUP(($AJ14-$AI14-$AH14-$AG14-$AF14-$AE14*(1+HX$3))/$AJ14,Уголь_коэфф!$A:$B,2,1),(HW14-0.05)))</f>
        <v>1</v>
      </c>
      <c r="HY14" s="102">
        <f>MIN(1,MAX(VLOOKUP(($AJ14-$AI14-$AH14-$AG14-$AF14-$AE14*(1+HY$3))/$AJ14,Уголь_коэфф!$A:$B,2,1),(HX14-0.05)))</f>
        <v>1</v>
      </c>
      <c r="HZ14" s="102">
        <f>MIN(1,MAX(VLOOKUP(($AJ14-$AI14-$AH14-$AG14-$AF14-$AE14*(1+HZ$3))/$AJ14,Уголь_коэфф!$A:$B,2,1),(HY14-0.05)))</f>
        <v>1</v>
      </c>
      <c r="IA14" s="102">
        <f>MIN(1,MAX(VLOOKUP(($AJ14-$AI14-$AH14-$AG14-$AF14-$AE14*(1+IA$3))/$AJ14,Уголь_коэфф!$A:$B,2,1),(HZ14-0.05)))</f>
        <v>1</v>
      </c>
      <c r="IB14" s="102">
        <f>MIN(1,MAX(VLOOKUP(($AJ14-$AI14-$AH14-$AG14-$AF14-$AE14*(1+IB$3))/$AJ14,Уголь_коэфф!$A:$B,2,1),(IA14-0.05)))</f>
        <v>1</v>
      </c>
      <c r="IC14" s="102">
        <f>MIN(1,MAX(VLOOKUP(($AJ14-$AI14-$AH14-$AG14-$AF14-$AE14*(1+IC$3))/$AJ14,Уголь_коэфф!$A:$B,2,1),(IB14-0.05)))</f>
        <v>1</v>
      </c>
      <c r="ID14" s="102">
        <f>MIN(1,MAX(VLOOKUP(($AJ14-$AI14-$AH14-$AG14-$AF14-$AE14*(1+ID$3))/$AJ14,Уголь_коэфф!$A:$B,2,1),(IC14-0.05)))</f>
        <v>1</v>
      </c>
      <c r="IE14" s="102">
        <f>MIN(1,MAX(VLOOKUP(($AJ14-$AI14-$AH14-$AG14-$AF14-$AE14*(1+IE$3))/$AJ14,Уголь_коэфф!$A:$B,2,1),(ID14-0.05)))</f>
        <v>1</v>
      </c>
      <c r="IF14" s="102">
        <f>MIN(1,MAX(VLOOKUP(($AJ14-$AI14-$AH14-$AG14-$AF14-$AE14*(1+IF$3))/$AJ14,Уголь_коэфф!$A:$B,2,1),(IE14-0.05)))</f>
        <v>1</v>
      </c>
      <c r="IG14" s="102">
        <f>MIN(1,MAX(VLOOKUP(($AJ14-$AI14-$AH14-$AG14-$AF14-$AE14*(1+IG$3))/$AJ14,Уголь_коэфф!$A:$B,2,1),(IF14-0.05)))</f>
        <v>1</v>
      </c>
      <c r="IH14" s="102">
        <f>MIN(1,MAX(VLOOKUP(($AJ14-$AI14-$AH14-$AG14-$AF14-$AE14*(1+IH$3))/$AJ14,Уголь_коэфф!$A:$B,2,1),(IG14-0.05)))</f>
        <v>1</v>
      </c>
      <c r="II14" s="102">
        <f>MIN(1,MAX(VLOOKUP(($AJ14-$AI14-$AH14-$AG14-$AF14-$AE14*(1+II$3))/$AJ14,Уголь_коэфф!$A:$B,2,1),(IH14-0.05)))</f>
        <v>1</v>
      </c>
      <c r="IJ14" s="102">
        <f>MIN(1,MAX(VLOOKUP(($AJ14-$AI14-$AH14-$AG14-$AF14-$AE14*(1+IJ$3))/$AJ14,Уголь_коэфф!$A:$B,2,1),(II14-0.05)))</f>
        <v>1</v>
      </c>
      <c r="IK14" s="102">
        <f>MIN(1,MAX(VLOOKUP(($AJ14-$AI14-$AH14-$AG14-$AF14-$AE14*(1+IK$3))/$AJ14,Уголь_коэфф!$A:$B,2,1),(IJ14-0.05)))</f>
        <v>1</v>
      </c>
      <c r="IL14" s="102">
        <f>MIN(1,MAX(VLOOKUP(($AJ14-$AI14-$AH14-$AG14-$AF14-$AE14*(1+IL$3))/$AJ14,Уголь_коэфф!$A:$B,2,1),(IK14-0.05)))</f>
        <v>1</v>
      </c>
      <c r="IM14" s="102">
        <f>MIN(1,MAX(VLOOKUP(($AJ14-$AI14-$AH14-$AG14-$AF14-$AE14*(1+IM$3))/$AJ14,Уголь_коэфф!$A:$B,2,1),(IL14-0.05)))</f>
        <v>1</v>
      </c>
      <c r="IN14" s="102">
        <f>MIN(1,MAX(VLOOKUP(($AJ14-$AI14-$AH14-$AG14-$AF14-$AE14*(1+IN$3))/$AJ14,Уголь_коэфф!$A:$B,2,1),(IM14-0.05)))</f>
        <v>1</v>
      </c>
      <c r="IO14" s="102">
        <f>MIN(1,MAX(VLOOKUP(($AJ14-$AI14-$AH14-$AG14-$AF14-$AE14*(1+IO$3))/$AJ14,Уголь_коэфф!$A:$B,2,1),(IN14-0.05)))</f>
        <v>1</v>
      </c>
      <c r="IP14" s="102">
        <f>MIN(1,MAX(VLOOKUP(($AJ14-$AI14-$AH14-$AG14-$AF14-$AE14*(1+IP$3))/$AJ14,Уголь_коэфф!$A:$B,2,1),(IO14-0.05)))</f>
        <v>1</v>
      </c>
      <c r="IQ14" s="102">
        <f>MIN(1,MAX(VLOOKUP(($AJ14-$AI14-$AH14-$AG14-$AF14-$AE14*(1+IQ$3))/$AJ14,Уголь_коэфф!$A:$B,2,1),(IP14-0.05)))</f>
        <v>1</v>
      </c>
      <c r="IR14" s="102">
        <f>MIN(1,MAX(VLOOKUP(($AJ14-$AI14-$AH14-$AG14-$AF14-$AE14*(1+IR$3))/$AJ14,Уголь_коэфф!$A:$B,2,1),(IQ14-0.05)))</f>
        <v>1</v>
      </c>
      <c r="IS14" s="102">
        <f t="shared" si="20"/>
        <v>1</v>
      </c>
      <c r="IT14" s="102">
        <f t="shared" si="7"/>
        <v>1</v>
      </c>
      <c r="IU14" s="110"/>
    </row>
    <row r="15" spans="1:266" ht="14.6" customHeight="1">
      <c r="A15" t="s">
        <v>243</v>
      </c>
      <c r="B15" s="105">
        <v>1</v>
      </c>
      <c r="C15" s="127" t="s">
        <v>16</v>
      </c>
      <c r="D15" s="128">
        <v>16104</v>
      </c>
      <c r="E15" s="128" t="s">
        <v>88</v>
      </c>
      <c r="F15" s="127" t="s">
        <v>78</v>
      </c>
      <c r="G15" s="127" t="s">
        <v>45</v>
      </c>
      <c r="H15" s="128" t="s">
        <v>30</v>
      </c>
      <c r="I15" s="128" t="s">
        <v>93</v>
      </c>
      <c r="J15" s="128" t="s">
        <v>53</v>
      </c>
      <c r="K15" s="128">
        <v>4245</v>
      </c>
      <c r="L15" s="128" t="s">
        <v>22</v>
      </c>
      <c r="M15" s="128" t="s">
        <v>23</v>
      </c>
      <c r="N15" s="128" t="s">
        <v>24</v>
      </c>
      <c r="O15" s="128" t="s">
        <v>33</v>
      </c>
      <c r="P15" s="107">
        <v>57775656</v>
      </c>
      <c r="Q15" s="129" t="s">
        <v>91</v>
      </c>
      <c r="R15" s="128" t="s">
        <v>92</v>
      </c>
      <c r="S15" s="131">
        <v>51530</v>
      </c>
      <c r="T15" s="130">
        <v>218745519</v>
      </c>
      <c r="U15" s="130">
        <v>725</v>
      </c>
      <c r="V15" s="130"/>
      <c r="W15" s="132">
        <v>99074483</v>
      </c>
      <c r="X15" s="104">
        <v>69</v>
      </c>
      <c r="Y15" s="104" t="s">
        <v>163</v>
      </c>
      <c r="Z15" s="107">
        <v>11</v>
      </c>
      <c r="AA15" s="107">
        <v>12</v>
      </c>
      <c r="AB15" s="107">
        <v>4</v>
      </c>
      <c r="AC15" s="88">
        <v>2093.25</v>
      </c>
      <c r="AD15" s="88">
        <v>945.01000000000022</v>
      </c>
      <c r="AE15" s="88">
        <f t="shared" si="23"/>
        <v>3038.26</v>
      </c>
      <c r="AF15" s="89">
        <f>'Цены,перевалка,аренда'!$C$27*SUM(Уголь_эластика_экспорт!Z15+Уголь_эластика_экспорт!AA15+Уголь_эластика_экспорт!AB15)/Уголь_эластика_экспорт!X15</f>
        <v>273.91304347826087</v>
      </c>
      <c r="AG15" s="90">
        <f>SUMIF('Цены,перевалка,аренда'!$A$20:$A$22,Уголь_эластика_экспорт!$O15,'Цены,перевалка,аренда'!$D$20:$D$22)</f>
        <v>610.44399999999996</v>
      </c>
      <c r="AH15" s="47"/>
      <c r="AI15" s="91">
        <v>3876</v>
      </c>
      <c r="AJ15" s="92">
        <f>SUMIF('Цены,перевалка,аренда'!$A$5:$A$17,Уголь_эластика_экспорт!A15,'Цены,перевалка,аренда'!$D$5:$D$17)</f>
        <v>8431.7577499999989</v>
      </c>
      <c r="AK15" s="47">
        <f>AJ15/'Цены,перевалка,аренда'!$C$1</f>
        <v>110.49999999999999</v>
      </c>
      <c r="AL15" s="47">
        <f t="shared" si="9"/>
        <v>3922.6170434782612</v>
      </c>
      <c r="AM15" s="47">
        <f t="shared" si="10"/>
        <v>4509.1407065217372</v>
      </c>
      <c r="AN15" s="47">
        <f t="shared" si="11"/>
        <v>7798.6170434782607</v>
      </c>
      <c r="AO15" s="93">
        <f t="shared" si="12"/>
        <v>7.5090002024991553E-2</v>
      </c>
      <c r="AP15" s="94">
        <f t="shared" si="13"/>
        <v>0.46521937178262285</v>
      </c>
      <c r="AQ15" s="94">
        <f t="shared" si="5"/>
        <v>0.36033530493686217</v>
      </c>
      <c r="AR15" s="94">
        <f t="shared" si="6"/>
        <v>0.77454922729492748</v>
      </c>
      <c r="AS15" s="167">
        <f t="shared" si="14"/>
        <v>1</v>
      </c>
      <c r="AT15" s="173">
        <f t="shared" si="15"/>
        <v>51530</v>
      </c>
      <c r="AU15" s="97">
        <v>1</v>
      </c>
      <c r="AV15" s="93">
        <f t="shared" si="16"/>
        <v>3.1849765432568011E-2</v>
      </c>
      <c r="AW15" s="94">
        <f t="shared" si="17"/>
        <v>0.50845960837504633</v>
      </c>
      <c r="AX15" s="94">
        <f t="shared" si="18"/>
        <v>0.40357554152928565</v>
      </c>
      <c r="AY15" s="94">
        <f t="shared" si="19"/>
        <v>0.79372192969083022</v>
      </c>
      <c r="AZ15" s="102">
        <f>MIN(IF($AU15=100%,1,1+VLOOKUP(($AJ15-$AI15-$AH15-$AG15-$AF15-$AE15*(1+AZ$3))/$AJ15,Уголь_коэфф!$A:$B,2,1)-VLOOKUP($AO15,Уголь_коэфф!$A:$B,2,1)),1+(1-$AU15))</f>
        <v>1</v>
      </c>
      <c r="BA15" s="102">
        <f>MIN(IF($AU15=100%,1,1+VLOOKUP(($AJ15-$AI15-$AH15-$AG15-$AF15-$AE15*(1+BA$3))/$AJ15,Уголь_коэфф!$A:$B,2,1)-VLOOKUP($AO15,Уголь_коэфф!$A:$B,2,1)),1+(1-$AU15))</f>
        <v>1</v>
      </c>
      <c r="BB15" s="102">
        <f>MIN(IF($AU15=100%,1,1+VLOOKUP(($AJ15-$AI15-$AH15-$AG15-$AF15-$AE15*(1+BB$3))/$AJ15,Уголь_коэфф!$A:$B,2,1)-VLOOKUP($AO15,Уголь_коэфф!$A:$B,2,1)),1+(1-$AU15))</f>
        <v>1</v>
      </c>
      <c r="BC15" s="102">
        <f>MIN(IF($AU15=100%,1,1+VLOOKUP(($AJ15-$AI15-$AH15-$AG15-$AF15-$AE15*(1+BC$3))/$AJ15,Уголь_коэфф!$A:$B,2,1)-VLOOKUP($AO15,Уголь_коэфф!$A:$B,2,1)),1+(1-$AU15))</f>
        <v>1</v>
      </c>
      <c r="BD15" s="102">
        <f>MIN(IF($AU15=100%,1,1+VLOOKUP(($AJ15-$AI15-$AH15-$AG15-$AF15-$AE15*(1+BD$3))/$AJ15,Уголь_коэфф!$A:$B,2,1)-VLOOKUP($AO15,Уголь_коэфф!$A:$B,2,1)),1+(1-$AU15))</f>
        <v>1</v>
      </c>
      <c r="BE15" s="102">
        <f>MIN(IF($AU15=100%,1,1+VLOOKUP(($AJ15-$AI15-$AH15-$AG15-$AF15-$AE15*(1+BE$3))/$AJ15,Уголь_коэфф!$A:$B,2,1)-VLOOKUP($AO15,Уголь_коэфф!$A:$B,2,1)),1+(1-$AU15))</f>
        <v>1</v>
      </c>
      <c r="BF15" s="102">
        <f>MIN(IF($AU15=100%,1,1+VLOOKUP(($AJ15-$AI15-$AH15-$AG15-$AF15-$AE15*(1+BF$3))/$AJ15,Уголь_коэфф!$A:$B,2,1)-VLOOKUP($AO15,Уголь_коэфф!$A:$B,2,1)),1+(1-$AU15))</f>
        <v>1</v>
      </c>
      <c r="BG15" s="102">
        <f>MIN(IF($AU15=100%,1,1+VLOOKUP(($AJ15-$AI15-$AH15-$AG15-$AF15-$AE15*(1+BG$3))/$AJ15,Уголь_коэфф!$A:$B,2,1)-VLOOKUP($AO15,Уголь_коэфф!$A:$B,2,1)),1+(1-$AU15))</f>
        <v>1</v>
      </c>
      <c r="BH15" s="102">
        <f>MIN(IF($AU15=100%,1,1+VLOOKUP(($AJ15-$AI15-$AH15-$AG15-$AF15-$AE15*(1+BH$3))/$AJ15,Уголь_коэфф!$A:$B,2,1)-VLOOKUP($AO15,Уголь_коэфф!$A:$B,2,1)),1+(1-$AU15))</f>
        <v>1</v>
      </c>
      <c r="BI15" s="102">
        <f>MIN(IF($AU15=100%,1,1+VLOOKUP(($AJ15-$AI15-$AH15-$AG15-$AF15-$AE15*(1+BI$3))/$AJ15,Уголь_коэфф!$A:$B,2,1)-VLOOKUP($AO15,Уголь_коэфф!$A:$B,2,1)),1+(1-$AU15))</f>
        <v>1</v>
      </c>
      <c r="BJ15" s="102">
        <f>MIN(IF($AU15=100%,1,1+VLOOKUP(($AJ15-$AI15-$AH15-$AG15-$AF15-$AE15*(1+BJ$3))/$AJ15,Уголь_коэфф!$A:$B,2,1)-VLOOKUP($AO15,Уголь_коэфф!$A:$B,2,1)),1+(1-$AU15))</f>
        <v>1</v>
      </c>
      <c r="BK15" s="102">
        <f>MIN(IF($AU15=100%,1,1+VLOOKUP(($AJ15-$AI15-$AH15-$AG15-$AF15-$AE15*(1+BK$3))/$AJ15,Уголь_коэфф!$A:$B,2,1)-VLOOKUP($AO15,Уголь_коэфф!$A:$B,2,1)),1+(1-$AU15))</f>
        <v>1</v>
      </c>
      <c r="BL15" s="102">
        <f>MIN(IF($AU15=100%,1,1+VLOOKUP(($AJ15-$AI15-$AH15-$AG15-$AF15-$AE15*(1+BL$3))/$AJ15,Уголь_коэфф!$A:$B,2,1)-VLOOKUP($AO15,Уголь_коэфф!$A:$B,2,1)),1+(1-$AU15))</f>
        <v>1</v>
      </c>
      <c r="BM15" s="102">
        <f>MIN(IF($AU15=100%,1,1+VLOOKUP(($AJ15-$AI15-$AH15-$AG15-$AF15-$AE15*(1+BM$3))/$AJ15,Уголь_коэфф!$A:$B,2,1)-VLOOKUP($AO15,Уголь_коэфф!$A:$B,2,1)),1+(1-$AU15))</f>
        <v>1</v>
      </c>
      <c r="BN15" s="102">
        <f>MIN(IF($AU15=100%,1,1+VLOOKUP(($AJ15-$AI15-$AH15-$AG15-$AF15-$AE15*(1+BN$3))/$AJ15,Уголь_коэфф!$A:$B,2,1)-VLOOKUP($AO15,Уголь_коэфф!$A:$B,2,1)),1+(1-$AU15))</f>
        <v>1</v>
      </c>
      <c r="BO15" s="102">
        <f>MIN(IF($AU15=100%,1,1+VLOOKUP(($AJ15-$AI15-$AH15-$AG15-$AF15-$AE15*(1+BO$3))/$AJ15,Уголь_коэфф!$A:$B,2,1)-VLOOKUP($AO15,Уголь_коэфф!$A:$B,2,1)),1+(1-$AU15))</f>
        <v>1</v>
      </c>
      <c r="BP15" s="102">
        <f>MIN(IF($AU15=100%,1,1+VLOOKUP(($AJ15-$AI15-$AH15-$AG15-$AF15-$AE15*(1+BP$3))/$AJ15,Уголь_коэфф!$A:$B,2,1)-VLOOKUP($AO15,Уголь_коэфф!$A:$B,2,1)),1+(1-$AU15))</f>
        <v>1</v>
      </c>
      <c r="BQ15" s="102">
        <f>MIN(IF($AU15=100%,1,1+VLOOKUP(($AJ15-$AI15-$AH15-$AG15-$AF15-$AE15*(1+BQ$3))/$AJ15,Уголь_коэфф!$A:$B,2,1)-VLOOKUP($AO15,Уголь_коэфф!$A:$B,2,1)),1+(1-$AU15))</f>
        <v>1</v>
      </c>
      <c r="BR15" s="102">
        <f>MIN(IF($AU15=100%,1,1+VLOOKUP(($AJ15-$AI15-$AH15-$AG15-$AF15-$AE15*(1+BR$3))/$AJ15,Уголь_коэфф!$A:$B,2,1)-VLOOKUP($AO15,Уголь_коэфф!$A:$B,2,1)),1+(1-$AU15))</f>
        <v>1</v>
      </c>
      <c r="BS15" s="102">
        <f>MIN(IF($AU15=100%,1,1+VLOOKUP(($AJ15-$AI15-$AH15-$AG15-$AF15-$AE15*(1+BS$3))/$AJ15,Уголь_коэфф!$A:$B,2,1)-VLOOKUP($AO15,Уголь_коэфф!$A:$B,2,1)),1+(1-$AU15))</f>
        <v>1</v>
      </c>
      <c r="BT15" s="102">
        <f>MIN(IF($AU15=100%,1,1+VLOOKUP(($AJ15-$AI15-$AH15-$AG15-$AF15-$AE15*(1+BT$3))/$AJ15,Уголь_коэфф!$A:$B,2,1)-VLOOKUP($AO15,Уголь_коэфф!$A:$B,2,1)),1+(1-$AU15))</f>
        <v>1</v>
      </c>
      <c r="BU15" s="102">
        <f>MIN(IF($AU15=100%,1,1+VLOOKUP(($AJ15-$AI15-$AH15-$AG15-$AF15-$AE15*(1+BU$3))/$AJ15,Уголь_коэфф!$A:$B,2,1)-VLOOKUP($AO15,Уголь_коэфф!$A:$B,2,1)),1+(1-$AU15))</f>
        <v>1</v>
      </c>
      <c r="BV15" s="102">
        <f>MIN(IF($AU15=100%,1,1+VLOOKUP(($AJ15-$AI15-$AH15-$AG15-$AF15-$AE15*(1+BV$3))/$AJ15,Уголь_коэфф!$A:$B,2,1)-VLOOKUP($AO15,Уголь_коэфф!$A:$B,2,1)),1+(1-$AU15))</f>
        <v>1</v>
      </c>
      <c r="BW15" s="102">
        <f>MIN(IF($AU15=100%,1,1+VLOOKUP(($AJ15-$AI15-$AH15-$AG15-$AF15-$AE15*(1+BW$3))/$AJ15,Уголь_коэфф!$A:$B,2,1)-VLOOKUP($AO15,Уголь_коэфф!$A:$B,2,1)),1+(1-$AU15))</f>
        <v>1</v>
      </c>
      <c r="BX15" s="102">
        <f>MIN(IF($AU15=100%,1,1+VLOOKUP(($AJ15-$AI15-$AH15-$AG15-$AF15-$AE15*(1+BX$3))/$AJ15,Уголь_коэфф!$A:$B,2,1)-VLOOKUP($AO15,Уголь_коэфф!$A:$B,2,1)),1+(1-$AU15))</f>
        <v>1</v>
      </c>
      <c r="BY15" s="102">
        <f>MIN(IF($AU15=100%,1,1+VLOOKUP(($AJ15-$AI15-$AH15-$AG15-$AF15-$AE15*(1+BY$3))/$AJ15,Уголь_коэфф!$A:$B,2,1)-VLOOKUP($AO15,Уголь_коэфф!$A:$B,2,1)),1+(1-$AU15))</f>
        <v>1</v>
      </c>
      <c r="BZ15" s="102">
        <f>MIN(IF($AU15=100%,1,1+VLOOKUP(($AJ15-$AI15-$AH15-$AG15-$AF15-$AE15*(1+BZ$3))/$AJ15,Уголь_коэфф!$A:$B,2,1)-VLOOKUP($AO15,Уголь_коэфф!$A:$B,2,1)),1+(1-$AU15))</f>
        <v>1</v>
      </c>
      <c r="CA15" s="102">
        <f>MIN(IF($AU15=100%,1,1+VLOOKUP(($AJ15-$AI15-$AH15-$AG15-$AF15-$AE15*(1+CA$3))/$AJ15,Уголь_коэфф!$A:$B,2,1)-VLOOKUP($AO15,Уголь_коэфф!$A:$B,2,1)),1+(1-$AU15))</f>
        <v>1</v>
      </c>
      <c r="CB15" s="102">
        <f>MIN(IF($AU15=100%,1,1+VLOOKUP(($AJ15-$AI15-$AH15-$AG15-$AF15-$AE15*(1+CB$3))/$AJ15,Уголь_коэфф!$A:$B,2,1)-VLOOKUP($AO15,Уголь_коэфф!$A:$B,2,1)),1+(1-$AU15))</f>
        <v>1</v>
      </c>
      <c r="CC15" s="102">
        <f>MIN(IF($AU15=100%,1,1+VLOOKUP(($AJ15-$AI15-$AH15-$AG15-$AF15-$AE15*(1+CC$3))/$AJ15,Уголь_коэфф!$A:$B,2,1)-VLOOKUP($AO15,Уголь_коэфф!$A:$B,2,1)),1+(1-$AU15))</f>
        <v>1</v>
      </c>
      <c r="CD15" s="102">
        <f>MIN(IF($AU15=100%,1,1+VLOOKUP(($AJ15-$AI15-$AH15-$AG15-$AF15-$AE15*(1+CD$3))/$AJ15,Уголь_коэфф!$A:$B,2,1)-VLOOKUP($AO15,Уголь_коэфф!$A:$B,2,1)),1+(1-$AU15))</f>
        <v>1</v>
      </c>
      <c r="CE15" s="102">
        <f>MIN(IF($AU15=100%,1,1+VLOOKUP(($AJ15-$AI15-$AH15-$AG15-$AF15-$AE15*(1+CE$3))/$AJ15,Уголь_коэфф!$A:$B,2,1)-VLOOKUP($AO15,Уголь_коэфф!$A:$B,2,1)),1+(1-$AU15))</f>
        <v>1</v>
      </c>
      <c r="CF15" s="102">
        <f>MIN(IF($AU15=100%,1,1+VLOOKUP(($AJ15-$AI15-$AH15-$AG15-$AF15-$AE15*(1+CF$3))/$AJ15,Уголь_коэфф!$A:$B,2,1)-VLOOKUP($AO15,Уголь_коэфф!$A:$B,2,1)),1+(1-$AU15))</f>
        <v>1</v>
      </c>
      <c r="CG15" s="102">
        <f>MIN(IF($AU15=100%,1,1+VLOOKUP(($AJ15-$AI15-$AH15-$AG15-$AF15-$AE15*(1+CG$3))/$AJ15,Уголь_коэфф!$A:$B,2,1)-VLOOKUP($AO15,Уголь_коэфф!$A:$B,2,1)),1+(1-$AU15))</f>
        <v>1</v>
      </c>
      <c r="CH15" s="102">
        <f>MIN(IF($AU15=100%,1,1+VLOOKUP(($AJ15-$AI15-$AH15-$AG15-$AF15-$AE15*(1+CH$3))/$AJ15,Уголь_коэфф!$A:$B,2,1)-VLOOKUP($AO15,Уголь_коэфф!$A:$B,2,1)),1+(1-$AU15))</f>
        <v>1</v>
      </c>
      <c r="CI15" s="102">
        <f>MIN(IF($AU15=100%,1,1+VLOOKUP(($AJ15-$AI15-$AH15-$AG15-$AF15-$AE15*(1+CI$3))/$AJ15,Уголь_коэфф!$A:$B,2,1)-VLOOKUP($AO15,Уголь_коэфф!$A:$B,2,1)),1+(1-$AU15))</f>
        <v>1</v>
      </c>
      <c r="CJ15" s="102">
        <f>MIN(IF($AU15=100%,1,1+VLOOKUP(($AJ15-$AI15-$AH15-$AG15-$AF15-$AE15*(1+CJ$3))/$AJ15,Уголь_коэфф!$A:$B,2,1)-VLOOKUP($AO15,Уголь_коэфф!$A:$B,2,1)),1+(1-$AU15))</f>
        <v>1</v>
      </c>
      <c r="CK15" s="102">
        <f>MIN(IF($AU15=100%,1,1+VLOOKUP(($AJ15-$AI15-$AH15-$AG15-$AF15-$AE15*(1+CK$3))/$AJ15,Уголь_коэфф!$A:$B,2,1)-VLOOKUP($AO15,Уголь_коэфф!$A:$B,2,1)),1+(1-$AU15))</f>
        <v>1</v>
      </c>
      <c r="CL15" s="102">
        <f>MIN(IF($AU15=100%,1,1+VLOOKUP(($AJ15-$AI15-$AH15-$AG15-$AF15-$AE15*(1+CL$3))/$AJ15,Уголь_коэфф!$A:$B,2,1)-VLOOKUP($AO15,Уголь_коэфф!$A:$B,2,1)),1+(1-$AU15))</f>
        <v>1</v>
      </c>
      <c r="CM15" s="102">
        <f>MIN(IF($AU15=100%,1,1+VLOOKUP(($AJ15-$AI15-$AH15-$AG15-$AF15-$AE15*(1+CM$3))/$AJ15,Уголь_коэфф!$A:$B,2,1)-VLOOKUP($AO15,Уголь_коэфф!$A:$B,2,1)),1+(1-$AU15))</f>
        <v>1</v>
      </c>
      <c r="CN15" s="102">
        <f>MIN(IF($AU15=100%,1,1+VLOOKUP(($AJ15-$AI15-$AH15-$AG15-$AF15-$AE15*(1+CN$3))/$AJ15,Уголь_коэфф!$A:$B,2,1)-VLOOKUP($AO15,Уголь_коэфф!$A:$B,2,1)),1+(1-$AU15))</f>
        <v>1</v>
      </c>
      <c r="CO15" s="102">
        <f>MIN(IF($AU15=100%,1,1+VLOOKUP(($AJ15-$AI15-$AH15-$AG15-$AF15-$AE15*(1+CO$3))/$AJ15,Уголь_коэфф!$A:$B,2,1)-VLOOKUP($AO15,Уголь_коэфф!$A:$B,2,1)),1+(1-$AU15))</f>
        <v>1</v>
      </c>
      <c r="CP15" s="102">
        <f>MIN(IF($AU15=100%,1,1+VLOOKUP(($AJ15-$AI15-$AH15-$AG15-$AF15-$AE15*(1+CP$3))/$AJ15,Уголь_коэфф!$A:$B,2,1)-VLOOKUP($AO15,Уголь_коэфф!$A:$B,2,1)),1+(1-$AU15))</f>
        <v>1</v>
      </c>
      <c r="CQ15" s="102">
        <f>MIN(IF($AU15=100%,1,1+VLOOKUP(($AJ15-$AI15-$AH15-$AG15-$AF15-$AE15*(1+CQ$3))/$AJ15,Уголь_коэфф!$A:$B,2,1)-VLOOKUP($AO15,Уголь_коэфф!$A:$B,2,1)),1+(1-$AU15))</f>
        <v>1</v>
      </c>
      <c r="CR15" s="102">
        <f>MIN(IF($AU15=100%,1,1+VLOOKUP(($AJ15-$AI15-$AH15-$AG15-$AF15-$AE15*(1+CR$3))/$AJ15,Уголь_коэфф!$A:$B,2,1)-VLOOKUP($AO15,Уголь_коэфф!$A:$B,2,1)),1+(1-$AU15))</f>
        <v>1</v>
      </c>
      <c r="CS15" s="102">
        <f>MIN(IF($AU15=100%,1,1+VLOOKUP(($AJ15-$AI15-$AH15-$AG15-$AF15-$AE15*(1+CS$3))/$AJ15,Уголь_коэфф!$A:$B,2,1)-VLOOKUP($AO15,Уголь_коэфф!$A:$B,2,1)),1+(1-$AU15))</f>
        <v>1</v>
      </c>
      <c r="CT15" s="102">
        <f>MIN(IF($AU15=100%,1,1+VLOOKUP(($AJ15-$AI15-$AH15-$AG15-$AF15-$AE15*(1+CT$3))/$AJ15,Уголь_коэфф!$A:$B,2,1)-VLOOKUP($AO15,Уголь_коэфф!$A:$B,2,1)),1+(1-$AU15))</f>
        <v>1</v>
      </c>
      <c r="CU15" s="102">
        <f>MIN(IF($AU15=100%,1,1+VLOOKUP(($AJ15-$AI15-$AH15-$AG15-$AF15-$AE15*(1+CU$3))/$AJ15,Уголь_коэфф!$A:$B,2,1)-VLOOKUP($AO15,Уголь_коэфф!$A:$B,2,1)),1+(1-$AU15))</f>
        <v>1</v>
      </c>
      <c r="CV15" s="102">
        <f>MIN(IF($AU15=100%,1,1+VLOOKUP(($AJ15-$AI15-$AH15-$AG15-$AF15-$AE15*(1+CV$3))/$AJ15,Уголь_коэфф!$A:$B,2,1)-VLOOKUP($AO15,Уголь_коэфф!$A:$B,2,1)),1+(1-$AU15))</f>
        <v>1</v>
      </c>
      <c r="CW15" s="102">
        <f>MIN(IF($AU15=100%,1,1+VLOOKUP(($AJ15-$AI15-$AH15-$AG15-$AF15-$AE15*(1+CW$3))/$AJ15,Уголь_коэфф!$A:$B,2,1)-VLOOKUP($AO15,Уголь_коэфф!$A:$B,2,1)),1+(1-$AU15))</f>
        <v>1</v>
      </c>
      <c r="CX15" s="102">
        <f>MIN(IF($AU15=100%,1,1+VLOOKUP(($AJ15-$AI15-$AH15-$AG15-$AF15-$AE15*(1+CX$3))/$AJ15,Уголь_коэфф!$A:$B,2,1)-VLOOKUP($AO15,Уголь_коэфф!$A:$B,2,1)),1+(1-$AU15))</f>
        <v>1</v>
      </c>
      <c r="CY15" s="102">
        <f>MIN(IF($AU15=100%,1,1+VLOOKUP(($AJ15-$AI15-$AH15-$AG15-$AF15-$AE15*(1+CY$3))/$AJ15,Уголь_коэфф!$A:$B,2,1)-VLOOKUP($AO15,Уголь_коэфф!$A:$B,2,1)),1+(1-$AU15))</f>
        <v>1</v>
      </c>
      <c r="CZ15" s="102">
        <f>MIN(IF($AU15=100%,1,1+VLOOKUP(($AJ15-$AI15-$AH15-$AG15-$AF15-$AE15*(1+CZ$3))/$AJ15,Уголь_коэфф!$A:$B,2,1)-VLOOKUP($AO15,Уголь_коэфф!$A:$B,2,1)),1+(1-$AU15))</f>
        <v>1</v>
      </c>
      <c r="DA15" s="102">
        <f>MIN(IF($AU15=100%,1,1+VLOOKUP(($AJ15-$AI15-$AH15-$AG15-$AF15-$AE15*(1+DA$3))/$AJ15,Уголь_коэфф!$A:$B,2,1)-VLOOKUP($AO15,Уголь_коэфф!$A:$B,2,1)),1+(1-$AU15))</f>
        <v>1</v>
      </c>
      <c r="DB15" s="102">
        <f>MIN(IF($AU15=100%,1,1+VLOOKUP(($AJ15-$AI15-$AH15-$AG15-$AF15-$AE15*(1+DB$3))/$AJ15,Уголь_коэфф!$A:$B,2,1)-VLOOKUP($AO15,Уголь_коэфф!$A:$B,2,1)),1+(1-$AU15))</f>
        <v>1</v>
      </c>
      <c r="DC15" s="102">
        <f>MIN(IF($AU15=100%,1,1+VLOOKUP(($AJ15-$AI15-$AH15-$AG15-$AF15-$AE15*(1+DC$3))/$AJ15,Уголь_коэфф!$A:$B,2,1)-VLOOKUP($AO15,Уголь_коэфф!$A:$B,2,1)),1+(1-$AU15))</f>
        <v>1</v>
      </c>
      <c r="DD15" s="102">
        <f>MIN(IF($AU15=100%,1,1+VLOOKUP(($AJ15-$AI15-$AH15-$AG15-$AF15-$AE15*(1+DD$3))/$AJ15,Уголь_коэфф!$A:$B,2,1)-VLOOKUP($AO15,Уголь_коэфф!$A:$B,2,1)),1+(1-$AU15))</f>
        <v>1</v>
      </c>
      <c r="DE15" s="102">
        <f>MIN(IF($AU15=100%,1,1+VLOOKUP(($AJ15-$AI15-$AH15-$AG15-$AF15-$AE15*(1+DE$3))/$AJ15,Уголь_коэфф!$A:$B,2,1)-VLOOKUP($AO15,Уголь_коэфф!$A:$B,2,1)),1+(1-$AU15))</f>
        <v>1</v>
      </c>
      <c r="DF15" s="102">
        <f>MIN(IF($AU15=100%,1,1+VLOOKUP(($AJ15-$AI15-$AH15-$AG15-$AF15-$AE15*(1+DF$3))/$AJ15,Уголь_коэфф!$A:$B,2,1)-VLOOKUP($AO15,Уголь_коэфф!$A:$B,2,1)),1+(1-$AU15))</f>
        <v>1</v>
      </c>
      <c r="DG15" s="102">
        <f>MIN(IF($AU15=100%,1,1+VLOOKUP(($AJ15-$AI15-$AH15-$AG15-$AF15-$AE15*(1+DG$3))/$AJ15,Уголь_коэфф!$A:$B,2,1)-VLOOKUP($AO15,Уголь_коэфф!$A:$B,2,1)),1+(1-$AU15))</f>
        <v>1</v>
      </c>
      <c r="DH15" s="102">
        <f>MIN(IF($AU15=100%,1,1+VLOOKUP(($AJ15-$AI15-$AH15-$AG15-$AF15-$AE15*(1+DH$3))/$AJ15,Уголь_коэфф!$A:$B,2,1)-VLOOKUP($AO15,Уголь_коэфф!$A:$B,2,1)),1+(1-$AU15))</f>
        <v>1</v>
      </c>
      <c r="DI15" s="102">
        <f>MIN(IF($AU15=100%,1,1+VLOOKUP(($AJ15-$AI15-$AH15-$AG15-$AF15-$AE15*(1+DI$3))/$AJ15,Уголь_коэфф!$A:$B,2,1)-VLOOKUP($AO15,Уголь_коэфф!$A:$B,2,1)),1+(1-$AU15))</f>
        <v>1</v>
      </c>
      <c r="DJ15" s="102">
        <f>MIN(IF($AU15=100%,1,1+VLOOKUP(($AJ15-$AI15-$AH15-$AG15-$AF15-$AE15*(1+DJ$3))/$AJ15,Уголь_коэфф!$A:$B,2,1)-VLOOKUP($AO15,Уголь_коэфф!$A:$B,2,1)),1+(1-$AU15))</f>
        <v>1</v>
      </c>
      <c r="DK15" s="102">
        <f>MIN(IF($AU15=100%,1,1+VLOOKUP(($AJ15-$AI15-$AH15-$AG15-$AF15-$AE15*(1+DK$3))/$AJ15,Уголь_коэфф!$A:$B,2,1)-VLOOKUP($AO15,Уголь_коэфф!$A:$B,2,1)),1+(1-$AU15))</f>
        <v>1</v>
      </c>
      <c r="DL15" s="102">
        <f>MIN(IF($AU15=100%,1,1+VLOOKUP(($AJ15-$AI15-$AH15-$AG15-$AF15-$AE15*(1+DL$3))/$AJ15,Уголь_коэфф!$A:$B,2,1)-VLOOKUP($AO15,Уголь_коэфф!$A:$B,2,1)),1+(1-$AU15))</f>
        <v>1</v>
      </c>
      <c r="DM15" s="102">
        <f>MIN(IF($AU15=100%,1,1+VLOOKUP(($AJ15-$AI15-$AH15-$AG15-$AF15-$AE15*(1+DM$3))/$AJ15,Уголь_коэфф!$A:$B,2,1)-VLOOKUP($AO15,Уголь_коэфф!$A:$B,2,1)),1+(1-$AU15))</f>
        <v>1</v>
      </c>
      <c r="DN15" s="102">
        <f>MIN(IF($AU15=100%,1,1+VLOOKUP(($AJ15-$AI15-$AH15-$AG15-$AF15-$AE15*(1+DN$3))/$AJ15,Уголь_коэфф!$A:$B,2,1)-VLOOKUP($AO15,Уголь_коэфф!$A:$B,2,1)),1+(1-$AU15))</f>
        <v>1</v>
      </c>
      <c r="DO15" s="102">
        <f>MIN(IF($AU15=100%,1,1+VLOOKUP(($AJ15-$AI15-$AH15-$AG15-$AF15-$AE15*(1+DO$3))/$AJ15,Уголь_коэфф!$A:$B,2,1)-VLOOKUP($AO15,Уголь_коэфф!$A:$B,2,1)),1+(1-$AU15))</f>
        <v>1</v>
      </c>
      <c r="DP15" s="102">
        <f>MIN(IF($AU15=100%,1,1+VLOOKUP(($AJ15-$AI15-$AH15-$AG15-$AF15-$AE15*(1+DP$3))/$AJ15,Уголь_коэфф!$A:$B,2,1)-VLOOKUP($AO15,Уголь_коэфф!$A:$B,2,1)),1+(1-$AU15))</f>
        <v>1</v>
      </c>
      <c r="DQ15" s="102">
        <f>MIN(IF($AU15=100%,1,1+VLOOKUP(($AJ15-$AI15-$AH15-$AG15-$AF15-$AE15*(1+DQ$3))/$AJ15,Уголь_коэфф!$A:$B,2,1)-VLOOKUP($AO15,Уголь_коэфф!$A:$B,2,1)),1+(1-$AU15))</f>
        <v>1</v>
      </c>
      <c r="DR15" s="102">
        <f>MIN(IF($AU15=100%,1,1+VLOOKUP(($AJ15-$AI15-$AH15-$AG15-$AF15-$AE15*(1+DR$3))/$AJ15,Уголь_коэфф!$A:$B,2,1)-VLOOKUP($AO15,Уголь_коэфф!$A:$B,2,1)),1+(1-$AU15))</f>
        <v>1</v>
      </c>
      <c r="DS15" s="102">
        <f>MIN(IF($AU15=100%,1,1+VLOOKUP(($AJ15-$AI15-$AH15-$AG15-$AF15-$AE15*(1+DS$3))/$AJ15,Уголь_коэфф!$A:$B,2,1)-VLOOKUP($AO15,Уголь_коэфф!$A:$B,2,1)),1+(1-$AU15))</f>
        <v>1</v>
      </c>
      <c r="DT15" s="102">
        <f>MIN(IF($AU15=100%,1,1+VLOOKUP(($AJ15-$AI15-$AH15-$AG15-$AF15-$AE15*(1+DT$3))/$AJ15,Уголь_коэфф!$A:$B,2,1)-VLOOKUP($AO15,Уголь_коэфф!$A:$B,2,1)),1+(1-$AU15))</f>
        <v>1</v>
      </c>
      <c r="DU15" s="102">
        <f>MIN(IF($AU15=100%,1,1+VLOOKUP(($AJ15-$AI15-$AH15-$AG15-$AF15-$AE15*(1+DU$3))/$AJ15,Уголь_коэфф!$A:$B,2,1)-VLOOKUP($AO15,Уголь_коэфф!$A:$B,2,1)),1+(1-$AU15))</f>
        <v>1</v>
      </c>
      <c r="DV15" s="102">
        <f>MIN(IF($AU15=100%,1,1+VLOOKUP(($AJ15-$AI15-$AH15-$AG15-$AF15-$AE15*(1+DV$3))/$AJ15,Уголь_коэфф!$A:$B,2,1)-VLOOKUP($AO15,Уголь_коэфф!$A:$B,2,1)),1+(1-$AU15))</f>
        <v>1</v>
      </c>
      <c r="DW15" s="102">
        <f>MIN(IF($AU15=100%,1,1+VLOOKUP(($AJ15-$AI15-$AH15-$AG15-$AF15-$AE15*(1+DW$3))/$AJ15,Уголь_коэфф!$A:$B,2,1)-VLOOKUP($AO15,Уголь_коэфф!$A:$B,2,1)),1+(1-$AU15))</f>
        <v>1</v>
      </c>
      <c r="DX15" s="102">
        <f>MIN(IF($AU15=100%,1,1+VLOOKUP(($AJ15-$AI15-$AH15-$AG15-$AF15-$AE15*(1+DX$3))/$AJ15,Уголь_коэфф!$A:$B,2,1)-VLOOKUP($AO15,Уголь_коэфф!$A:$B,2,1)),1+(1-$AU15))</f>
        <v>1</v>
      </c>
      <c r="DY15" s="102">
        <f>MIN(IF($AU15=100%,1,1+VLOOKUP(($AJ15-$AI15-$AH15-$AG15-$AF15-$AE15*(1+DY$3))/$AJ15,Уголь_коэфф!$A:$B,2,1)-VLOOKUP($AO15,Уголь_коэфф!$A:$B,2,1)),1+(1-$AU15))</f>
        <v>1</v>
      </c>
      <c r="DZ15" s="102">
        <f>MIN(IF($AU15=100%,1,1+VLOOKUP(($AJ15-$AI15-$AH15-$AG15-$AF15-$AE15*(1+DZ$3))/$AJ15,Уголь_коэфф!$A:$B,2,1)-VLOOKUP($AO15,Уголь_коэфф!$A:$B,2,1)),1+(1-$AU15))</f>
        <v>1</v>
      </c>
      <c r="EA15" s="102">
        <f>MIN(IF($AU15=100%,1,1+VLOOKUP(($AJ15-$AI15-$AH15-$AG15-$AF15-$AE15*(1+EA$3))/$AJ15,Уголь_коэфф!$A:$B,2,1)-VLOOKUP($AO15,Уголь_коэфф!$A:$B,2,1)),1+(1-$AU15))</f>
        <v>1</v>
      </c>
      <c r="EB15" s="102">
        <f>MIN(IF($AU15=100%,1,1+VLOOKUP(($AJ15-$AI15-$AH15-$AG15-$AF15-$AE15*(1+EB$3))/$AJ15,Уголь_коэфф!$A:$B,2,1)-VLOOKUP($AO15,Уголь_коэфф!$A:$B,2,1)),1+(1-$AU15))</f>
        <v>1</v>
      </c>
      <c r="EC15" s="102">
        <f>MIN(IF($AU15=100%,1,1+VLOOKUP(($AJ15-$AI15-$AH15-$AG15-$AF15-$AE15*(1+EC$3))/$AJ15,Уголь_коэфф!$A:$B,2,1)-VLOOKUP($AO15,Уголь_коэфф!$A:$B,2,1)),1+(1-$AU15))</f>
        <v>1</v>
      </c>
      <c r="ED15" s="102">
        <f>MIN(IF($AU15=100%,1,1+VLOOKUP(($AJ15-$AI15-$AH15-$AG15-$AF15-$AE15*(1+ED$3))/$AJ15,Уголь_коэфф!$A:$B,2,1)-VLOOKUP($AO15,Уголь_коэфф!$A:$B,2,1)),1+(1-$AU15))</f>
        <v>1</v>
      </c>
      <c r="EE15" s="102">
        <f>MIN(IF($AU15=100%,1,1+VLOOKUP(($AJ15-$AI15-$AH15-$AG15-$AF15-$AE15*(1+EE$3))/$AJ15,Уголь_коэфф!$A:$B,2,1)-VLOOKUP($AO15,Уголь_коэфф!$A:$B,2,1)),1+(1-$AU15))</f>
        <v>1</v>
      </c>
      <c r="EF15" s="102">
        <f>MIN(IF($AU15=100%,1,1+VLOOKUP(($AJ15-$AI15-$AH15-$AG15-$AF15-$AE15*(1+EF$3))/$AJ15,Уголь_коэфф!$A:$B,2,1)-VLOOKUP($AO15,Уголь_коэфф!$A:$B,2,1)),1+(1-$AU15))</f>
        <v>1</v>
      </c>
      <c r="EG15" s="102">
        <f>MIN(IF($AU15=100%,1,1+VLOOKUP(($AJ15-$AI15-$AH15-$AG15-$AF15-$AE15*(1+EG$3))/$AJ15,Уголь_коэфф!$A:$B,2,1)-VLOOKUP($AO15,Уголь_коэфф!$A:$B,2,1)),1+(1-$AU15))</f>
        <v>1</v>
      </c>
      <c r="EH15" s="102">
        <f>MIN(IF($AU15=100%,1,1+VLOOKUP(($AJ15-$AI15-$AH15-$AG15-$AF15-$AE15*(1+EH$3))/$AJ15,Уголь_коэфф!$A:$B,2,1)-VLOOKUP($AO15,Уголь_коэфф!$A:$B,2,1)),1+(1-$AU15))</f>
        <v>1</v>
      </c>
      <c r="EI15" s="102">
        <f>MIN(IF($AU15=100%,1,1+VLOOKUP(($AJ15-$AI15-$AH15-$AG15-$AF15-$AE15*(1+EI$3))/$AJ15,Уголь_коэфф!$A:$B,2,1)-VLOOKUP($AO15,Уголь_коэфф!$A:$B,2,1)),1+(1-$AU15))</f>
        <v>1</v>
      </c>
      <c r="EJ15" s="102">
        <f>MIN(IF($AU15=100%,1,1+VLOOKUP(($AJ15-$AI15-$AH15-$AG15-$AF15-$AE15*(1+EJ$3))/$AJ15,Уголь_коэфф!$A:$B,2,1)-VLOOKUP($AO15,Уголь_коэфф!$A:$B,2,1)),1+(1-$AU15))</f>
        <v>1</v>
      </c>
      <c r="EK15" s="102">
        <f>MIN(IF($AU15=100%,1,1+VLOOKUP(($AJ15-$AI15-$AH15-$AG15-$AF15-$AE15*(1+EK$3))/$AJ15,Уголь_коэфф!$A:$B,2,1)-VLOOKUP($AO15,Уголь_коэфф!$A:$B,2,1)),1+(1-$AU15))</f>
        <v>1</v>
      </c>
      <c r="EL15" s="102">
        <f>MIN(IF($AU15=100%,1,1+VLOOKUP(($AJ15-$AI15-$AH15-$AG15-$AF15-$AE15*(1+EL$3))/$AJ15,Уголь_коэфф!$A:$B,2,1)-VLOOKUP($AO15,Уголь_коэфф!$A:$B,2,1)),1+(1-$AU15))</f>
        <v>1</v>
      </c>
      <c r="EM15" s="102">
        <f>MIN(IF($AU15=100%,1,1+VLOOKUP(($AJ15-$AI15-$AH15-$AG15-$AF15-$AE15*(1+EM$3))/$AJ15,Уголь_коэфф!$A:$B,2,1)-VLOOKUP($AO15,Уголь_коэфф!$A:$B,2,1)),1+(1-$AU15))</f>
        <v>1</v>
      </c>
      <c r="EN15" s="102">
        <f>MIN(IF($AU15=100%,1,1+VLOOKUP(($AJ15-$AI15-$AH15-$AG15-$AF15-$AE15*(1+EN$3))/$AJ15,Уголь_коэфф!$A:$B,2,1)-VLOOKUP($AO15,Уголь_коэфф!$A:$B,2,1)),1+(1-$AU15))</f>
        <v>1</v>
      </c>
      <c r="EO15" s="102">
        <f>MIN(IF($AU15=100%,1,1+VLOOKUP(($AJ15-$AI15-$AH15-$AG15-$AF15-$AE15*(1+EO$3))/$AJ15,Уголь_коэфф!$A:$B,2,1)-VLOOKUP($AO15,Уголь_коэфф!$A:$B,2,1)),1+(1-$AU15))</f>
        <v>1</v>
      </c>
      <c r="EP15" s="102">
        <f>MIN(IF($AU15=100%,1,1+VLOOKUP(($AJ15-$AI15-$AH15-$AG15-$AF15-$AE15*(1+EP$3))/$AJ15,Уголь_коэфф!$A:$B,2,1)-VLOOKUP($AO15,Уголь_коэфф!$A:$B,2,1)),1+(1-$AU15))</f>
        <v>1</v>
      </c>
      <c r="EQ15" s="102">
        <f>MIN(IF($AU15=100%,1,1+VLOOKUP(($AJ15-$AI15-$AH15-$AG15-$AF15-$AE15*(1+EQ$3))/$AJ15,Уголь_коэфф!$A:$B,2,1)-VLOOKUP($AO15,Уголь_коэфф!$A:$B,2,1)),1+(1-$AU15))</f>
        <v>1</v>
      </c>
      <c r="ER15" s="102">
        <f>MIN(IF($AU15=100%,1,1+VLOOKUP(($AJ15-$AI15-$AH15-$AG15-$AF15-$AE15*(1+ER$3))/$AJ15,Уголь_коэфф!$A:$B,2,1)-VLOOKUP($AO15,Уголь_коэфф!$A:$B,2,1)),1+(1-$AU15))</f>
        <v>1</v>
      </c>
      <c r="ES15" s="102">
        <f>MIN(IF($AU15=100%,1,1+VLOOKUP(($AJ15-$AI15-$AH15-$AG15-$AF15-$AE15*(1+ES$3))/$AJ15,Уголь_коэфф!$A:$B,2,1)-VLOOKUP($AO15,Уголь_коэфф!$A:$B,2,1)),1+(1-$AU15))</f>
        <v>1</v>
      </c>
      <c r="ET15" s="102">
        <f>MIN(IF($AU15=100%,1,1+VLOOKUP(($AJ15-$AI15-$AH15-$AG15-$AF15-$AE15*(1+ET$3))/$AJ15,Уголь_коэфф!$A:$B,2,1)-VLOOKUP($AO15,Уголь_коэфф!$A:$B,2,1)),1+(1-$AU15))</f>
        <v>1</v>
      </c>
      <c r="EU15" s="102">
        <f>MIN(IF($AU15=100%,1,1+VLOOKUP(($AJ15-$AI15-$AH15-$AG15-$AF15-$AE15*(1+EU$3))/$AJ15,Уголь_коэфф!$A:$B,2,1)-VLOOKUP($AO15,Уголь_коэфф!$A:$B,2,1)),1+(1-$AU15))</f>
        <v>1</v>
      </c>
      <c r="EV15" s="103">
        <v>1</v>
      </c>
      <c r="EW15" s="102">
        <f>MIN(1,MAX(VLOOKUP(($AJ15-$AI15-$AH15-$AG15-$AF15-$AE15*(1+EW$3))/$AJ15,Уголь_коэфф!$A:$B,2,1),(EV15-0.05)))</f>
        <v>1</v>
      </c>
      <c r="EX15" s="102">
        <f>MIN(1,MAX(VLOOKUP(($AJ15-$AI15-$AH15-$AG15-$AF15-$AE15*(1+EX$3))/$AJ15,Уголь_коэфф!$A:$B,2,1),(EW15-0.05)))</f>
        <v>1</v>
      </c>
      <c r="EY15" s="102">
        <f>MIN(1,MAX(VLOOKUP(($AJ15-$AI15-$AH15-$AG15-$AF15-$AE15*(1+EY$3))/$AJ15,Уголь_коэфф!$A:$B,2,1),(EX15-0.05)))</f>
        <v>1</v>
      </c>
      <c r="EZ15" s="102">
        <f>MIN(1,MAX(VLOOKUP(($AJ15-$AI15-$AH15-$AG15-$AF15-$AE15*(1+EZ$3))/$AJ15,Уголь_коэфф!$A:$B,2,1),(EY15-0.05)))</f>
        <v>1</v>
      </c>
      <c r="FA15" s="102">
        <f>MIN(1,MAX(VLOOKUP(($AJ15-$AI15-$AH15-$AG15-$AF15-$AE15*(1+FA$3))/$AJ15,Уголь_коэфф!$A:$B,2,1),(EZ15-0.05)))</f>
        <v>1</v>
      </c>
      <c r="FB15" s="102">
        <f>MIN(1,MAX(VLOOKUP(($AJ15-$AI15-$AH15-$AG15-$AF15-$AE15*(1+FB$3))/$AJ15,Уголь_коэфф!$A:$B,2,1),(FA15-0.05)))</f>
        <v>1</v>
      </c>
      <c r="FC15" s="102">
        <f>MIN(1,MAX(VLOOKUP(($AJ15-$AI15-$AH15-$AG15-$AF15-$AE15*(1+FC$3))/$AJ15,Уголь_коэфф!$A:$B,2,1),(FB15-0.05)))</f>
        <v>1</v>
      </c>
      <c r="FD15" s="102">
        <f>MIN(1,MAX(VLOOKUP(($AJ15-$AI15-$AH15-$AG15-$AF15-$AE15*(1+FD$3))/$AJ15,Уголь_коэфф!$A:$B,2,1),(FC15-0.05)))</f>
        <v>1</v>
      </c>
      <c r="FE15" s="102">
        <f>MIN(1,MAX(VLOOKUP(($AJ15-$AI15-$AH15-$AG15-$AF15-$AE15*(1+FE$3))/$AJ15,Уголь_коэфф!$A:$B,2,1),(FD15-0.05)))</f>
        <v>1</v>
      </c>
      <c r="FF15" s="102">
        <f>MIN(1,MAX(VLOOKUP(($AJ15-$AI15-$AH15-$AG15-$AF15-$AE15*(1+FF$3))/$AJ15,Уголь_коэфф!$A:$B,2,1),(FE15-0.05)))</f>
        <v>1</v>
      </c>
      <c r="FG15" s="102">
        <f>MIN(1,MAX(VLOOKUP(($AJ15-$AI15-$AH15-$AG15-$AF15-$AE15*(1+FG$3))/$AJ15,Уголь_коэфф!$A:$B,2,1),(FF15-0.05)))</f>
        <v>1</v>
      </c>
      <c r="FH15" s="102">
        <f>MIN(1,MAX(VLOOKUP(($AJ15-$AI15-$AH15-$AG15-$AF15-$AE15*(1+FH$3))/$AJ15,Уголь_коэфф!$A:$B,2,1),(FG15-0.05)))</f>
        <v>1</v>
      </c>
      <c r="FI15" s="102">
        <f>MIN(1,MAX(VLOOKUP(($AJ15-$AI15-$AH15-$AG15-$AF15-$AE15*(1+FI$3))/$AJ15,Уголь_коэфф!$A:$B,2,1),(FH15-0.05)))</f>
        <v>1</v>
      </c>
      <c r="FJ15" s="102">
        <f>MIN(1,MAX(VLOOKUP(($AJ15-$AI15-$AH15-$AG15-$AF15-$AE15*(1+FJ$3))/$AJ15,Уголь_коэфф!$A:$B,2,1),(FI15-0.05)))</f>
        <v>1</v>
      </c>
      <c r="FK15" s="102">
        <f>MIN(1,MAX(VLOOKUP(($AJ15-$AI15-$AH15-$AG15-$AF15-$AE15*(1+FK$3))/$AJ15,Уголь_коэфф!$A:$B,2,1),(FJ15-0.05)))</f>
        <v>1</v>
      </c>
      <c r="FL15" s="102">
        <f>MIN(1,MAX(VLOOKUP(($AJ15-$AI15-$AH15-$AG15-$AF15-$AE15*(1+FL$3))/$AJ15,Уголь_коэфф!$A:$B,2,1),(FK15-0.05)))</f>
        <v>1</v>
      </c>
      <c r="FM15" s="102">
        <f>MIN(1,MAX(VLOOKUP(($AJ15-$AI15-$AH15-$AG15-$AF15-$AE15*(1+FM$3))/$AJ15,Уголь_коэфф!$A:$B,2,1),(FL15-0.05)))</f>
        <v>1</v>
      </c>
      <c r="FN15" s="102">
        <f>MIN(1,MAX(VLOOKUP(($AJ15-$AI15-$AH15-$AG15-$AF15-$AE15*(1+FN$3))/$AJ15,Уголь_коэфф!$A:$B,2,1),(FM15-0.05)))</f>
        <v>1</v>
      </c>
      <c r="FO15" s="102">
        <f>MIN(1,MAX(VLOOKUP(($AJ15-$AI15-$AH15-$AG15-$AF15-$AE15*(1+FO$3))/$AJ15,Уголь_коэфф!$A:$B,2,1),(FN15-0.05)))</f>
        <v>1</v>
      </c>
      <c r="FP15" s="102">
        <f>MIN(1,MAX(VLOOKUP(($AJ15-$AI15-$AH15-$AG15-$AF15-$AE15*(1+FP$3))/$AJ15,Уголь_коэфф!$A:$B,2,1),(FO15-0.05)))</f>
        <v>1</v>
      </c>
      <c r="FQ15" s="102">
        <f>MIN(1,MAX(VLOOKUP(($AJ15-$AI15-$AH15-$AG15-$AF15-$AE15*(1+FQ$3))/$AJ15,Уголь_коэфф!$A:$B,2,1),(FP15-0.05)))</f>
        <v>1</v>
      </c>
      <c r="FR15" s="102">
        <f>MIN(1,MAX(VLOOKUP(($AJ15-$AI15-$AH15-$AG15-$AF15-$AE15*(1+FR$3))/$AJ15,Уголь_коэфф!$A:$B,2,1),(FQ15-0.05)))</f>
        <v>1</v>
      </c>
      <c r="FS15" s="102">
        <f>MIN(1,MAX(VLOOKUP(($AJ15-$AI15-$AH15-$AG15-$AF15-$AE15*(1+FS$3))/$AJ15,Уголь_коэфф!$A:$B,2,1),(FR15-0.05)))</f>
        <v>1</v>
      </c>
      <c r="FT15" s="102">
        <f>MIN(1,MAX(VLOOKUP(($AJ15-$AI15-$AH15-$AG15-$AF15-$AE15*(1+FT$3))/$AJ15,Уголь_коэфф!$A:$B,2,1),(FS15-0.05)))</f>
        <v>1</v>
      </c>
      <c r="FU15" s="102">
        <f>MIN(1,MAX(VLOOKUP(($AJ15-$AI15-$AH15-$AG15-$AF15-$AE15*(1+FU$3))/$AJ15,Уголь_коэфф!$A:$B,2,1),(FT15-0.05)))</f>
        <v>1</v>
      </c>
      <c r="FV15" s="102">
        <f>MIN(1,MAX(VLOOKUP(($AJ15-$AI15-$AH15-$AG15-$AF15-$AE15*(1+FV$3))/$AJ15,Уголь_коэфф!$A:$B,2,1),(FU15-0.05)))</f>
        <v>1</v>
      </c>
      <c r="FW15" s="102">
        <f>MIN(1,MAX(VLOOKUP(($AJ15-$AI15-$AH15-$AG15-$AF15-$AE15*(1+FW$3))/$AJ15,Уголь_коэфф!$A:$B,2,1),(FV15-0.05)))</f>
        <v>1</v>
      </c>
      <c r="FX15" s="102">
        <f>MIN(1,MAX(VLOOKUP(($AJ15-$AI15-$AH15-$AG15-$AF15-$AE15*(1+FX$3))/$AJ15,Уголь_коэфф!$A:$B,2,1),(FW15-0.05)))</f>
        <v>1</v>
      </c>
      <c r="FY15" s="102">
        <f>MIN(1,MAX(VLOOKUP(($AJ15-$AI15-$AH15-$AG15-$AF15-$AE15*(1+FY$3))/$AJ15,Уголь_коэфф!$A:$B,2,1),(FX15-0.05)))</f>
        <v>1</v>
      </c>
      <c r="FZ15" s="102">
        <f>MIN(1,MAX(VLOOKUP(($AJ15-$AI15-$AH15-$AG15-$AF15-$AE15*(1+FZ$3))/$AJ15,Уголь_коэфф!$A:$B,2,1),(FY15-0.05)))</f>
        <v>1</v>
      </c>
      <c r="GA15" s="102">
        <f>MIN(1,MAX(VLOOKUP(($AJ15-$AI15-$AH15-$AG15-$AF15-$AE15*(1+GA$3))/$AJ15,Уголь_коэфф!$A:$B,2,1),(FZ15-0.05)))</f>
        <v>1</v>
      </c>
      <c r="GB15" s="102">
        <f>MIN(1,MAX(VLOOKUP(($AJ15-$AI15-$AH15-$AG15-$AF15-$AE15*(1+GB$3))/$AJ15,Уголь_коэфф!$A:$B,2,1),(GA15-0.05)))</f>
        <v>1</v>
      </c>
      <c r="GC15" s="102">
        <f>MIN(1,MAX(VLOOKUP(($AJ15-$AI15-$AH15-$AG15-$AF15-$AE15*(1+GC$3))/$AJ15,Уголь_коэфф!$A:$B,2,1),(GB15-0.05)))</f>
        <v>1</v>
      </c>
      <c r="GD15" s="102">
        <f>MIN(1,MAX(VLOOKUP(($AJ15-$AI15-$AH15-$AG15-$AF15-$AE15*(1+GD$3))/$AJ15,Уголь_коэфф!$A:$B,2,1),(GC15-0.05)))</f>
        <v>1</v>
      </c>
      <c r="GE15" s="102">
        <f>MIN(1,MAX(VLOOKUP(($AJ15-$AI15-$AH15-$AG15-$AF15-$AE15*(1+GE$3))/$AJ15,Уголь_коэфф!$A:$B,2,1),(GD15-0.05)))</f>
        <v>1</v>
      </c>
      <c r="GF15" s="102">
        <f>MIN(1,MAX(VLOOKUP(($AJ15-$AI15-$AH15-$AG15-$AF15-$AE15*(1+GF$3))/$AJ15,Уголь_коэфф!$A:$B,2,1),(GE15-0.05)))</f>
        <v>1</v>
      </c>
      <c r="GG15" s="102">
        <f>MIN(1,MAX(VLOOKUP(($AJ15-$AI15-$AH15-$AG15-$AF15-$AE15*(1+GG$3))/$AJ15,Уголь_коэфф!$A:$B,2,1),(GF15-0.05)))</f>
        <v>1</v>
      </c>
      <c r="GH15" s="102">
        <f>MIN(1,MAX(VLOOKUP(($AJ15-$AI15-$AH15-$AG15-$AF15-$AE15*(1+GH$3))/$AJ15,Уголь_коэфф!$A:$B,2,1),(GG15-0.05)))</f>
        <v>1</v>
      </c>
      <c r="GI15" s="102">
        <f>MIN(1,MAX(VLOOKUP(($AJ15-$AI15-$AH15-$AG15-$AF15-$AE15*(1+GI$3))/$AJ15,Уголь_коэфф!$A:$B,2,1),(GH15-0.05)))</f>
        <v>1</v>
      </c>
      <c r="GJ15" s="102">
        <f>MIN(1,MAX(VLOOKUP(($AJ15-$AI15-$AH15-$AG15-$AF15-$AE15*(1+GJ$3))/$AJ15,Уголь_коэфф!$A:$B,2,1),(GI15-0.05)))</f>
        <v>1</v>
      </c>
      <c r="GK15" s="102">
        <f>MIN(1,MAX(VLOOKUP(($AJ15-$AI15-$AH15-$AG15-$AF15-$AE15*(1+GK$3))/$AJ15,Уголь_коэфф!$A:$B,2,1),(GJ15-0.05)))</f>
        <v>1</v>
      </c>
      <c r="GL15" s="102">
        <f>MIN(1,MAX(VLOOKUP(($AJ15-$AI15-$AH15-$AG15-$AF15-$AE15*(1+GL$3))/$AJ15,Уголь_коэфф!$A:$B,2,1),(GK15-0.05)))</f>
        <v>1</v>
      </c>
      <c r="GM15" s="102">
        <f>MIN(1,MAX(VLOOKUP(($AJ15-$AI15-$AH15-$AG15-$AF15-$AE15*(1+GM$3))/$AJ15,Уголь_коэфф!$A:$B,2,1),(GL15-0.05)))</f>
        <v>1</v>
      </c>
      <c r="GN15" s="102">
        <f>MIN(1,MAX(VLOOKUP(($AJ15-$AI15-$AH15-$AG15-$AF15-$AE15*(1+GN$3))/$AJ15,Уголь_коэфф!$A:$B,2,1),(GM15-0.05)))</f>
        <v>1</v>
      </c>
      <c r="GO15" s="102">
        <f>MIN(1,MAX(VLOOKUP(($AJ15-$AI15-$AH15-$AG15-$AF15-$AE15*(1+GO$3))/$AJ15,Уголь_коэфф!$A:$B,2,1),(GN15-0.05)))</f>
        <v>1</v>
      </c>
      <c r="GP15" s="102">
        <f>MIN(1,MAX(VLOOKUP(($AJ15-$AI15-$AH15-$AG15-$AF15-$AE15*(1+GP$3))/$AJ15,Уголь_коэфф!$A:$B,2,1),(GO15-0.05)))</f>
        <v>1</v>
      </c>
      <c r="GQ15" s="102">
        <f>MIN(1,MAX(VLOOKUP(($AJ15-$AI15-$AH15-$AG15-$AF15-$AE15*(1+GQ$3))/$AJ15,Уголь_коэфф!$A:$B,2,1),(GP15-0.05)))</f>
        <v>1</v>
      </c>
      <c r="GR15" s="102">
        <f>MIN(1,MAX(VLOOKUP(($AJ15-$AI15-$AH15-$AG15-$AF15-$AE15*(1+GR$3))/$AJ15,Уголь_коэфф!$A:$B,2,1),(GQ15-0.05)))</f>
        <v>1</v>
      </c>
      <c r="GS15" s="102">
        <f>MIN(1,MAX(VLOOKUP(($AJ15-$AI15-$AH15-$AG15-$AF15-$AE15*(1+GS$3))/$AJ15,Уголь_коэфф!$A:$B,2,1),(GR15-0.05)))</f>
        <v>1</v>
      </c>
      <c r="GT15" s="102">
        <f>MIN(1,MAX(VLOOKUP(($AJ15-$AI15-$AH15-$AG15-$AF15-$AE15*(1+GT$3))/$AJ15,Уголь_коэфф!$A:$B,2,1),(GS15-0.05)))</f>
        <v>1</v>
      </c>
      <c r="GU15" s="102">
        <f>MIN(1,MAX(VLOOKUP(($AJ15-$AI15-$AH15-$AG15-$AF15-$AE15*(1+GU$3))/$AJ15,Уголь_коэфф!$A:$B,2,1),(GT15-0.05)))</f>
        <v>1</v>
      </c>
      <c r="GV15" s="102">
        <f>MIN(1,MAX(VLOOKUP(($AJ15-$AI15-$AH15-$AG15-$AF15-$AE15*(1+GV$3))/$AJ15,Уголь_коэфф!$A:$B,2,1),(GU15-0.05)))</f>
        <v>1</v>
      </c>
      <c r="GW15" s="102">
        <f>MIN(1,MAX(VLOOKUP(($AJ15-$AI15-$AH15-$AG15-$AF15-$AE15*(1+GW$3))/$AJ15,Уголь_коэфф!$A:$B,2,1),(GV15-0.05)))</f>
        <v>0.995</v>
      </c>
      <c r="GX15" s="102">
        <f>MIN(1,MAX(VLOOKUP(($AJ15-$AI15-$AH15-$AG15-$AF15-$AE15*(1+GX$3))/$AJ15,Уголь_коэфф!$A:$B,2,1),(GW15-0.05)))</f>
        <v>0.995</v>
      </c>
      <c r="GY15" s="102">
        <f>MIN(1,MAX(VLOOKUP(($AJ15-$AI15-$AH15-$AG15-$AF15-$AE15*(1+GY$3))/$AJ15,Уголь_коэфф!$A:$B,2,1),(GX15-0.05)))</f>
        <v>0.995</v>
      </c>
      <c r="GZ15" s="102">
        <f>MIN(1,MAX(VLOOKUP(($AJ15-$AI15-$AH15-$AG15-$AF15-$AE15*(1+GZ$3))/$AJ15,Уголь_коэфф!$A:$B,2,1),(GY15-0.05)))</f>
        <v>0.995</v>
      </c>
      <c r="HA15" s="102">
        <f>MIN(1,MAX(VLOOKUP(($AJ15-$AI15-$AH15-$AG15-$AF15-$AE15*(1+HA$3))/$AJ15,Уголь_коэфф!$A:$B,2,1),(GZ15-0.05)))</f>
        <v>0.995</v>
      </c>
      <c r="HB15" s="102">
        <f>MIN(1,MAX(VLOOKUP(($AJ15-$AI15-$AH15-$AG15-$AF15-$AE15*(1+HB$3))/$AJ15,Уголь_коэфф!$A:$B,2,1),(HA15-0.05)))</f>
        <v>0.995</v>
      </c>
      <c r="HC15" s="102">
        <f>MIN(1,MAX(VLOOKUP(($AJ15-$AI15-$AH15-$AG15-$AF15-$AE15*(1+HC$3))/$AJ15,Уголь_коэфф!$A:$B,2,1),(HB15-0.05)))</f>
        <v>0.99</v>
      </c>
      <c r="HD15" s="102">
        <f>MIN(1,MAX(VLOOKUP(($AJ15-$AI15-$AH15-$AG15-$AF15-$AE15*(1+HD$3))/$AJ15,Уголь_коэфф!$A:$B,2,1),(HC15-0.05)))</f>
        <v>0.99</v>
      </c>
      <c r="HE15" s="102">
        <f>MIN(1,MAX(VLOOKUP(($AJ15-$AI15-$AH15-$AG15-$AF15-$AE15*(1+HE$3))/$AJ15,Уголь_коэфф!$A:$B,2,1),(HD15-0.05)))</f>
        <v>0.99</v>
      </c>
      <c r="HF15" s="102">
        <f>MIN(1,MAX(VLOOKUP(($AJ15-$AI15-$AH15-$AG15-$AF15-$AE15*(1+HF$3))/$AJ15,Уголь_коэфф!$A:$B,2,1),(HE15-0.05)))</f>
        <v>0.99</v>
      </c>
      <c r="HG15" s="102">
        <f>MIN(1,MAX(VLOOKUP(($AJ15-$AI15-$AH15-$AG15-$AF15-$AE15*(1+HG$3))/$AJ15,Уголь_коэфф!$A:$B,2,1),(HF15-0.05)))</f>
        <v>0.99</v>
      </c>
      <c r="HH15" s="102">
        <f>MIN(1,MAX(VLOOKUP(($AJ15-$AI15-$AH15-$AG15-$AF15-$AE15*(1+HH$3))/$AJ15,Уголь_коэфф!$A:$B,2,1),(HG15-0.05)))</f>
        <v>0.98499999999999999</v>
      </c>
      <c r="HI15" s="102">
        <f>MIN(1,MAX(VLOOKUP(($AJ15-$AI15-$AH15-$AG15-$AF15-$AE15*(1+HI$3))/$AJ15,Уголь_коэфф!$A:$B,2,1),(HH15-0.05)))</f>
        <v>0.98499999999999999</v>
      </c>
      <c r="HJ15" s="102">
        <f>MIN(1,MAX(VLOOKUP(($AJ15-$AI15-$AH15-$AG15-$AF15-$AE15*(1+HJ$3))/$AJ15,Уголь_коэфф!$A:$B,2,1),(HI15-0.05)))</f>
        <v>0.98499999999999999</v>
      </c>
      <c r="HK15" s="102">
        <f>MIN(1,MAX(VLOOKUP(($AJ15-$AI15-$AH15-$AG15-$AF15-$AE15*(1+HK$3))/$AJ15,Уголь_коэфф!$A:$B,2,1),(HJ15-0.05)))</f>
        <v>0.98499999999999999</v>
      </c>
      <c r="HL15" s="102">
        <f>MIN(1,MAX(VLOOKUP(($AJ15-$AI15-$AH15-$AG15-$AF15-$AE15*(1+HL$3))/$AJ15,Уголь_коэфф!$A:$B,2,1),(HK15-0.05)))</f>
        <v>0.98499999999999999</v>
      </c>
      <c r="HM15" s="102">
        <f>MIN(1,MAX(VLOOKUP(($AJ15-$AI15-$AH15-$AG15-$AF15-$AE15*(1+HM$3))/$AJ15,Уголь_коэфф!$A:$B,2,1),(HL15-0.05)))</f>
        <v>0.98499999999999999</v>
      </c>
      <c r="HN15" s="102">
        <f>MIN(1,MAX(VLOOKUP(($AJ15-$AI15-$AH15-$AG15-$AF15-$AE15*(1+HN$3))/$AJ15,Уголь_коэфф!$A:$B,2,1),(HM15-0.05)))</f>
        <v>0.98</v>
      </c>
      <c r="HO15" s="102">
        <f>MIN(1,MAX(VLOOKUP(($AJ15-$AI15-$AH15-$AG15-$AF15-$AE15*(1+HO$3))/$AJ15,Уголь_коэфф!$A:$B,2,1),(HN15-0.05)))</f>
        <v>0.98</v>
      </c>
      <c r="HP15" s="102">
        <f>MIN(1,MAX(VLOOKUP(($AJ15-$AI15-$AH15-$AG15-$AF15-$AE15*(1+HP$3))/$AJ15,Уголь_коэфф!$A:$B,2,1),(HO15-0.05)))</f>
        <v>0.98</v>
      </c>
      <c r="HQ15" s="102">
        <f>MIN(1,MAX(VLOOKUP(($AJ15-$AI15-$AH15-$AG15-$AF15-$AE15*(1+HQ$3))/$AJ15,Уголь_коэфф!$A:$B,2,1),(HP15-0.05)))</f>
        <v>0.98</v>
      </c>
      <c r="HR15" s="102">
        <f>MIN(1,MAX(VLOOKUP(($AJ15-$AI15-$AH15-$AG15-$AF15-$AE15*(1+HR$3))/$AJ15,Уголь_коэфф!$A:$B,2,1),(HQ15-0.05)))</f>
        <v>0.98</v>
      </c>
      <c r="HS15" s="102">
        <f>MIN(1,MAX(VLOOKUP(($AJ15-$AI15-$AH15-$AG15-$AF15-$AE15*(1+HS$3))/$AJ15,Уголь_коэфф!$A:$B,2,1),(HR15-0.05)))</f>
        <v>0.97499999999999998</v>
      </c>
      <c r="HT15" s="102">
        <f>MIN(1,MAX(VLOOKUP(($AJ15-$AI15-$AH15-$AG15-$AF15-$AE15*(1+HT$3))/$AJ15,Уголь_коэфф!$A:$B,2,1),(HS15-0.05)))</f>
        <v>0.97499999999999998</v>
      </c>
      <c r="HU15" s="102">
        <f>MIN(1,MAX(VLOOKUP(($AJ15-$AI15-$AH15-$AG15-$AF15-$AE15*(1+HU$3))/$AJ15,Уголь_коэфф!$A:$B,2,1),(HT15-0.05)))</f>
        <v>0.97499999999999998</v>
      </c>
      <c r="HV15" s="102">
        <f>MIN(1,MAX(VLOOKUP(($AJ15-$AI15-$AH15-$AG15-$AF15-$AE15*(1+HV$3))/$AJ15,Уголь_коэфф!$A:$B,2,1),(HU15-0.05)))</f>
        <v>0.97499999999999998</v>
      </c>
      <c r="HW15" s="102">
        <f>MIN(1,MAX(VLOOKUP(($AJ15-$AI15-$AH15-$AG15-$AF15-$AE15*(1+HW$3))/$AJ15,Уголь_коэфф!$A:$B,2,1),(HV15-0.05)))</f>
        <v>0.97499999999999998</v>
      </c>
      <c r="HX15" s="102">
        <f>MIN(1,MAX(VLOOKUP(($AJ15-$AI15-$AH15-$AG15-$AF15-$AE15*(1+HX$3))/$AJ15,Уголь_коэфф!$A:$B,2,1),(HW15-0.05)))</f>
        <v>0.97499999999999998</v>
      </c>
      <c r="HY15" s="102">
        <f>MIN(1,MAX(VLOOKUP(($AJ15-$AI15-$AH15-$AG15-$AF15-$AE15*(1+HY$3))/$AJ15,Уголь_коэфф!$A:$B,2,1),(HX15-0.05)))</f>
        <v>0.97</v>
      </c>
      <c r="HZ15" s="102">
        <f>MIN(1,MAX(VLOOKUP(($AJ15-$AI15-$AH15-$AG15-$AF15-$AE15*(1+HZ$3))/$AJ15,Уголь_коэфф!$A:$B,2,1),(HY15-0.05)))</f>
        <v>0.97</v>
      </c>
      <c r="IA15" s="102">
        <f>MIN(1,MAX(VLOOKUP(($AJ15-$AI15-$AH15-$AG15-$AF15-$AE15*(1+IA$3))/$AJ15,Уголь_коэфф!$A:$B,2,1),(HZ15-0.05)))</f>
        <v>0.97</v>
      </c>
      <c r="IB15" s="102">
        <f>MIN(1,MAX(VLOOKUP(($AJ15-$AI15-$AH15-$AG15-$AF15-$AE15*(1+IB$3))/$AJ15,Уголь_коэфф!$A:$B,2,1),(IA15-0.05)))</f>
        <v>0.97</v>
      </c>
      <c r="IC15" s="102">
        <f>MIN(1,MAX(VLOOKUP(($AJ15-$AI15-$AH15-$AG15-$AF15-$AE15*(1+IC$3))/$AJ15,Уголь_коэфф!$A:$B,2,1),(IB15-0.05)))</f>
        <v>0.97</v>
      </c>
      <c r="ID15" s="102">
        <f>MIN(1,MAX(VLOOKUP(($AJ15-$AI15-$AH15-$AG15-$AF15-$AE15*(1+ID$3))/$AJ15,Уголь_коэфф!$A:$B,2,1),(IC15-0.05)))</f>
        <v>0.97</v>
      </c>
      <c r="IE15" s="102">
        <f>MIN(1,MAX(VLOOKUP(($AJ15-$AI15-$AH15-$AG15-$AF15-$AE15*(1+IE$3))/$AJ15,Уголь_коэфф!$A:$B,2,1),(ID15-0.05)))</f>
        <v>0.96499999999999997</v>
      </c>
      <c r="IF15" s="102">
        <f>MIN(1,MAX(VLOOKUP(($AJ15-$AI15-$AH15-$AG15-$AF15-$AE15*(1+IF$3))/$AJ15,Уголь_коэфф!$A:$B,2,1),(IE15-0.05)))</f>
        <v>0.96499999999999997</v>
      </c>
      <c r="IG15" s="102">
        <f>MIN(1,MAX(VLOOKUP(($AJ15-$AI15-$AH15-$AG15-$AF15-$AE15*(1+IG$3))/$AJ15,Уголь_коэфф!$A:$B,2,1),(IF15-0.05)))</f>
        <v>0.96499999999999997</v>
      </c>
      <c r="IH15" s="102">
        <f>MIN(1,MAX(VLOOKUP(($AJ15-$AI15-$AH15-$AG15-$AF15-$AE15*(1+IH$3))/$AJ15,Уголь_коэфф!$A:$B,2,1),(IG15-0.05)))</f>
        <v>0.96499999999999997</v>
      </c>
      <c r="II15" s="102">
        <f>MIN(1,MAX(VLOOKUP(($AJ15-$AI15-$AH15-$AG15-$AF15-$AE15*(1+II$3))/$AJ15,Уголь_коэфф!$A:$B,2,1),(IH15-0.05)))</f>
        <v>0.96499999999999997</v>
      </c>
      <c r="IJ15" s="102">
        <f>MIN(1,MAX(VLOOKUP(($AJ15-$AI15-$AH15-$AG15-$AF15-$AE15*(1+IJ$3))/$AJ15,Уголь_коэфф!$A:$B,2,1),(II15-0.05)))</f>
        <v>0.96</v>
      </c>
      <c r="IK15" s="102">
        <f>MIN(1,MAX(VLOOKUP(($AJ15-$AI15-$AH15-$AG15-$AF15-$AE15*(1+IK$3))/$AJ15,Уголь_коэфф!$A:$B,2,1),(IJ15-0.05)))</f>
        <v>0.96</v>
      </c>
      <c r="IL15" s="102">
        <f>MIN(1,MAX(VLOOKUP(($AJ15-$AI15-$AH15-$AG15-$AF15-$AE15*(1+IL$3))/$AJ15,Уголь_коэфф!$A:$B,2,1),(IK15-0.05)))</f>
        <v>0.96</v>
      </c>
      <c r="IM15" s="102">
        <f>MIN(1,MAX(VLOOKUP(($AJ15-$AI15-$AH15-$AG15-$AF15-$AE15*(1+IM$3))/$AJ15,Уголь_коэфф!$A:$B,2,1),(IL15-0.05)))</f>
        <v>0.96</v>
      </c>
      <c r="IN15" s="102">
        <f>MIN(1,MAX(VLOOKUP(($AJ15-$AI15-$AH15-$AG15-$AF15-$AE15*(1+IN$3))/$AJ15,Уголь_коэфф!$A:$B,2,1),(IM15-0.05)))</f>
        <v>0.96</v>
      </c>
      <c r="IO15" s="102">
        <f>MIN(1,MAX(VLOOKUP(($AJ15-$AI15-$AH15-$AG15-$AF15-$AE15*(1+IO$3))/$AJ15,Уголь_коэфф!$A:$B,2,1),(IN15-0.05)))</f>
        <v>0.96</v>
      </c>
      <c r="IP15" s="102">
        <f>MIN(1,MAX(VLOOKUP(($AJ15-$AI15-$AH15-$AG15-$AF15-$AE15*(1+IP$3))/$AJ15,Уголь_коэфф!$A:$B,2,1),(IO15-0.05)))</f>
        <v>0.95499999999999996</v>
      </c>
      <c r="IQ15" s="102">
        <f>MIN(1,MAX(VLOOKUP(($AJ15-$AI15-$AH15-$AG15-$AF15-$AE15*(1+IQ$3))/$AJ15,Уголь_коэфф!$A:$B,2,1),(IP15-0.05)))</f>
        <v>0.95499999999999996</v>
      </c>
      <c r="IR15" s="102">
        <f>MIN(1,MAX(VLOOKUP(($AJ15-$AI15-$AH15-$AG15-$AF15-$AE15*(1+IR$3))/$AJ15,Уголь_коэфф!$A:$B,2,1),(IQ15-0.05)))</f>
        <v>0.95499999999999996</v>
      </c>
      <c r="IS15" s="102">
        <f t="shared" si="20"/>
        <v>1</v>
      </c>
      <c r="IT15" s="102">
        <f t="shared" si="7"/>
        <v>1</v>
      </c>
      <c r="IU15" s="110"/>
    </row>
    <row r="16" spans="1:266" ht="14.6" customHeight="1">
      <c r="A16" t="s">
        <v>244</v>
      </c>
      <c r="B16" s="105">
        <v>1</v>
      </c>
      <c r="C16" s="127" t="s">
        <v>16</v>
      </c>
      <c r="D16" s="128">
        <v>16104</v>
      </c>
      <c r="E16" s="128" t="s">
        <v>88</v>
      </c>
      <c r="F16" s="127" t="s">
        <v>78</v>
      </c>
      <c r="G16" s="127" t="s">
        <v>45</v>
      </c>
      <c r="H16" s="128" t="s">
        <v>34</v>
      </c>
      <c r="I16" s="128" t="s">
        <v>89</v>
      </c>
      <c r="J16" s="128" t="s">
        <v>55</v>
      </c>
      <c r="K16" s="128">
        <v>4677</v>
      </c>
      <c r="L16" s="128" t="s">
        <v>22</v>
      </c>
      <c r="M16" s="128" t="s">
        <v>23</v>
      </c>
      <c r="N16" s="128" t="s">
        <v>24</v>
      </c>
      <c r="O16" s="128" t="s">
        <v>36</v>
      </c>
      <c r="P16" s="107">
        <v>57775656</v>
      </c>
      <c r="Q16" s="129" t="s">
        <v>91</v>
      </c>
      <c r="R16" s="128" t="s">
        <v>92</v>
      </c>
      <c r="S16" s="131">
        <v>595825</v>
      </c>
      <c r="T16" s="130">
        <v>2786924496</v>
      </c>
      <c r="U16" s="130">
        <v>8202</v>
      </c>
      <c r="V16" s="130"/>
      <c r="W16" s="132">
        <v>1167689593</v>
      </c>
      <c r="X16" s="104">
        <v>75</v>
      </c>
      <c r="Y16" s="104" t="s">
        <v>163</v>
      </c>
      <c r="Z16" s="107">
        <v>11</v>
      </c>
      <c r="AA16" s="107">
        <v>12</v>
      </c>
      <c r="AB16" s="107">
        <v>4</v>
      </c>
      <c r="AC16" s="88">
        <v>2090.15</v>
      </c>
      <c r="AD16" s="88">
        <v>928.21</v>
      </c>
      <c r="AE16" s="88">
        <f t="shared" si="23"/>
        <v>3018.36</v>
      </c>
      <c r="AF16" s="89">
        <f>'Цены,перевалка,аренда'!$C$26*SUM(Уголь_эластика_экспорт!Z16+Уголь_эластика_экспорт!AA16+Уголь_эластика_экспорт!AB16)/Уголь_эластика_экспорт!X16</f>
        <v>360</v>
      </c>
      <c r="AG16" s="90">
        <f>SUMIF('Цены,перевалка,аренда'!$A$20:$A$22,Уголь_эластика_экспорт!$O16,'Цены,перевалка,аренда'!$D$20:$D$22)</f>
        <v>991.97149999999988</v>
      </c>
      <c r="AH16" s="47"/>
      <c r="AI16" s="91">
        <v>3876</v>
      </c>
      <c r="AJ16" s="92">
        <f>SUMIF('Цены,перевалка,аренда'!$A$5:$A$17,Уголь_эластика_экспорт!A16,'Цены,перевалка,аренда'!$D$5:$D$17)</f>
        <v>9080.3544999999995</v>
      </c>
      <c r="AK16" s="47">
        <f>AJ16/'Цены,перевалка,аренда'!$C$1</f>
        <v>119</v>
      </c>
      <c r="AL16" s="47">
        <f t="shared" si="9"/>
        <v>4370.3315000000002</v>
      </c>
      <c r="AM16" s="47">
        <f t="shared" si="10"/>
        <v>4710.0229999999992</v>
      </c>
      <c r="AN16" s="47">
        <f t="shared" si="11"/>
        <v>8246.3315000000002</v>
      </c>
      <c r="AO16" s="93">
        <f t="shared" si="12"/>
        <v>9.184916734253043E-2</v>
      </c>
      <c r="AP16" s="94">
        <f t="shared" si="13"/>
        <v>0.48129525119311151</v>
      </c>
      <c r="AQ16" s="94">
        <f t="shared" si="5"/>
        <v>0.33240552447594424</v>
      </c>
      <c r="AR16" s="94">
        <f t="shared" si="6"/>
        <v>0.69064783758394532</v>
      </c>
      <c r="AS16" s="167">
        <f t="shared" si="14"/>
        <v>1</v>
      </c>
      <c r="AT16" s="173">
        <f t="shared" si="15"/>
        <v>595825</v>
      </c>
      <c r="AU16" s="97">
        <v>1</v>
      </c>
      <c r="AV16" s="93">
        <f t="shared" si="16"/>
        <v>5.1960504405417135E-2</v>
      </c>
      <c r="AW16" s="94">
        <f t="shared" si="17"/>
        <v>0.5211839141302248</v>
      </c>
      <c r="AX16" s="94">
        <f t="shared" si="18"/>
        <v>0.37229418741305759</v>
      </c>
      <c r="AY16" s="94">
        <f t="shared" si="19"/>
        <v>0.71432401752912666</v>
      </c>
      <c r="AZ16" s="102">
        <f>MIN(IF($AU16=100%,1,1+VLOOKUP(($AJ16-$AI16-$AH16-$AG16-$AF16-$AE16*(1+AZ$3))/$AJ16,Уголь_коэфф!$A:$B,2,1)-VLOOKUP($AO16,Уголь_коэфф!$A:$B,2,1)),1+(1-$AU16))</f>
        <v>1</v>
      </c>
      <c r="BA16" s="102">
        <f>MIN(IF($AU16=100%,1,1+VLOOKUP(($AJ16-$AI16-$AH16-$AG16-$AF16-$AE16*(1+BA$3))/$AJ16,Уголь_коэфф!$A:$B,2,1)-VLOOKUP($AO16,Уголь_коэфф!$A:$B,2,1)),1+(1-$AU16))</f>
        <v>1</v>
      </c>
      <c r="BB16" s="102">
        <f>MIN(IF($AU16=100%,1,1+VLOOKUP(($AJ16-$AI16-$AH16-$AG16-$AF16-$AE16*(1+BB$3))/$AJ16,Уголь_коэфф!$A:$B,2,1)-VLOOKUP($AO16,Уголь_коэфф!$A:$B,2,1)),1+(1-$AU16))</f>
        <v>1</v>
      </c>
      <c r="BC16" s="102">
        <f>MIN(IF($AU16=100%,1,1+VLOOKUP(($AJ16-$AI16-$AH16-$AG16-$AF16-$AE16*(1+BC$3))/$AJ16,Уголь_коэфф!$A:$B,2,1)-VLOOKUP($AO16,Уголь_коэфф!$A:$B,2,1)),1+(1-$AU16))</f>
        <v>1</v>
      </c>
      <c r="BD16" s="102">
        <f>MIN(IF($AU16=100%,1,1+VLOOKUP(($AJ16-$AI16-$AH16-$AG16-$AF16-$AE16*(1+BD$3))/$AJ16,Уголь_коэфф!$A:$B,2,1)-VLOOKUP($AO16,Уголь_коэфф!$A:$B,2,1)),1+(1-$AU16))</f>
        <v>1</v>
      </c>
      <c r="BE16" s="102">
        <f>MIN(IF($AU16=100%,1,1+VLOOKUP(($AJ16-$AI16-$AH16-$AG16-$AF16-$AE16*(1+BE$3))/$AJ16,Уголь_коэфф!$A:$B,2,1)-VLOOKUP($AO16,Уголь_коэфф!$A:$B,2,1)),1+(1-$AU16))</f>
        <v>1</v>
      </c>
      <c r="BF16" s="102">
        <f>MIN(IF($AU16=100%,1,1+VLOOKUP(($AJ16-$AI16-$AH16-$AG16-$AF16-$AE16*(1+BF$3))/$AJ16,Уголь_коэфф!$A:$B,2,1)-VLOOKUP($AO16,Уголь_коэфф!$A:$B,2,1)),1+(1-$AU16))</f>
        <v>1</v>
      </c>
      <c r="BG16" s="102">
        <f>MIN(IF($AU16=100%,1,1+VLOOKUP(($AJ16-$AI16-$AH16-$AG16-$AF16-$AE16*(1+BG$3))/$AJ16,Уголь_коэфф!$A:$B,2,1)-VLOOKUP($AO16,Уголь_коэфф!$A:$B,2,1)),1+(1-$AU16))</f>
        <v>1</v>
      </c>
      <c r="BH16" s="102">
        <f>MIN(IF($AU16=100%,1,1+VLOOKUP(($AJ16-$AI16-$AH16-$AG16-$AF16-$AE16*(1+BH$3))/$AJ16,Уголь_коэфф!$A:$B,2,1)-VLOOKUP($AO16,Уголь_коэфф!$A:$B,2,1)),1+(1-$AU16))</f>
        <v>1</v>
      </c>
      <c r="BI16" s="102">
        <f>MIN(IF($AU16=100%,1,1+VLOOKUP(($AJ16-$AI16-$AH16-$AG16-$AF16-$AE16*(1+BI$3))/$AJ16,Уголь_коэфф!$A:$B,2,1)-VLOOKUP($AO16,Уголь_коэфф!$A:$B,2,1)),1+(1-$AU16))</f>
        <v>1</v>
      </c>
      <c r="BJ16" s="102">
        <f>MIN(IF($AU16=100%,1,1+VLOOKUP(($AJ16-$AI16-$AH16-$AG16-$AF16-$AE16*(1+BJ$3))/$AJ16,Уголь_коэфф!$A:$B,2,1)-VLOOKUP($AO16,Уголь_коэфф!$A:$B,2,1)),1+(1-$AU16))</f>
        <v>1</v>
      </c>
      <c r="BK16" s="102">
        <f>MIN(IF($AU16=100%,1,1+VLOOKUP(($AJ16-$AI16-$AH16-$AG16-$AF16-$AE16*(1+BK$3))/$AJ16,Уголь_коэфф!$A:$B,2,1)-VLOOKUP($AO16,Уголь_коэфф!$A:$B,2,1)),1+(1-$AU16))</f>
        <v>1</v>
      </c>
      <c r="BL16" s="102">
        <f>MIN(IF($AU16=100%,1,1+VLOOKUP(($AJ16-$AI16-$AH16-$AG16-$AF16-$AE16*(1+BL$3))/$AJ16,Уголь_коэфф!$A:$B,2,1)-VLOOKUP($AO16,Уголь_коэфф!$A:$B,2,1)),1+(1-$AU16))</f>
        <v>1</v>
      </c>
      <c r="BM16" s="102">
        <f>MIN(IF($AU16=100%,1,1+VLOOKUP(($AJ16-$AI16-$AH16-$AG16-$AF16-$AE16*(1+BM$3))/$AJ16,Уголь_коэфф!$A:$B,2,1)-VLOOKUP($AO16,Уголь_коэфф!$A:$B,2,1)),1+(1-$AU16))</f>
        <v>1</v>
      </c>
      <c r="BN16" s="102">
        <f>MIN(IF($AU16=100%,1,1+VLOOKUP(($AJ16-$AI16-$AH16-$AG16-$AF16-$AE16*(1+BN$3))/$AJ16,Уголь_коэфф!$A:$B,2,1)-VLOOKUP($AO16,Уголь_коэфф!$A:$B,2,1)),1+(1-$AU16))</f>
        <v>1</v>
      </c>
      <c r="BO16" s="102">
        <f>MIN(IF($AU16=100%,1,1+VLOOKUP(($AJ16-$AI16-$AH16-$AG16-$AF16-$AE16*(1+BO$3))/$AJ16,Уголь_коэфф!$A:$B,2,1)-VLOOKUP($AO16,Уголь_коэфф!$A:$B,2,1)),1+(1-$AU16))</f>
        <v>1</v>
      </c>
      <c r="BP16" s="102">
        <f>MIN(IF($AU16=100%,1,1+VLOOKUP(($AJ16-$AI16-$AH16-$AG16-$AF16-$AE16*(1+BP$3))/$AJ16,Уголь_коэфф!$A:$B,2,1)-VLOOKUP($AO16,Уголь_коэфф!$A:$B,2,1)),1+(1-$AU16))</f>
        <v>1</v>
      </c>
      <c r="BQ16" s="102">
        <f>MIN(IF($AU16=100%,1,1+VLOOKUP(($AJ16-$AI16-$AH16-$AG16-$AF16-$AE16*(1+BQ$3))/$AJ16,Уголь_коэфф!$A:$B,2,1)-VLOOKUP($AO16,Уголь_коэфф!$A:$B,2,1)),1+(1-$AU16))</f>
        <v>1</v>
      </c>
      <c r="BR16" s="102">
        <f>MIN(IF($AU16=100%,1,1+VLOOKUP(($AJ16-$AI16-$AH16-$AG16-$AF16-$AE16*(1+BR$3))/$AJ16,Уголь_коэфф!$A:$B,2,1)-VLOOKUP($AO16,Уголь_коэфф!$A:$B,2,1)),1+(1-$AU16))</f>
        <v>1</v>
      </c>
      <c r="BS16" s="102">
        <f>MIN(IF($AU16=100%,1,1+VLOOKUP(($AJ16-$AI16-$AH16-$AG16-$AF16-$AE16*(1+BS$3))/$AJ16,Уголь_коэфф!$A:$B,2,1)-VLOOKUP($AO16,Уголь_коэфф!$A:$B,2,1)),1+(1-$AU16))</f>
        <v>1</v>
      </c>
      <c r="BT16" s="102">
        <f>MIN(IF($AU16=100%,1,1+VLOOKUP(($AJ16-$AI16-$AH16-$AG16-$AF16-$AE16*(1+BT$3))/$AJ16,Уголь_коэфф!$A:$B,2,1)-VLOOKUP($AO16,Уголь_коэфф!$A:$B,2,1)),1+(1-$AU16))</f>
        <v>1</v>
      </c>
      <c r="BU16" s="102">
        <f>MIN(IF($AU16=100%,1,1+VLOOKUP(($AJ16-$AI16-$AH16-$AG16-$AF16-$AE16*(1+BU$3))/$AJ16,Уголь_коэфф!$A:$B,2,1)-VLOOKUP($AO16,Уголь_коэфф!$A:$B,2,1)),1+(1-$AU16))</f>
        <v>1</v>
      </c>
      <c r="BV16" s="102">
        <f>MIN(IF($AU16=100%,1,1+VLOOKUP(($AJ16-$AI16-$AH16-$AG16-$AF16-$AE16*(1+BV$3))/$AJ16,Уголь_коэфф!$A:$B,2,1)-VLOOKUP($AO16,Уголь_коэфф!$A:$B,2,1)),1+(1-$AU16))</f>
        <v>1</v>
      </c>
      <c r="BW16" s="102">
        <f>MIN(IF($AU16=100%,1,1+VLOOKUP(($AJ16-$AI16-$AH16-$AG16-$AF16-$AE16*(1+BW$3))/$AJ16,Уголь_коэфф!$A:$B,2,1)-VLOOKUP($AO16,Уголь_коэфф!$A:$B,2,1)),1+(1-$AU16))</f>
        <v>1</v>
      </c>
      <c r="BX16" s="102">
        <f>MIN(IF($AU16=100%,1,1+VLOOKUP(($AJ16-$AI16-$AH16-$AG16-$AF16-$AE16*(1+BX$3))/$AJ16,Уголь_коэфф!$A:$B,2,1)-VLOOKUP($AO16,Уголь_коэфф!$A:$B,2,1)),1+(1-$AU16))</f>
        <v>1</v>
      </c>
      <c r="BY16" s="102">
        <f>MIN(IF($AU16=100%,1,1+VLOOKUP(($AJ16-$AI16-$AH16-$AG16-$AF16-$AE16*(1+BY$3))/$AJ16,Уголь_коэфф!$A:$B,2,1)-VLOOKUP($AO16,Уголь_коэфф!$A:$B,2,1)),1+(1-$AU16))</f>
        <v>1</v>
      </c>
      <c r="BZ16" s="102">
        <f>MIN(IF($AU16=100%,1,1+VLOOKUP(($AJ16-$AI16-$AH16-$AG16-$AF16-$AE16*(1+BZ$3))/$AJ16,Уголь_коэфф!$A:$B,2,1)-VLOOKUP($AO16,Уголь_коэфф!$A:$B,2,1)),1+(1-$AU16))</f>
        <v>1</v>
      </c>
      <c r="CA16" s="102">
        <f>MIN(IF($AU16=100%,1,1+VLOOKUP(($AJ16-$AI16-$AH16-$AG16-$AF16-$AE16*(1+CA$3))/$AJ16,Уголь_коэфф!$A:$B,2,1)-VLOOKUP($AO16,Уголь_коэфф!$A:$B,2,1)),1+(1-$AU16))</f>
        <v>1</v>
      </c>
      <c r="CB16" s="102">
        <f>MIN(IF($AU16=100%,1,1+VLOOKUP(($AJ16-$AI16-$AH16-$AG16-$AF16-$AE16*(1+CB$3))/$AJ16,Уголь_коэфф!$A:$B,2,1)-VLOOKUP($AO16,Уголь_коэфф!$A:$B,2,1)),1+(1-$AU16))</f>
        <v>1</v>
      </c>
      <c r="CC16" s="102">
        <f>MIN(IF($AU16=100%,1,1+VLOOKUP(($AJ16-$AI16-$AH16-$AG16-$AF16-$AE16*(1+CC$3))/$AJ16,Уголь_коэфф!$A:$B,2,1)-VLOOKUP($AO16,Уголь_коэфф!$A:$B,2,1)),1+(1-$AU16))</f>
        <v>1</v>
      </c>
      <c r="CD16" s="102">
        <f>MIN(IF($AU16=100%,1,1+VLOOKUP(($AJ16-$AI16-$AH16-$AG16-$AF16-$AE16*(1+CD$3))/$AJ16,Уголь_коэфф!$A:$B,2,1)-VLOOKUP($AO16,Уголь_коэфф!$A:$B,2,1)),1+(1-$AU16))</f>
        <v>1</v>
      </c>
      <c r="CE16" s="102">
        <f>MIN(IF($AU16=100%,1,1+VLOOKUP(($AJ16-$AI16-$AH16-$AG16-$AF16-$AE16*(1+CE$3))/$AJ16,Уголь_коэфф!$A:$B,2,1)-VLOOKUP($AO16,Уголь_коэфф!$A:$B,2,1)),1+(1-$AU16))</f>
        <v>1</v>
      </c>
      <c r="CF16" s="102">
        <f>MIN(IF($AU16=100%,1,1+VLOOKUP(($AJ16-$AI16-$AH16-$AG16-$AF16-$AE16*(1+CF$3))/$AJ16,Уголь_коэфф!$A:$B,2,1)-VLOOKUP($AO16,Уголь_коэфф!$A:$B,2,1)),1+(1-$AU16))</f>
        <v>1</v>
      </c>
      <c r="CG16" s="102">
        <f>MIN(IF($AU16=100%,1,1+VLOOKUP(($AJ16-$AI16-$AH16-$AG16-$AF16-$AE16*(1+CG$3))/$AJ16,Уголь_коэфф!$A:$B,2,1)-VLOOKUP($AO16,Уголь_коэфф!$A:$B,2,1)),1+(1-$AU16))</f>
        <v>1</v>
      </c>
      <c r="CH16" s="102">
        <f>MIN(IF($AU16=100%,1,1+VLOOKUP(($AJ16-$AI16-$AH16-$AG16-$AF16-$AE16*(1+CH$3))/$AJ16,Уголь_коэфф!$A:$B,2,1)-VLOOKUP($AO16,Уголь_коэфф!$A:$B,2,1)),1+(1-$AU16))</f>
        <v>1</v>
      </c>
      <c r="CI16" s="102">
        <f>MIN(IF($AU16=100%,1,1+VLOOKUP(($AJ16-$AI16-$AH16-$AG16-$AF16-$AE16*(1+CI$3))/$AJ16,Уголь_коэфф!$A:$B,2,1)-VLOOKUP($AO16,Уголь_коэфф!$A:$B,2,1)),1+(1-$AU16))</f>
        <v>1</v>
      </c>
      <c r="CJ16" s="102">
        <f>MIN(IF($AU16=100%,1,1+VLOOKUP(($AJ16-$AI16-$AH16-$AG16-$AF16-$AE16*(1+CJ$3))/$AJ16,Уголь_коэфф!$A:$B,2,1)-VLOOKUP($AO16,Уголь_коэфф!$A:$B,2,1)),1+(1-$AU16))</f>
        <v>1</v>
      </c>
      <c r="CK16" s="102">
        <f>MIN(IF($AU16=100%,1,1+VLOOKUP(($AJ16-$AI16-$AH16-$AG16-$AF16-$AE16*(1+CK$3))/$AJ16,Уголь_коэфф!$A:$B,2,1)-VLOOKUP($AO16,Уголь_коэфф!$A:$B,2,1)),1+(1-$AU16))</f>
        <v>1</v>
      </c>
      <c r="CL16" s="102">
        <f>MIN(IF($AU16=100%,1,1+VLOOKUP(($AJ16-$AI16-$AH16-$AG16-$AF16-$AE16*(1+CL$3))/$AJ16,Уголь_коэфф!$A:$B,2,1)-VLOOKUP($AO16,Уголь_коэфф!$A:$B,2,1)),1+(1-$AU16))</f>
        <v>1</v>
      </c>
      <c r="CM16" s="102">
        <f>MIN(IF($AU16=100%,1,1+VLOOKUP(($AJ16-$AI16-$AH16-$AG16-$AF16-$AE16*(1+CM$3))/$AJ16,Уголь_коэфф!$A:$B,2,1)-VLOOKUP($AO16,Уголь_коэфф!$A:$B,2,1)),1+(1-$AU16))</f>
        <v>1</v>
      </c>
      <c r="CN16" s="102">
        <f>MIN(IF($AU16=100%,1,1+VLOOKUP(($AJ16-$AI16-$AH16-$AG16-$AF16-$AE16*(1+CN$3))/$AJ16,Уголь_коэфф!$A:$B,2,1)-VLOOKUP($AO16,Уголь_коэфф!$A:$B,2,1)),1+(1-$AU16))</f>
        <v>1</v>
      </c>
      <c r="CO16" s="102">
        <f>MIN(IF($AU16=100%,1,1+VLOOKUP(($AJ16-$AI16-$AH16-$AG16-$AF16-$AE16*(1+CO$3))/$AJ16,Уголь_коэфф!$A:$B,2,1)-VLOOKUP($AO16,Уголь_коэфф!$A:$B,2,1)),1+(1-$AU16))</f>
        <v>1</v>
      </c>
      <c r="CP16" s="102">
        <f>MIN(IF($AU16=100%,1,1+VLOOKUP(($AJ16-$AI16-$AH16-$AG16-$AF16-$AE16*(1+CP$3))/$AJ16,Уголь_коэфф!$A:$B,2,1)-VLOOKUP($AO16,Уголь_коэфф!$A:$B,2,1)),1+(1-$AU16))</f>
        <v>1</v>
      </c>
      <c r="CQ16" s="102">
        <f>MIN(IF($AU16=100%,1,1+VLOOKUP(($AJ16-$AI16-$AH16-$AG16-$AF16-$AE16*(1+CQ$3))/$AJ16,Уголь_коэфф!$A:$B,2,1)-VLOOKUP($AO16,Уголь_коэфф!$A:$B,2,1)),1+(1-$AU16))</f>
        <v>1</v>
      </c>
      <c r="CR16" s="102">
        <f>MIN(IF($AU16=100%,1,1+VLOOKUP(($AJ16-$AI16-$AH16-$AG16-$AF16-$AE16*(1+CR$3))/$AJ16,Уголь_коэфф!$A:$B,2,1)-VLOOKUP($AO16,Уголь_коэфф!$A:$B,2,1)),1+(1-$AU16))</f>
        <v>1</v>
      </c>
      <c r="CS16" s="102">
        <f>MIN(IF($AU16=100%,1,1+VLOOKUP(($AJ16-$AI16-$AH16-$AG16-$AF16-$AE16*(1+CS$3))/$AJ16,Уголь_коэфф!$A:$B,2,1)-VLOOKUP($AO16,Уголь_коэфф!$A:$B,2,1)),1+(1-$AU16))</f>
        <v>1</v>
      </c>
      <c r="CT16" s="102">
        <f>MIN(IF($AU16=100%,1,1+VLOOKUP(($AJ16-$AI16-$AH16-$AG16-$AF16-$AE16*(1+CT$3))/$AJ16,Уголь_коэфф!$A:$B,2,1)-VLOOKUP($AO16,Уголь_коэфф!$A:$B,2,1)),1+(1-$AU16))</f>
        <v>1</v>
      </c>
      <c r="CU16" s="102">
        <f>MIN(IF($AU16=100%,1,1+VLOOKUP(($AJ16-$AI16-$AH16-$AG16-$AF16-$AE16*(1+CU$3))/$AJ16,Уголь_коэфф!$A:$B,2,1)-VLOOKUP($AO16,Уголь_коэфф!$A:$B,2,1)),1+(1-$AU16))</f>
        <v>1</v>
      </c>
      <c r="CV16" s="102">
        <f>MIN(IF($AU16=100%,1,1+VLOOKUP(($AJ16-$AI16-$AH16-$AG16-$AF16-$AE16*(1+CV$3))/$AJ16,Уголь_коэфф!$A:$B,2,1)-VLOOKUP($AO16,Уголь_коэфф!$A:$B,2,1)),1+(1-$AU16))</f>
        <v>1</v>
      </c>
      <c r="CW16" s="102">
        <f>MIN(IF($AU16=100%,1,1+VLOOKUP(($AJ16-$AI16-$AH16-$AG16-$AF16-$AE16*(1+CW$3))/$AJ16,Уголь_коэфф!$A:$B,2,1)-VLOOKUP($AO16,Уголь_коэфф!$A:$B,2,1)),1+(1-$AU16))</f>
        <v>1</v>
      </c>
      <c r="CX16" s="102">
        <f>MIN(IF($AU16=100%,1,1+VLOOKUP(($AJ16-$AI16-$AH16-$AG16-$AF16-$AE16*(1+CX$3))/$AJ16,Уголь_коэфф!$A:$B,2,1)-VLOOKUP($AO16,Уголь_коэфф!$A:$B,2,1)),1+(1-$AU16))</f>
        <v>1</v>
      </c>
      <c r="CY16" s="102">
        <f>MIN(IF($AU16=100%,1,1+VLOOKUP(($AJ16-$AI16-$AH16-$AG16-$AF16-$AE16*(1+CY$3))/$AJ16,Уголь_коэфф!$A:$B,2,1)-VLOOKUP($AO16,Уголь_коэфф!$A:$B,2,1)),1+(1-$AU16))</f>
        <v>1</v>
      </c>
      <c r="CZ16" s="102">
        <f>MIN(IF($AU16=100%,1,1+VLOOKUP(($AJ16-$AI16-$AH16-$AG16-$AF16-$AE16*(1+CZ$3))/$AJ16,Уголь_коэфф!$A:$B,2,1)-VLOOKUP($AO16,Уголь_коэфф!$A:$B,2,1)),1+(1-$AU16))</f>
        <v>1</v>
      </c>
      <c r="DA16" s="102">
        <f>MIN(IF($AU16=100%,1,1+VLOOKUP(($AJ16-$AI16-$AH16-$AG16-$AF16-$AE16*(1+DA$3))/$AJ16,Уголь_коэфф!$A:$B,2,1)-VLOOKUP($AO16,Уголь_коэфф!$A:$B,2,1)),1+(1-$AU16))</f>
        <v>1</v>
      </c>
      <c r="DB16" s="102">
        <f>MIN(IF($AU16=100%,1,1+VLOOKUP(($AJ16-$AI16-$AH16-$AG16-$AF16-$AE16*(1+DB$3))/$AJ16,Уголь_коэфф!$A:$B,2,1)-VLOOKUP($AO16,Уголь_коэфф!$A:$B,2,1)),1+(1-$AU16))</f>
        <v>1</v>
      </c>
      <c r="DC16" s="102">
        <f>MIN(IF($AU16=100%,1,1+VLOOKUP(($AJ16-$AI16-$AH16-$AG16-$AF16-$AE16*(1+DC$3))/$AJ16,Уголь_коэфф!$A:$B,2,1)-VLOOKUP($AO16,Уголь_коэфф!$A:$B,2,1)),1+(1-$AU16))</f>
        <v>1</v>
      </c>
      <c r="DD16" s="102">
        <f>MIN(IF($AU16=100%,1,1+VLOOKUP(($AJ16-$AI16-$AH16-$AG16-$AF16-$AE16*(1+DD$3))/$AJ16,Уголь_коэфф!$A:$B,2,1)-VLOOKUP($AO16,Уголь_коэфф!$A:$B,2,1)),1+(1-$AU16))</f>
        <v>1</v>
      </c>
      <c r="DE16" s="102">
        <f>MIN(IF($AU16=100%,1,1+VLOOKUP(($AJ16-$AI16-$AH16-$AG16-$AF16-$AE16*(1+DE$3))/$AJ16,Уголь_коэфф!$A:$B,2,1)-VLOOKUP($AO16,Уголь_коэфф!$A:$B,2,1)),1+(1-$AU16))</f>
        <v>1</v>
      </c>
      <c r="DF16" s="102">
        <f>MIN(IF($AU16=100%,1,1+VLOOKUP(($AJ16-$AI16-$AH16-$AG16-$AF16-$AE16*(1+DF$3))/$AJ16,Уголь_коэфф!$A:$B,2,1)-VLOOKUP($AO16,Уголь_коэфф!$A:$B,2,1)),1+(1-$AU16))</f>
        <v>1</v>
      </c>
      <c r="DG16" s="102">
        <f>MIN(IF($AU16=100%,1,1+VLOOKUP(($AJ16-$AI16-$AH16-$AG16-$AF16-$AE16*(1+DG$3))/$AJ16,Уголь_коэфф!$A:$B,2,1)-VLOOKUP($AO16,Уголь_коэфф!$A:$B,2,1)),1+(1-$AU16))</f>
        <v>1</v>
      </c>
      <c r="DH16" s="102">
        <f>MIN(IF($AU16=100%,1,1+VLOOKUP(($AJ16-$AI16-$AH16-$AG16-$AF16-$AE16*(1+DH$3))/$AJ16,Уголь_коэфф!$A:$B,2,1)-VLOOKUP($AO16,Уголь_коэфф!$A:$B,2,1)),1+(1-$AU16))</f>
        <v>1</v>
      </c>
      <c r="DI16" s="102">
        <f>MIN(IF($AU16=100%,1,1+VLOOKUP(($AJ16-$AI16-$AH16-$AG16-$AF16-$AE16*(1+DI$3))/$AJ16,Уголь_коэфф!$A:$B,2,1)-VLOOKUP($AO16,Уголь_коэфф!$A:$B,2,1)),1+(1-$AU16))</f>
        <v>1</v>
      </c>
      <c r="DJ16" s="102">
        <f>MIN(IF($AU16=100%,1,1+VLOOKUP(($AJ16-$AI16-$AH16-$AG16-$AF16-$AE16*(1+DJ$3))/$AJ16,Уголь_коэфф!$A:$B,2,1)-VLOOKUP($AO16,Уголь_коэфф!$A:$B,2,1)),1+(1-$AU16))</f>
        <v>1</v>
      </c>
      <c r="DK16" s="102">
        <f>MIN(IF($AU16=100%,1,1+VLOOKUP(($AJ16-$AI16-$AH16-$AG16-$AF16-$AE16*(1+DK$3))/$AJ16,Уголь_коэфф!$A:$B,2,1)-VLOOKUP($AO16,Уголь_коэфф!$A:$B,2,1)),1+(1-$AU16))</f>
        <v>1</v>
      </c>
      <c r="DL16" s="102">
        <f>MIN(IF($AU16=100%,1,1+VLOOKUP(($AJ16-$AI16-$AH16-$AG16-$AF16-$AE16*(1+DL$3))/$AJ16,Уголь_коэфф!$A:$B,2,1)-VLOOKUP($AO16,Уголь_коэфф!$A:$B,2,1)),1+(1-$AU16))</f>
        <v>1</v>
      </c>
      <c r="DM16" s="102">
        <f>MIN(IF($AU16=100%,1,1+VLOOKUP(($AJ16-$AI16-$AH16-$AG16-$AF16-$AE16*(1+DM$3))/$AJ16,Уголь_коэфф!$A:$B,2,1)-VLOOKUP($AO16,Уголь_коэфф!$A:$B,2,1)),1+(1-$AU16))</f>
        <v>1</v>
      </c>
      <c r="DN16" s="102">
        <f>MIN(IF($AU16=100%,1,1+VLOOKUP(($AJ16-$AI16-$AH16-$AG16-$AF16-$AE16*(1+DN$3))/$AJ16,Уголь_коэфф!$A:$B,2,1)-VLOOKUP($AO16,Уголь_коэфф!$A:$B,2,1)),1+(1-$AU16))</f>
        <v>1</v>
      </c>
      <c r="DO16" s="102">
        <f>MIN(IF($AU16=100%,1,1+VLOOKUP(($AJ16-$AI16-$AH16-$AG16-$AF16-$AE16*(1+DO$3))/$AJ16,Уголь_коэфф!$A:$B,2,1)-VLOOKUP($AO16,Уголь_коэфф!$A:$B,2,1)),1+(1-$AU16))</f>
        <v>1</v>
      </c>
      <c r="DP16" s="102">
        <f>MIN(IF($AU16=100%,1,1+VLOOKUP(($AJ16-$AI16-$AH16-$AG16-$AF16-$AE16*(1+DP$3))/$AJ16,Уголь_коэфф!$A:$B,2,1)-VLOOKUP($AO16,Уголь_коэфф!$A:$B,2,1)),1+(1-$AU16))</f>
        <v>1</v>
      </c>
      <c r="DQ16" s="102">
        <f>MIN(IF($AU16=100%,1,1+VLOOKUP(($AJ16-$AI16-$AH16-$AG16-$AF16-$AE16*(1+DQ$3))/$AJ16,Уголь_коэфф!$A:$B,2,1)-VLOOKUP($AO16,Уголь_коэфф!$A:$B,2,1)),1+(1-$AU16))</f>
        <v>1</v>
      </c>
      <c r="DR16" s="102">
        <f>MIN(IF($AU16=100%,1,1+VLOOKUP(($AJ16-$AI16-$AH16-$AG16-$AF16-$AE16*(1+DR$3))/$AJ16,Уголь_коэфф!$A:$B,2,1)-VLOOKUP($AO16,Уголь_коэфф!$A:$B,2,1)),1+(1-$AU16))</f>
        <v>1</v>
      </c>
      <c r="DS16" s="102">
        <f>MIN(IF($AU16=100%,1,1+VLOOKUP(($AJ16-$AI16-$AH16-$AG16-$AF16-$AE16*(1+DS$3))/$AJ16,Уголь_коэфф!$A:$B,2,1)-VLOOKUP($AO16,Уголь_коэфф!$A:$B,2,1)),1+(1-$AU16))</f>
        <v>1</v>
      </c>
      <c r="DT16" s="102">
        <f>MIN(IF($AU16=100%,1,1+VLOOKUP(($AJ16-$AI16-$AH16-$AG16-$AF16-$AE16*(1+DT$3))/$AJ16,Уголь_коэфф!$A:$B,2,1)-VLOOKUP($AO16,Уголь_коэфф!$A:$B,2,1)),1+(1-$AU16))</f>
        <v>1</v>
      </c>
      <c r="DU16" s="102">
        <f>MIN(IF($AU16=100%,1,1+VLOOKUP(($AJ16-$AI16-$AH16-$AG16-$AF16-$AE16*(1+DU$3))/$AJ16,Уголь_коэфф!$A:$B,2,1)-VLOOKUP($AO16,Уголь_коэфф!$A:$B,2,1)),1+(1-$AU16))</f>
        <v>1</v>
      </c>
      <c r="DV16" s="102">
        <f>MIN(IF($AU16=100%,1,1+VLOOKUP(($AJ16-$AI16-$AH16-$AG16-$AF16-$AE16*(1+DV$3))/$AJ16,Уголь_коэфф!$A:$B,2,1)-VLOOKUP($AO16,Уголь_коэфф!$A:$B,2,1)),1+(1-$AU16))</f>
        <v>1</v>
      </c>
      <c r="DW16" s="102">
        <f>MIN(IF($AU16=100%,1,1+VLOOKUP(($AJ16-$AI16-$AH16-$AG16-$AF16-$AE16*(1+DW$3))/$AJ16,Уголь_коэфф!$A:$B,2,1)-VLOOKUP($AO16,Уголь_коэфф!$A:$B,2,1)),1+(1-$AU16))</f>
        <v>1</v>
      </c>
      <c r="DX16" s="102">
        <f>MIN(IF($AU16=100%,1,1+VLOOKUP(($AJ16-$AI16-$AH16-$AG16-$AF16-$AE16*(1+DX$3))/$AJ16,Уголь_коэфф!$A:$B,2,1)-VLOOKUP($AO16,Уголь_коэфф!$A:$B,2,1)),1+(1-$AU16))</f>
        <v>1</v>
      </c>
      <c r="DY16" s="102">
        <f>MIN(IF($AU16=100%,1,1+VLOOKUP(($AJ16-$AI16-$AH16-$AG16-$AF16-$AE16*(1+DY$3))/$AJ16,Уголь_коэфф!$A:$B,2,1)-VLOOKUP($AO16,Уголь_коэфф!$A:$B,2,1)),1+(1-$AU16))</f>
        <v>1</v>
      </c>
      <c r="DZ16" s="102">
        <f>MIN(IF($AU16=100%,1,1+VLOOKUP(($AJ16-$AI16-$AH16-$AG16-$AF16-$AE16*(1+DZ$3))/$AJ16,Уголь_коэфф!$A:$B,2,1)-VLOOKUP($AO16,Уголь_коэфф!$A:$B,2,1)),1+(1-$AU16))</f>
        <v>1</v>
      </c>
      <c r="EA16" s="102">
        <f>MIN(IF($AU16=100%,1,1+VLOOKUP(($AJ16-$AI16-$AH16-$AG16-$AF16-$AE16*(1+EA$3))/$AJ16,Уголь_коэфф!$A:$B,2,1)-VLOOKUP($AO16,Уголь_коэфф!$A:$B,2,1)),1+(1-$AU16))</f>
        <v>1</v>
      </c>
      <c r="EB16" s="102">
        <f>MIN(IF($AU16=100%,1,1+VLOOKUP(($AJ16-$AI16-$AH16-$AG16-$AF16-$AE16*(1+EB$3))/$AJ16,Уголь_коэфф!$A:$B,2,1)-VLOOKUP($AO16,Уголь_коэфф!$A:$B,2,1)),1+(1-$AU16))</f>
        <v>1</v>
      </c>
      <c r="EC16" s="102">
        <f>MIN(IF($AU16=100%,1,1+VLOOKUP(($AJ16-$AI16-$AH16-$AG16-$AF16-$AE16*(1+EC$3))/$AJ16,Уголь_коэфф!$A:$B,2,1)-VLOOKUP($AO16,Уголь_коэфф!$A:$B,2,1)),1+(1-$AU16))</f>
        <v>1</v>
      </c>
      <c r="ED16" s="102">
        <f>MIN(IF($AU16=100%,1,1+VLOOKUP(($AJ16-$AI16-$AH16-$AG16-$AF16-$AE16*(1+ED$3))/$AJ16,Уголь_коэфф!$A:$B,2,1)-VLOOKUP($AO16,Уголь_коэфф!$A:$B,2,1)),1+(1-$AU16))</f>
        <v>1</v>
      </c>
      <c r="EE16" s="102">
        <f>MIN(IF($AU16=100%,1,1+VLOOKUP(($AJ16-$AI16-$AH16-$AG16-$AF16-$AE16*(1+EE$3))/$AJ16,Уголь_коэфф!$A:$B,2,1)-VLOOKUP($AO16,Уголь_коэфф!$A:$B,2,1)),1+(1-$AU16))</f>
        <v>1</v>
      </c>
      <c r="EF16" s="102">
        <f>MIN(IF($AU16=100%,1,1+VLOOKUP(($AJ16-$AI16-$AH16-$AG16-$AF16-$AE16*(1+EF$3))/$AJ16,Уголь_коэфф!$A:$B,2,1)-VLOOKUP($AO16,Уголь_коэфф!$A:$B,2,1)),1+(1-$AU16))</f>
        <v>1</v>
      </c>
      <c r="EG16" s="102">
        <f>MIN(IF($AU16=100%,1,1+VLOOKUP(($AJ16-$AI16-$AH16-$AG16-$AF16-$AE16*(1+EG$3))/$AJ16,Уголь_коэфф!$A:$B,2,1)-VLOOKUP($AO16,Уголь_коэфф!$A:$B,2,1)),1+(1-$AU16))</f>
        <v>1</v>
      </c>
      <c r="EH16" s="102">
        <f>MIN(IF($AU16=100%,1,1+VLOOKUP(($AJ16-$AI16-$AH16-$AG16-$AF16-$AE16*(1+EH$3))/$AJ16,Уголь_коэфф!$A:$B,2,1)-VLOOKUP($AO16,Уголь_коэфф!$A:$B,2,1)),1+(1-$AU16))</f>
        <v>1</v>
      </c>
      <c r="EI16" s="102">
        <f>MIN(IF($AU16=100%,1,1+VLOOKUP(($AJ16-$AI16-$AH16-$AG16-$AF16-$AE16*(1+EI$3))/$AJ16,Уголь_коэфф!$A:$B,2,1)-VLOOKUP($AO16,Уголь_коэфф!$A:$B,2,1)),1+(1-$AU16))</f>
        <v>1</v>
      </c>
      <c r="EJ16" s="102">
        <f>MIN(IF($AU16=100%,1,1+VLOOKUP(($AJ16-$AI16-$AH16-$AG16-$AF16-$AE16*(1+EJ$3))/$AJ16,Уголь_коэфф!$A:$B,2,1)-VLOOKUP($AO16,Уголь_коэфф!$A:$B,2,1)),1+(1-$AU16))</f>
        <v>1</v>
      </c>
      <c r="EK16" s="102">
        <f>MIN(IF($AU16=100%,1,1+VLOOKUP(($AJ16-$AI16-$AH16-$AG16-$AF16-$AE16*(1+EK$3))/$AJ16,Уголь_коэфф!$A:$B,2,1)-VLOOKUP($AO16,Уголь_коэфф!$A:$B,2,1)),1+(1-$AU16))</f>
        <v>1</v>
      </c>
      <c r="EL16" s="102">
        <f>MIN(IF($AU16=100%,1,1+VLOOKUP(($AJ16-$AI16-$AH16-$AG16-$AF16-$AE16*(1+EL$3))/$AJ16,Уголь_коэфф!$A:$B,2,1)-VLOOKUP($AO16,Уголь_коэфф!$A:$B,2,1)),1+(1-$AU16))</f>
        <v>1</v>
      </c>
      <c r="EM16" s="102">
        <f>MIN(IF($AU16=100%,1,1+VLOOKUP(($AJ16-$AI16-$AH16-$AG16-$AF16-$AE16*(1+EM$3))/$AJ16,Уголь_коэфф!$A:$B,2,1)-VLOOKUP($AO16,Уголь_коэфф!$A:$B,2,1)),1+(1-$AU16))</f>
        <v>1</v>
      </c>
      <c r="EN16" s="102">
        <f>MIN(IF($AU16=100%,1,1+VLOOKUP(($AJ16-$AI16-$AH16-$AG16-$AF16-$AE16*(1+EN$3))/$AJ16,Уголь_коэфф!$A:$B,2,1)-VLOOKUP($AO16,Уголь_коэфф!$A:$B,2,1)),1+(1-$AU16))</f>
        <v>1</v>
      </c>
      <c r="EO16" s="102">
        <f>MIN(IF($AU16=100%,1,1+VLOOKUP(($AJ16-$AI16-$AH16-$AG16-$AF16-$AE16*(1+EO$3))/$AJ16,Уголь_коэфф!$A:$B,2,1)-VLOOKUP($AO16,Уголь_коэфф!$A:$B,2,1)),1+(1-$AU16))</f>
        <v>1</v>
      </c>
      <c r="EP16" s="102">
        <f>MIN(IF($AU16=100%,1,1+VLOOKUP(($AJ16-$AI16-$AH16-$AG16-$AF16-$AE16*(1+EP$3))/$AJ16,Уголь_коэфф!$A:$B,2,1)-VLOOKUP($AO16,Уголь_коэфф!$A:$B,2,1)),1+(1-$AU16))</f>
        <v>1</v>
      </c>
      <c r="EQ16" s="102">
        <f>MIN(IF($AU16=100%,1,1+VLOOKUP(($AJ16-$AI16-$AH16-$AG16-$AF16-$AE16*(1+EQ$3))/$AJ16,Уголь_коэфф!$A:$B,2,1)-VLOOKUP($AO16,Уголь_коэфф!$A:$B,2,1)),1+(1-$AU16))</f>
        <v>1</v>
      </c>
      <c r="ER16" s="102">
        <f>MIN(IF($AU16=100%,1,1+VLOOKUP(($AJ16-$AI16-$AH16-$AG16-$AF16-$AE16*(1+ER$3))/$AJ16,Уголь_коэфф!$A:$B,2,1)-VLOOKUP($AO16,Уголь_коэфф!$A:$B,2,1)),1+(1-$AU16))</f>
        <v>1</v>
      </c>
      <c r="ES16" s="102">
        <f>MIN(IF($AU16=100%,1,1+VLOOKUP(($AJ16-$AI16-$AH16-$AG16-$AF16-$AE16*(1+ES$3))/$AJ16,Уголь_коэфф!$A:$B,2,1)-VLOOKUP($AO16,Уголь_коэфф!$A:$B,2,1)),1+(1-$AU16))</f>
        <v>1</v>
      </c>
      <c r="ET16" s="102">
        <f>MIN(IF($AU16=100%,1,1+VLOOKUP(($AJ16-$AI16-$AH16-$AG16-$AF16-$AE16*(1+ET$3))/$AJ16,Уголь_коэфф!$A:$B,2,1)-VLOOKUP($AO16,Уголь_коэфф!$A:$B,2,1)),1+(1-$AU16))</f>
        <v>1</v>
      </c>
      <c r="EU16" s="102">
        <f>MIN(IF($AU16=100%,1,1+VLOOKUP(($AJ16-$AI16-$AH16-$AG16-$AF16-$AE16*(1+EU$3))/$AJ16,Уголь_коэфф!$A:$B,2,1)-VLOOKUP($AO16,Уголь_коэфф!$A:$B,2,1)),1+(1-$AU16))</f>
        <v>1</v>
      </c>
      <c r="EV16" s="103">
        <v>1</v>
      </c>
      <c r="EW16" s="102">
        <f>MIN(1,MAX(VLOOKUP(($AJ16-$AI16-$AH16-$AG16-$AF16-$AE16*(1+EW$3))/$AJ16,Уголь_коэфф!$A:$B,2,1),(EV16-0.05)))</f>
        <v>1</v>
      </c>
      <c r="EX16" s="102">
        <f>MIN(1,MAX(VLOOKUP(($AJ16-$AI16-$AH16-$AG16-$AF16-$AE16*(1+EX$3))/$AJ16,Уголь_коэфф!$A:$B,2,1),(EW16-0.05)))</f>
        <v>1</v>
      </c>
      <c r="EY16" s="102">
        <f>MIN(1,MAX(VLOOKUP(($AJ16-$AI16-$AH16-$AG16-$AF16-$AE16*(1+EY$3))/$AJ16,Уголь_коэфф!$A:$B,2,1),(EX16-0.05)))</f>
        <v>1</v>
      </c>
      <c r="EZ16" s="102">
        <f>MIN(1,MAX(VLOOKUP(($AJ16-$AI16-$AH16-$AG16-$AF16-$AE16*(1+EZ$3))/$AJ16,Уголь_коэфф!$A:$B,2,1),(EY16-0.05)))</f>
        <v>1</v>
      </c>
      <c r="FA16" s="102">
        <f>MIN(1,MAX(VLOOKUP(($AJ16-$AI16-$AH16-$AG16-$AF16-$AE16*(1+FA$3))/$AJ16,Уголь_коэфф!$A:$B,2,1),(EZ16-0.05)))</f>
        <v>1</v>
      </c>
      <c r="FB16" s="102">
        <f>MIN(1,MAX(VLOOKUP(($AJ16-$AI16-$AH16-$AG16-$AF16-$AE16*(1+FB$3))/$AJ16,Уголь_коэфф!$A:$B,2,1),(FA16-0.05)))</f>
        <v>1</v>
      </c>
      <c r="FC16" s="102">
        <f>MIN(1,MAX(VLOOKUP(($AJ16-$AI16-$AH16-$AG16-$AF16-$AE16*(1+FC$3))/$AJ16,Уголь_коэфф!$A:$B,2,1),(FB16-0.05)))</f>
        <v>1</v>
      </c>
      <c r="FD16" s="102">
        <f>MIN(1,MAX(VLOOKUP(($AJ16-$AI16-$AH16-$AG16-$AF16-$AE16*(1+FD$3))/$AJ16,Уголь_коэфф!$A:$B,2,1),(FC16-0.05)))</f>
        <v>1</v>
      </c>
      <c r="FE16" s="102">
        <f>MIN(1,MAX(VLOOKUP(($AJ16-$AI16-$AH16-$AG16-$AF16-$AE16*(1+FE$3))/$AJ16,Уголь_коэфф!$A:$B,2,1),(FD16-0.05)))</f>
        <v>1</v>
      </c>
      <c r="FF16" s="102">
        <f>MIN(1,MAX(VLOOKUP(($AJ16-$AI16-$AH16-$AG16-$AF16-$AE16*(1+FF$3))/$AJ16,Уголь_коэфф!$A:$B,2,1),(FE16-0.05)))</f>
        <v>1</v>
      </c>
      <c r="FG16" s="102">
        <f>MIN(1,MAX(VLOOKUP(($AJ16-$AI16-$AH16-$AG16-$AF16-$AE16*(1+FG$3))/$AJ16,Уголь_коэфф!$A:$B,2,1),(FF16-0.05)))</f>
        <v>1</v>
      </c>
      <c r="FH16" s="102">
        <f>MIN(1,MAX(VLOOKUP(($AJ16-$AI16-$AH16-$AG16-$AF16-$AE16*(1+FH$3))/$AJ16,Уголь_коэфф!$A:$B,2,1),(FG16-0.05)))</f>
        <v>1</v>
      </c>
      <c r="FI16" s="102">
        <f>MIN(1,MAX(VLOOKUP(($AJ16-$AI16-$AH16-$AG16-$AF16-$AE16*(1+FI$3))/$AJ16,Уголь_коэфф!$A:$B,2,1),(FH16-0.05)))</f>
        <v>1</v>
      </c>
      <c r="FJ16" s="102">
        <f>MIN(1,MAX(VLOOKUP(($AJ16-$AI16-$AH16-$AG16-$AF16-$AE16*(1+FJ$3))/$AJ16,Уголь_коэфф!$A:$B,2,1),(FI16-0.05)))</f>
        <v>1</v>
      </c>
      <c r="FK16" s="102">
        <f>MIN(1,MAX(VLOOKUP(($AJ16-$AI16-$AH16-$AG16-$AF16-$AE16*(1+FK$3))/$AJ16,Уголь_коэфф!$A:$B,2,1),(FJ16-0.05)))</f>
        <v>1</v>
      </c>
      <c r="FL16" s="102">
        <f>MIN(1,MAX(VLOOKUP(($AJ16-$AI16-$AH16-$AG16-$AF16-$AE16*(1+FL$3))/$AJ16,Уголь_коэфф!$A:$B,2,1),(FK16-0.05)))</f>
        <v>1</v>
      </c>
      <c r="FM16" s="102">
        <f>MIN(1,MAX(VLOOKUP(($AJ16-$AI16-$AH16-$AG16-$AF16-$AE16*(1+FM$3))/$AJ16,Уголь_коэфф!$A:$B,2,1),(FL16-0.05)))</f>
        <v>1</v>
      </c>
      <c r="FN16" s="102">
        <f>MIN(1,MAX(VLOOKUP(($AJ16-$AI16-$AH16-$AG16-$AF16-$AE16*(1+FN$3))/$AJ16,Уголь_коэфф!$A:$B,2,1),(FM16-0.05)))</f>
        <v>1</v>
      </c>
      <c r="FO16" s="102">
        <f>MIN(1,MAX(VLOOKUP(($AJ16-$AI16-$AH16-$AG16-$AF16-$AE16*(1+FO$3))/$AJ16,Уголь_коэфф!$A:$B,2,1),(FN16-0.05)))</f>
        <v>1</v>
      </c>
      <c r="FP16" s="102">
        <f>MIN(1,MAX(VLOOKUP(($AJ16-$AI16-$AH16-$AG16-$AF16-$AE16*(1+FP$3))/$AJ16,Уголь_коэфф!$A:$B,2,1),(FO16-0.05)))</f>
        <v>1</v>
      </c>
      <c r="FQ16" s="102">
        <f>MIN(1,MAX(VLOOKUP(($AJ16-$AI16-$AH16-$AG16-$AF16-$AE16*(1+FQ$3))/$AJ16,Уголь_коэфф!$A:$B,2,1),(FP16-0.05)))</f>
        <v>1</v>
      </c>
      <c r="FR16" s="102">
        <f>MIN(1,MAX(VLOOKUP(($AJ16-$AI16-$AH16-$AG16-$AF16-$AE16*(1+FR$3))/$AJ16,Уголь_коэфф!$A:$B,2,1),(FQ16-0.05)))</f>
        <v>1</v>
      </c>
      <c r="FS16" s="102">
        <f>MIN(1,MAX(VLOOKUP(($AJ16-$AI16-$AH16-$AG16-$AF16-$AE16*(1+FS$3))/$AJ16,Уголь_коэфф!$A:$B,2,1),(FR16-0.05)))</f>
        <v>1</v>
      </c>
      <c r="FT16" s="102">
        <f>MIN(1,MAX(VLOOKUP(($AJ16-$AI16-$AH16-$AG16-$AF16-$AE16*(1+FT$3))/$AJ16,Уголь_коэфф!$A:$B,2,1),(FS16-0.05)))</f>
        <v>1</v>
      </c>
      <c r="FU16" s="102">
        <f>MIN(1,MAX(VLOOKUP(($AJ16-$AI16-$AH16-$AG16-$AF16-$AE16*(1+FU$3))/$AJ16,Уголь_коэфф!$A:$B,2,1),(FT16-0.05)))</f>
        <v>1</v>
      </c>
      <c r="FV16" s="102">
        <f>MIN(1,MAX(VLOOKUP(($AJ16-$AI16-$AH16-$AG16-$AF16-$AE16*(1+FV$3))/$AJ16,Уголь_коэфф!$A:$B,2,1),(FU16-0.05)))</f>
        <v>1</v>
      </c>
      <c r="FW16" s="102">
        <f>MIN(1,MAX(VLOOKUP(($AJ16-$AI16-$AH16-$AG16-$AF16-$AE16*(1+FW$3))/$AJ16,Уголь_коэфф!$A:$B,2,1),(FV16-0.05)))</f>
        <v>1</v>
      </c>
      <c r="FX16" s="102">
        <f>MIN(1,MAX(VLOOKUP(($AJ16-$AI16-$AH16-$AG16-$AF16-$AE16*(1+FX$3))/$AJ16,Уголь_коэфф!$A:$B,2,1),(FW16-0.05)))</f>
        <v>1</v>
      </c>
      <c r="FY16" s="102">
        <f>MIN(1,MAX(VLOOKUP(($AJ16-$AI16-$AH16-$AG16-$AF16-$AE16*(1+FY$3))/$AJ16,Уголь_коэфф!$A:$B,2,1),(FX16-0.05)))</f>
        <v>1</v>
      </c>
      <c r="FZ16" s="102">
        <f>MIN(1,MAX(VLOOKUP(($AJ16-$AI16-$AH16-$AG16-$AF16-$AE16*(1+FZ$3))/$AJ16,Уголь_коэфф!$A:$B,2,1),(FY16-0.05)))</f>
        <v>1</v>
      </c>
      <c r="GA16" s="102">
        <f>MIN(1,MAX(VLOOKUP(($AJ16-$AI16-$AH16-$AG16-$AF16-$AE16*(1+GA$3))/$AJ16,Уголь_коэфф!$A:$B,2,1),(FZ16-0.05)))</f>
        <v>1</v>
      </c>
      <c r="GB16" s="102">
        <f>MIN(1,MAX(VLOOKUP(($AJ16-$AI16-$AH16-$AG16-$AF16-$AE16*(1+GB$3))/$AJ16,Уголь_коэфф!$A:$B,2,1),(GA16-0.05)))</f>
        <v>1</v>
      </c>
      <c r="GC16" s="102">
        <f>MIN(1,MAX(VLOOKUP(($AJ16-$AI16-$AH16-$AG16-$AF16-$AE16*(1+GC$3))/$AJ16,Уголь_коэфф!$A:$B,2,1),(GB16-0.05)))</f>
        <v>1</v>
      </c>
      <c r="GD16" s="102">
        <f>MIN(1,MAX(VLOOKUP(($AJ16-$AI16-$AH16-$AG16-$AF16-$AE16*(1+GD$3))/$AJ16,Уголь_коэфф!$A:$B,2,1),(GC16-0.05)))</f>
        <v>1</v>
      </c>
      <c r="GE16" s="102">
        <f>MIN(1,MAX(VLOOKUP(($AJ16-$AI16-$AH16-$AG16-$AF16-$AE16*(1+GE$3))/$AJ16,Уголь_коэфф!$A:$B,2,1),(GD16-0.05)))</f>
        <v>1</v>
      </c>
      <c r="GF16" s="102">
        <f>MIN(1,MAX(VLOOKUP(($AJ16-$AI16-$AH16-$AG16-$AF16-$AE16*(1+GF$3))/$AJ16,Уголь_коэфф!$A:$B,2,1),(GE16-0.05)))</f>
        <v>1</v>
      </c>
      <c r="GG16" s="102">
        <f>MIN(1,MAX(VLOOKUP(($AJ16-$AI16-$AH16-$AG16-$AF16-$AE16*(1+GG$3))/$AJ16,Уголь_коэфф!$A:$B,2,1),(GF16-0.05)))</f>
        <v>1</v>
      </c>
      <c r="GH16" s="102">
        <f>MIN(1,MAX(VLOOKUP(($AJ16-$AI16-$AH16-$AG16-$AF16-$AE16*(1+GH$3))/$AJ16,Уголь_коэфф!$A:$B,2,1),(GG16-0.05)))</f>
        <v>1</v>
      </c>
      <c r="GI16" s="102">
        <f>MIN(1,MAX(VLOOKUP(($AJ16-$AI16-$AH16-$AG16-$AF16-$AE16*(1+GI$3))/$AJ16,Уголь_коэфф!$A:$B,2,1),(GH16-0.05)))</f>
        <v>1</v>
      </c>
      <c r="GJ16" s="102">
        <f>MIN(1,MAX(VLOOKUP(($AJ16-$AI16-$AH16-$AG16-$AF16-$AE16*(1+GJ$3))/$AJ16,Уголь_коэфф!$A:$B,2,1),(GI16-0.05)))</f>
        <v>1</v>
      </c>
      <c r="GK16" s="102">
        <f>MIN(1,MAX(VLOOKUP(($AJ16-$AI16-$AH16-$AG16-$AF16-$AE16*(1+GK$3))/$AJ16,Уголь_коэфф!$A:$B,2,1),(GJ16-0.05)))</f>
        <v>1</v>
      </c>
      <c r="GL16" s="102">
        <f>MIN(1,MAX(VLOOKUP(($AJ16-$AI16-$AH16-$AG16-$AF16-$AE16*(1+GL$3))/$AJ16,Уголь_коэфф!$A:$B,2,1),(GK16-0.05)))</f>
        <v>1</v>
      </c>
      <c r="GM16" s="102">
        <f>MIN(1,MAX(VLOOKUP(($AJ16-$AI16-$AH16-$AG16-$AF16-$AE16*(1+GM$3))/$AJ16,Уголь_коэфф!$A:$B,2,1),(GL16-0.05)))</f>
        <v>1</v>
      </c>
      <c r="GN16" s="102">
        <f>MIN(1,MAX(VLOOKUP(($AJ16-$AI16-$AH16-$AG16-$AF16-$AE16*(1+GN$3))/$AJ16,Уголь_коэфф!$A:$B,2,1),(GM16-0.05)))</f>
        <v>1</v>
      </c>
      <c r="GO16" s="102">
        <f>MIN(1,MAX(VLOOKUP(($AJ16-$AI16-$AH16-$AG16-$AF16-$AE16*(1+GO$3))/$AJ16,Уголь_коэфф!$A:$B,2,1),(GN16-0.05)))</f>
        <v>1</v>
      </c>
      <c r="GP16" s="102">
        <f>MIN(1,MAX(VLOOKUP(($AJ16-$AI16-$AH16-$AG16-$AF16-$AE16*(1+GP$3))/$AJ16,Уголь_коэфф!$A:$B,2,1),(GO16-0.05)))</f>
        <v>1</v>
      </c>
      <c r="GQ16" s="102">
        <f>MIN(1,MAX(VLOOKUP(($AJ16-$AI16-$AH16-$AG16-$AF16-$AE16*(1+GQ$3))/$AJ16,Уголь_коэфф!$A:$B,2,1),(GP16-0.05)))</f>
        <v>1</v>
      </c>
      <c r="GR16" s="102">
        <f>MIN(1,MAX(VLOOKUP(($AJ16-$AI16-$AH16-$AG16-$AF16-$AE16*(1+GR$3))/$AJ16,Уголь_коэфф!$A:$B,2,1),(GQ16-0.05)))</f>
        <v>1</v>
      </c>
      <c r="GS16" s="102">
        <f>MIN(1,MAX(VLOOKUP(($AJ16-$AI16-$AH16-$AG16-$AF16-$AE16*(1+GS$3))/$AJ16,Уголь_коэфф!$A:$B,2,1),(GR16-0.05)))</f>
        <v>1</v>
      </c>
      <c r="GT16" s="102">
        <f>MIN(1,MAX(VLOOKUP(($AJ16-$AI16-$AH16-$AG16-$AF16-$AE16*(1+GT$3))/$AJ16,Уголь_коэфф!$A:$B,2,1),(GS16-0.05)))</f>
        <v>1</v>
      </c>
      <c r="GU16" s="102">
        <f>MIN(1,MAX(VLOOKUP(($AJ16-$AI16-$AH16-$AG16-$AF16-$AE16*(1+GU$3))/$AJ16,Уголь_коэфф!$A:$B,2,1),(GT16-0.05)))</f>
        <v>1</v>
      </c>
      <c r="GV16" s="102">
        <f>MIN(1,MAX(VLOOKUP(($AJ16-$AI16-$AH16-$AG16-$AF16-$AE16*(1+GV$3))/$AJ16,Уголь_коэфф!$A:$B,2,1),(GU16-0.05)))</f>
        <v>1</v>
      </c>
      <c r="GW16" s="102">
        <f>MIN(1,MAX(VLOOKUP(($AJ16-$AI16-$AH16-$AG16-$AF16-$AE16*(1+GW$3))/$AJ16,Уголь_коэфф!$A:$B,2,1),(GV16-0.05)))</f>
        <v>1</v>
      </c>
      <c r="GX16" s="102">
        <f>MIN(1,MAX(VLOOKUP(($AJ16-$AI16-$AH16-$AG16-$AF16-$AE16*(1+GX$3))/$AJ16,Уголь_коэфф!$A:$B,2,1),(GW16-0.05)))</f>
        <v>1</v>
      </c>
      <c r="GY16" s="102">
        <f>MIN(1,MAX(VLOOKUP(($AJ16-$AI16-$AH16-$AG16-$AF16-$AE16*(1+GY$3))/$AJ16,Уголь_коэфф!$A:$B,2,1),(GX16-0.05)))</f>
        <v>1</v>
      </c>
      <c r="GZ16" s="102">
        <f>MIN(1,MAX(VLOOKUP(($AJ16-$AI16-$AH16-$AG16-$AF16-$AE16*(1+GZ$3))/$AJ16,Уголь_коэфф!$A:$B,2,1),(GY16-0.05)))</f>
        <v>1</v>
      </c>
      <c r="HA16" s="102">
        <f>MIN(1,MAX(VLOOKUP(($AJ16-$AI16-$AH16-$AG16-$AF16-$AE16*(1+HA$3))/$AJ16,Уголь_коэфф!$A:$B,2,1),(GZ16-0.05)))</f>
        <v>1</v>
      </c>
      <c r="HB16" s="102">
        <f>MIN(1,MAX(VLOOKUP(($AJ16-$AI16-$AH16-$AG16-$AF16-$AE16*(1+HB$3))/$AJ16,Уголь_коэфф!$A:$B,2,1),(HA16-0.05)))</f>
        <v>1</v>
      </c>
      <c r="HC16" s="102">
        <f>MIN(1,MAX(VLOOKUP(($AJ16-$AI16-$AH16-$AG16-$AF16-$AE16*(1+HC$3))/$AJ16,Уголь_коэфф!$A:$B,2,1),(HB16-0.05)))</f>
        <v>1</v>
      </c>
      <c r="HD16" s="102">
        <f>MIN(1,MAX(VLOOKUP(($AJ16-$AI16-$AH16-$AG16-$AF16-$AE16*(1+HD$3))/$AJ16,Уголь_коэфф!$A:$B,2,1),(HC16-0.05)))</f>
        <v>1</v>
      </c>
      <c r="HE16" s="102">
        <f>MIN(1,MAX(VLOOKUP(($AJ16-$AI16-$AH16-$AG16-$AF16-$AE16*(1+HE$3))/$AJ16,Уголь_коэфф!$A:$B,2,1),(HD16-0.05)))</f>
        <v>1</v>
      </c>
      <c r="HF16" s="102">
        <f>MIN(1,MAX(VLOOKUP(($AJ16-$AI16-$AH16-$AG16-$AF16-$AE16*(1+HF$3))/$AJ16,Уголь_коэфф!$A:$B,2,1),(HE16-0.05)))</f>
        <v>1</v>
      </c>
      <c r="HG16" s="102">
        <f>MIN(1,MAX(VLOOKUP(($AJ16-$AI16-$AH16-$AG16-$AF16-$AE16*(1+HG$3))/$AJ16,Уголь_коэфф!$A:$B,2,1),(HF16-0.05)))</f>
        <v>1</v>
      </c>
      <c r="HH16" s="102">
        <f>MIN(1,MAX(VLOOKUP(($AJ16-$AI16-$AH16-$AG16-$AF16-$AE16*(1+HH$3))/$AJ16,Уголь_коэфф!$A:$B,2,1),(HG16-0.05)))</f>
        <v>1</v>
      </c>
      <c r="HI16" s="102">
        <f>MIN(1,MAX(VLOOKUP(($AJ16-$AI16-$AH16-$AG16-$AF16-$AE16*(1+HI$3))/$AJ16,Уголь_коэфф!$A:$B,2,1),(HH16-0.05)))</f>
        <v>1</v>
      </c>
      <c r="HJ16" s="102">
        <f>MIN(1,MAX(VLOOKUP(($AJ16-$AI16-$AH16-$AG16-$AF16-$AE16*(1+HJ$3))/$AJ16,Уголь_коэфф!$A:$B,2,1),(HI16-0.05)))</f>
        <v>1</v>
      </c>
      <c r="HK16" s="102">
        <f>MIN(1,MAX(VLOOKUP(($AJ16-$AI16-$AH16-$AG16-$AF16-$AE16*(1+HK$3))/$AJ16,Уголь_коэфф!$A:$B,2,1),(HJ16-0.05)))</f>
        <v>1</v>
      </c>
      <c r="HL16" s="102">
        <f>MIN(1,MAX(VLOOKUP(($AJ16-$AI16-$AH16-$AG16-$AF16-$AE16*(1+HL$3))/$AJ16,Уголь_коэфф!$A:$B,2,1),(HK16-0.05)))</f>
        <v>0.995</v>
      </c>
      <c r="HM16" s="102">
        <f>MIN(1,MAX(VLOOKUP(($AJ16-$AI16-$AH16-$AG16-$AF16-$AE16*(1+HM$3))/$AJ16,Уголь_коэфф!$A:$B,2,1),(HL16-0.05)))</f>
        <v>0.995</v>
      </c>
      <c r="HN16" s="102">
        <f>MIN(1,MAX(VLOOKUP(($AJ16-$AI16-$AH16-$AG16-$AF16-$AE16*(1+HN$3))/$AJ16,Уголь_коэфф!$A:$B,2,1),(HM16-0.05)))</f>
        <v>0.995</v>
      </c>
      <c r="HO16" s="102">
        <f>MIN(1,MAX(VLOOKUP(($AJ16-$AI16-$AH16-$AG16-$AF16-$AE16*(1+HO$3))/$AJ16,Уголь_коэфф!$A:$B,2,1),(HN16-0.05)))</f>
        <v>0.995</v>
      </c>
      <c r="HP16" s="102">
        <f>MIN(1,MAX(VLOOKUP(($AJ16-$AI16-$AH16-$AG16-$AF16-$AE16*(1+HP$3))/$AJ16,Уголь_коэфф!$A:$B,2,1),(HO16-0.05)))</f>
        <v>0.995</v>
      </c>
      <c r="HQ16" s="102">
        <f>MIN(1,MAX(VLOOKUP(($AJ16-$AI16-$AH16-$AG16-$AF16-$AE16*(1+HQ$3))/$AJ16,Уголь_коэфф!$A:$B,2,1),(HP16-0.05)))</f>
        <v>0.995</v>
      </c>
      <c r="HR16" s="102">
        <f>MIN(1,MAX(VLOOKUP(($AJ16-$AI16-$AH16-$AG16-$AF16-$AE16*(1+HR$3))/$AJ16,Уголь_коэфф!$A:$B,2,1),(HQ16-0.05)))</f>
        <v>0.99</v>
      </c>
      <c r="HS16" s="102">
        <f>MIN(1,MAX(VLOOKUP(($AJ16-$AI16-$AH16-$AG16-$AF16-$AE16*(1+HS$3))/$AJ16,Уголь_коэфф!$A:$B,2,1),(HR16-0.05)))</f>
        <v>0.99</v>
      </c>
      <c r="HT16" s="102">
        <f>MIN(1,MAX(VLOOKUP(($AJ16-$AI16-$AH16-$AG16-$AF16-$AE16*(1+HT$3))/$AJ16,Уголь_коэфф!$A:$B,2,1),(HS16-0.05)))</f>
        <v>0.99</v>
      </c>
      <c r="HU16" s="102">
        <f>MIN(1,MAX(VLOOKUP(($AJ16-$AI16-$AH16-$AG16-$AF16-$AE16*(1+HU$3))/$AJ16,Уголь_коэфф!$A:$B,2,1),(HT16-0.05)))</f>
        <v>0.99</v>
      </c>
      <c r="HV16" s="102">
        <f>MIN(1,MAX(VLOOKUP(($AJ16-$AI16-$AH16-$AG16-$AF16-$AE16*(1+HV$3))/$AJ16,Уголь_коэфф!$A:$B,2,1),(HU16-0.05)))</f>
        <v>0.99</v>
      </c>
      <c r="HW16" s="102">
        <f>MIN(1,MAX(VLOOKUP(($AJ16-$AI16-$AH16-$AG16-$AF16-$AE16*(1+HW$3))/$AJ16,Уголь_коэфф!$A:$B,2,1),(HV16-0.05)))</f>
        <v>0.99</v>
      </c>
      <c r="HX16" s="102">
        <f>MIN(1,MAX(VLOOKUP(($AJ16-$AI16-$AH16-$AG16-$AF16-$AE16*(1+HX$3))/$AJ16,Уголь_коэфф!$A:$B,2,1),(HW16-0.05)))</f>
        <v>0.98499999999999999</v>
      </c>
      <c r="HY16" s="102">
        <f>MIN(1,MAX(VLOOKUP(($AJ16-$AI16-$AH16-$AG16-$AF16-$AE16*(1+HY$3))/$AJ16,Уголь_коэфф!$A:$B,2,1),(HX16-0.05)))</f>
        <v>0.98499999999999999</v>
      </c>
      <c r="HZ16" s="102">
        <f>MIN(1,MAX(VLOOKUP(($AJ16-$AI16-$AH16-$AG16-$AF16-$AE16*(1+HZ$3))/$AJ16,Уголь_коэфф!$A:$B,2,1),(HY16-0.05)))</f>
        <v>0.98499999999999999</v>
      </c>
      <c r="IA16" s="102">
        <f>MIN(1,MAX(VLOOKUP(($AJ16-$AI16-$AH16-$AG16-$AF16-$AE16*(1+IA$3))/$AJ16,Уголь_коэфф!$A:$B,2,1),(HZ16-0.05)))</f>
        <v>0.98499999999999999</v>
      </c>
      <c r="IB16" s="102">
        <f>MIN(1,MAX(VLOOKUP(($AJ16-$AI16-$AH16-$AG16-$AF16-$AE16*(1+IB$3))/$AJ16,Уголь_коэфф!$A:$B,2,1),(IA16-0.05)))</f>
        <v>0.98499999999999999</v>
      </c>
      <c r="IC16" s="102">
        <f>MIN(1,MAX(VLOOKUP(($AJ16-$AI16-$AH16-$AG16-$AF16-$AE16*(1+IC$3))/$AJ16,Уголь_коэфф!$A:$B,2,1),(IB16-0.05)))</f>
        <v>0.98499999999999999</v>
      </c>
      <c r="ID16" s="102">
        <f>MIN(1,MAX(VLOOKUP(($AJ16-$AI16-$AH16-$AG16-$AF16-$AE16*(1+ID$3))/$AJ16,Уголь_коэфф!$A:$B,2,1),(IC16-0.05)))</f>
        <v>0.98</v>
      </c>
      <c r="IE16" s="102">
        <f>MIN(1,MAX(VLOOKUP(($AJ16-$AI16-$AH16-$AG16-$AF16-$AE16*(1+IE$3))/$AJ16,Уголь_коэфф!$A:$B,2,1),(ID16-0.05)))</f>
        <v>0.98</v>
      </c>
      <c r="IF16" s="102">
        <f>MIN(1,MAX(VLOOKUP(($AJ16-$AI16-$AH16-$AG16-$AF16-$AE16*(1+IF$3))/$AJ16,Уголь_коэфф!$A:$B,2,1),(IE16-0.05)))</f>
        <v>0.98</v>
      </c>
      <c r="IG16" s="102">
        <f>MIN(1,MAX(VLOOKUP(($AJ16-$AI16-$AH16-$AG16-$AF16-$AE16*(1+IG$3))/$AJ16,Уголь_коэфф!$A:$B,2,1),(IF16-0.05)))</f>
        <v>0.98</v>
      </c>
      <c r="IH16" s="102">
        <f>MIN(1,MAX(VLOOKUP(($AJ16-$AI16-$AH16-$AG16-$AF16-$AE16*(1+IH$3))/$AJ16,Уголь_коэфф!$A:$B,2,1),(IG16-0.05)))</f>
        <v>0.98</v>
      </c>
      <c r="II16" s="102">
        <f>MIN(1,MAX(VLOOKUP(($AJ16-$AI16-$AH16-$AG16-$AF16-$AE16*(1+II$3))/$AJ16,Уголь_коэфф!$A:$B,2,1),(IH16-0.05)))</f>
        <v>0.98</v>
      </c>
      <c r="IJ16" s="102">
        <f>MIN(1,MAX(VLOOKUP(($AJ16-$AI16-$AH16-$AG16-$AF16-$AE16*(1+IJ$3))/$AJ16,Уголь_коэфф!$A:$B,2,1),(II16-0.05)))</f>
        <v>0.97499999999999998</v>
      </c>
      <c r="IK16" s="102">
        <f>MIN(1,MAX(VLOOKUP(($AJ16-$AI16-$AH16-$AG16-$AF16-$AE16*(1+IK$3))/$AJ16,Уголь_коэфф!$A:$B,2,1),(IJ16-0.05)))</f>
        <v>0.97499999999999998</v>
      </c>
      <c r="IL16" s="102">
        <f>MIN(1,MAX(VLOOKUP(($AJ16-$AI16-$AH16-$AG16-$AF16-$AE16*(1+IL$3))/$AJ16,Уголь_коэфф!$A:$B,2,1),(IK16-0.05)))</f>
        <v>0.97499999999999998</v>
      </c>
      <c r="IM16" s="102">
        <f>MIN(1,MAX(VLOOKUP(($AJ16-$AI16-$AH16-$AG16-$AF16-$AE16*(1+IM$3))/$AJ16,Уголь_коэфф!$A:$B,2,1),(IL16-0.05)))</f>
        <v>0.97499999999999998</v>
      </c>
      <c r="IN16" s="102">
        <f>MIN(1,MAX(VLOOKUP(($AJ16-$AI16-$AH16-$AG16-$AF16-$AE16*(1+IN$3))/$AJ16,Уголь_коэфф!$A:$B,2,1),(IM16-0.05)))</f>
        <v>0.97499999999999998</v>
      </c>
      <c r="IO16" s="102">
        <f>MIN(1,MAX(VLOOKUP(($AJ16-$AI16-$AH16-$AG16-$AF16-$AE16*(1+IO$3))/$AJ16,Уголь_коэфф!$A:$B,2,1),(IN16-0.05)))</f>
        <v>0.97499999999999998</v>
      </c>
      <c r="IP16" s="102">
        <f>MIN(1,MAX(VLOOKUP(($AJ16-$AI16-$AH16-$AG16-$AF16-$AE16*(1+IP$3))/$AJ16,Уголь_коэфф!$A:$B,2,1),(IO16-0.05)))</f>
        <v>0.97</v>
      </c>
      <c r="IQ16" s="102">
        <f>MIN(1,MAX(VLOOKUP(($AJ16-$AI16-$AH16-$AG16-$AF16-$AE16*(1+IQ$3))/$AJ16,Уголь_коэфф!$A:$B,2,1),(IP16-0.05)))</f>
        <v>0.97</v>
      </c>
      <c r="IR16" s="102">
        <f>MIN(1,MAX(VLOOKUP(($AJ16-$AI16-$AH16-$AG16-$AF16-$AE16*(1+IR$3))/$AJ16,Уголь_коэфф!$A:$B,2,1),(IQ16-0.05)))</f>
        <v>0.97</v>
      </c>
      <c r="IS16" s="102">
        <f t="shared" si="20"/>
        <v>1</v>
      </c>
      <c r="IT16" s="102">
        <f t="shared" si="7"/>
        <v>1</v>
      </c>
      <c r="IU16" s="110"/>
    </row>
    <row r="17" spans="1:255" ht="29.15" customHeight="1">
      <c r="A17" t="s">
        <v>245</v>
      </c>
      <c r="B17" s="133">
        <v>1</v>
      </c>
      <c r="C17" s="134" t="s">
        <v>16</v>
      </c>
      <c r="D17" s="135">
        <v>16101</v>
      </c>
      <c r="E17" s="135" t="s">
        <v>98</v>
      </c>
      <c r="F17" s="134" t="s">
        <v>99</v>
      </c>
      <c r="G17" s="134" t="s">
        <v>45</v>
      </c>
      <c r="H17" s="135" t="s">
        <v>19</v>
      </c>
      <c r="I17" s="135" t="s">
        <v>100</v>
      </c>
      <c r="J17" s="135" t="s">
        <v>101</v>
      </c>
      <c r="K17" s="135">
        <v>6011</v>
      </c>
      <c r="L17" s="135" t="s">
        <v>22</v>
      </c>
      <c r="M17" s="135" t="s">
        <v>23</v>
      </c>
      <c r="N17" s="135" t="s">
        <v>24</v>
      </c>
      <c r="O17" s="135" t="s">
        <v>25</v>
      </c>
      <c r="P17" s="136">
        <v>53037061</v>
      </c>
      <c r="Q17" s="136" t="s">
        <v>102</v>
      </c>
      <c r="R17" s="135" t="s">
        <v>103</v>
      </c>
      <c r="S17" s="139">
        <v>2022773</v>
      </c>
      <c r="T17" s="137">
        <v>12158690787</v>
      </c>
      <c r="U17" s="137">
        <v>27327</v>
      </c>
      <c r="V17" s="137"/>
      <c r="W17" s="140">
        <v>4731039707</v>
      </c>
      <c r="X17" s="104">
        <v>75</v>
      </c>
      <c r="Y17" s="104" t="s">
        <v>163</v>
      </c>
      <c r="Z17" s="107">
        <v>13</v>
      </c>
      <c r="AA17" s="107">
        <v>13</v>
      </c>
      <c r="AB17" s="107">
        <v>4</v>
      </c>
      <c r="AC17" s="88">
        <v>2564.59</v>
      </c>
      <c r="AD17" s="88">
        <v>1120.5699999999997</v>
      </c>
      <c r="AE17" s="88">
        <f t="shared" ref="AE17:AE19" si="24">AC17+AD17</f>
        <v>3685.16</v>
      </c>
      <c r="AF17" s="89">
        <f>'Цены,перевалка,аренда'!$C$26*SUM(Уголь_эластика_экспорт!Z17+Уголь_эластика_экспорт!AA17+Уголь_эластика_экспорт!AB17)/Уголь_эластика_экспорт!X17</f>
        <v>400</v>
      </c>
      <c r="AG17" s="90">
        <f>SUMIF('Цены,перевалка,аренда'!$A$20:$A$22,Уголь_эластика_экспорт!$O17,'Цены,перевалка,аренда'!$D$20:$D$22)</f>
        <v>763.05499999999995</v>
      </c>
      <c r="AH17" s="47"/>
      <c r="AI17" s="91">
        <v>2771</v>
      </c>
      <c r="AJ17" s="92">
        <f>SUMIF('Цены,перевалка,аренда'!$A$5:$A$17,Уголь_эластика_экспорт!A17,'Цены,перевалка,аренда'!$D$5:$D$17)</f>
        <v>10072.325999999999</v>
      </c>
      <c r="AK17" s="47">
        <f>AJ17/'Цены,перевалка,аренда'!$C$1</f>
        <v>132</v>
      </c>
      <c r="AL17" s="47">
        <f t="shared" si="9"/>
        <v>4848.2150000000001</v>
      </c>
      <c r="AM17" s="47">
        <f t="shared" si="10"/>
        <v>5224.110999999999</v>
      </c>
      <c r="AN17" s="47">
        <f t="shared" si="11"/>
        <v>7619.2150000000001</v>
      </c>
      <c r="AO17" s="93">
        <f t="shared" si="12"/>
        <v>0.2435496031403272</v>
      </c>
      <c r="AP17" s="94">
        <f t="shared" si="13"/>
        <v>0.48134015916482453</v>
      </c>
      <c r="AQ17" s="94">
        <f t="shared" si="5"/>
        <v>0.36586981001210644</v>
      </c>
      <c r="AR17" s="94">
        <f t="shared" si="6"/>
        <v>0.76010655468043387</v>
      </c>
      <c r="AS17" s="167">
        <f t="shared" si="14"/>
        <v>1</v>
      </c>
      <c r="AT17" s="173">
        <f t="shared" si="15"/>
        <v>2022773</v>
      </c>
      <c r="AU17" s="97">
        <f>12.8/13.4</f>
        <v>0.95522388059701491</v>
      </c>
      <c r="AV17" s="93">
        <f t="shared" si="16"/>
        <v>0.19964522593887438</v>
      </c>
      <c r="AW17" s="94">
        <f t="shared" si="17"/>
        <v>0.52524453636627733</v>
      </c>
      <c r="AX17" s="94">
        <f t="shared" si="18"/>
        <v>0.40977418721355929</v>
      </c>
      <c r="AY17" s="94">
        <f t="shared" si="19"/>
        <v>0.78015887618449165</v>
      </c>
      <c r="AZ17" s="102">
        <f>MIN(IF($AU17=100%,1,1+VLOOKUP(($AJ17-$AI17-$AH17-$AG17-$AF17-$AE17*(1+AZ$3))/$AJ17,Уголь_коэфф!$A:$B,2,1)-VLOOKUP($AO17,Уголь_коэфф!$A:$B,2,1)),1+(1-$AU17))</f>
        <v>1.044776119402985</v>
      </c>
      <c r="BA17" s="102">
        <f>MIN(IF($AU17=100%,1,1+VLOOKUP(($AJ17-$AI17-$AH17-$AG17-$AF17-$AE17*(1+BA$3))/$AJ17,Уголь_коэфф!$A:$B,2,1)-VLOOKUP($AO17,Уголь_коэфф!$A:$B,2,1)),1+(1-$AU17))</f>
        <v>1.044776119402985</v>
      </c>
      <c r="BB17" s="102">
        <f>MIN(IF($AU17=100%,1,1+VLOOKUP(($AJ17-$AI17-$AH17-$AG17-$AF17-$AE17*(1+BB$3))/$AJ17,Уголь_коэфф!$A:$B,2,1)-VLOOKUP($AO17,Уголь_коэфф!$A:$B,2,1)),1+(1-$AU17))</f>
        <v>1.044776119402985</v>
      </c>
      <c r="BC17" s="102">
        <f>MIN(IF($AU17=100%,1,1+VLOOKUP(($AJ17-$AI17-$AH17-$AG17-$AF17-$AE17*(1+BC$3))/$AJ17,Уголь_коэфф!$A:$B,2,1)-VLOOKUP($AO17,Уголь_коэфф!$A:$B,2,1)),1+(1-$AU17))</f>
        <v>1.044776119402985</v>
      </c>
      <c r="BD17" s="102">
        <f>MIN(IF($AU17=100%,1,1+VLOOKUP(($AJ17-$AI17-$AH17-$AG17-$AF17-$AE17*(1+BD$3))/$AJ17,Уголь_коэфф!$A:$B,2,1)-VLOOKUP($AO17,Уголь_коэфф!$A:$B,2,1)),1+(1-$AU17))</f>
        <v>1.044776119402985</v>
      </c>
      <c r="BE17" s="102">
        <f>MIN(IF($AU17=100%,1,1+VLOOKUP(($AJ17-$AI17-$AH17-$AG17-$AF17-$AE17*(1+BE$3))/$AJ17,Уголь_коэфф!$A:$B,2,1)-VLOOKUP($AO17,Уголь_коэфф!$A:$B,2,1)),1+(1-$AU17))</f>
        <v>1.044776119402985</v>
      </c>
      <c r="BF17" s="102">
        <f>MIN(IF($AU17=100%,1,1+VLOOKUP(($AJ17-$AI17-$AH17-$AG17-$AF17-$AE17*(1+BF$3))/$AJ17,Уголь_коэфф!$A:$B,2,1)-VLOOKUP($AO17,Уголь_коэфф!$A:$B,2,1)),1+(1-$AU17))</f>
        <v>1.044776119402985</v>
      </c>
      <c r="BG17" s="102">
        <f>MIN(IF($AU17=100%,1,1+VLOOKUP(($AJ17-$AI17-$AH17-$AG17-$AF17-$AE17*(1+BG$3))/$AJ17,Уголь_коэфф!$A:$B,2,1)-VLOOKUP($AO17,Уголь_коэфф!$A:$B,2,1)),1+(1-$AU17))</f>
        <v>1.044776119402985</v>
      </c>
      <c r="BH17" s="102">
        <f>MIN(IF($AU17=100%,1,1+VLOOKUP(($AJ17-$AI17-$AH17-$AG17-$AF17-$AE17*(1+BH$3))/$AJ17,Уголь_коэфф!$A:$B,2,1)-VLOOKUP($AO17,Уголь_коэфф!$A:$B,2,1)),1+(1-$AU17))</f>
        <v>1.044776119402985</v>
      </c>
      <c r="BI17" s="102">
        <f>MIN(IF($AU17=100%,1,1+VLOOKUP(($AJ17-$AI17-$AH17-$AG17-$AF17-$AE17*(1+BI$3))/$AJ17,Уголь_коэфф!$A:$B,2,1)-VLOOKUP($AO17,Уголь_коэфф!$A:$B,2,1)),1+(1-$AU17))</f>
        <v>1.044776119402985</v>
      </c>
      <c r="BJ17" s="102">
        <f>MIN(IF($AU17=100%,1,1+VLOOKUP(($AJ17-$AI17-$AH17-$AG17-$AF17-$AE17*(1+BJ$3))/$AJ17,Уголь_коэфф!$A:$B,2,1)-VLOOKUP($AO17,Уголь_коэфф!$A:$B,2,1)),1+(1-$AU17))</f>
        <v>1.044776119402985</v>
      </c>
      <c r="BK17" s="102">
        <f>MIN(IF($AU17=100%,1,1+VLOOKUP(($AJ17-$AI17-$AH17-$AG17-$AF17-$AE17*(1+BK$3))/$AJ17,Уголь_коэфф!$A:$B,2,1)-VLOOKUP($AO17,Уголь_коэфф!$A:$B,2,1)),1+(1-$AU17))</f>
        <v>1.044776119402985</v>
      </c>
      <c r="BL17" s="102">
        <f>MIN(IF($AU17=100%,1,1+VLOOKUP(($AJ17-$AI17-$AH17-$AG17-$AF17-$AE17*(1+BL$3))/$AJ17,Уголь_коэфф!$A:$B,2,1)-VLOOKUP($AO17,Уголь_коэфф!$A:$B,2,1)),1+(1-$AU17))</f>
        <v>1.044776119402985</v>
      </c>
      <c r="BM17" s="102">
        <f>MIN(IF($AU17=100%,1,1+VLOOKUP(($AJ17-$AI17-$AH17-$AG17-$AF17-$AE17*(1+BM$3))/$AJ17,Уголь_коэфф!$A:$B,2,1)-VLOOKUP($AO17,Уголь_коэфф!$A:$B,2,1)),1+(1-$AU17))</f>
        <v>1.044776119402985</v>
      </c>
      <c r="BN17" s="102">
        <f>MIN(IF($AU17=100%,1,1+VLOOKUP(($AJ17-$AI17-$AH17-$AG17-$AF17-$AE17*(1+BN$3))/$AJ17,Уголь_коэфф!$A:$B,2,1)-VLOOKUP($AO17,Уголь_коэфф!$A:$B,2,1)),1+(1-$AU17))</f>
        <v>1.044776119402985</v>
      </c>
      <c r="BO17" s="102">
        <f>MIN(IF($AU17=100%,1,1+VLOOKUP(($AJ17-$AI17-$AH17-$AG17-$AF17-$AE17*(1+BO$3))/$AJ17,Уголь_коэфф!$A:$B,2,1)-VLOOKUP($AO17,Уголь_коэфф!$A:$B,2,1)),1+(1-$AU17))</f>
        <v>1.044776119402985</v>
      </c>
      <c r="BP17" s="102">
        <f>MIN(IF($AU17=100%,1,1+VLOOKUP(($AJ17-$AI17-$AH17-$AG17-$AF17-$AE17*(1+BP$3))/$AJ17,Уголь_коэфф!$A:$B,2,1)-VLOOKUP($AO17,Уголь_коэфф!$A:$B,2,1)),1+(1-$AU17))</f>
        <v>1.044776119402985</v>
      </c>
      <c r="BQ17" s="102">
        <f>MIN(IF($AU17=100%,1,1+VLOOKUP(($AJ17-$AI17-$AH17-$AG17-$AF17-$AE17*(1+BQ$3))/$AJ17,Уголь_коэфф!$A:$B,2,1)-VLOOKUP($AO17,Уголь_коэфф!$A:$B,2,1)),1+(1-$AU17))</f>
        <v>1.044776119402985</v>
      </c>
      <c r="BR17" s="102">
        <f>MIN(IF($AU17=100%,1,1+VLOOKUP(($AJ17-$AI17-$AH17-$AG17-$AF17-$AE17*(1+BR$3))/$AJ17,Уголь_коэфф!$A:$B,2,1)-VLOOKUP($AO17,Уголь_коэфф!$A:$B,2,1)),1+(1-$AU17))</f>
        <v>1.044776119402985</v>
      </c>
      <c r="BS17" s="102">
        <f>MIN(IF($AU17=100%,1,1+VLOOKUP(($AJ17-$AI17-$AH17-$AG17-$AF17-$AE17*(1+BS$3))/$AJ17,Уголь_коэфф!$A:$B,2,1)-VLOOKUP($AO17,Уголь_коэфф!$A:$B,2,1)),1+(1-$AU17))</f>
        <v>1.044776119402985</v>
      </c>
      <c r="BT17" s="102">
        <f>MIN(IF($AU17=100%,1,1+VLOOKUP(($AJ17-$AI17-$AH17-$AG17-$AF17-$AE17*(1+BT$3))/$AJ17,Уголь_коэфф!$A:$B,2,1)-VLOOKUP($AO17,Уголь_коэфф!$A:$B,2,1)),1+(1-$AU17))</f>
        <v>1.044776119402985</v>
      </c>
      <c r="BU17" s="102">
        <f>MIN(IF($AU17=100%,1,1+VLOOKUP(($AJ17-$AI17-$AH17-$AG17-$AF17-$AE17*(1+BU$3))/$AJ17,Уголь_коэфф!$A:$B,2,1)-VLOOKUP($AO17,Уголь_коэфф!$A:$B,2,1)),1+(1-$AU17))</f>
        <v>1.044776119402985</v>
      </c>
      <c r="BV17" s="102">
        <f>MIN(IF($AU17=100%,1,1+VLOOKUP(($AJ17-$AI17-$AH17-$AG17-$AF17-$AE17*(1+BV$3))/$AJ17,Уголь_коэфф!$A:$B,2,1)-VLOOKUP($AO17,Уголь_коэфф!$A:$B,2,1)),1+(1-$AU17))</f>
        <v>1.044776119402985</v>
      </c>
      <c r="BW17" s="102">
        <f>MIN(IF($AU17=100%,1,1+VLOOKUP(($AJ17-$AI17-$AH17-$AG17-$AF17-$AE17*(1+BW$3))/$AJ17,Уголь_коэфф!$A:$B,2,1)-VLOOKUP($AO17,Уголь_коэфф!$A:$B,2,1)),1+(1-$AU17))</f>
        <v>1.044776119402985</v>
      </c>
      <c r="BX17" s="102">
        <f>MIN(IF($AU17=100%,1,1+VLOOKUP(($AJ17-$AI17-$AH17-$AG17-$AF17-$AE17*(1+BX$3))/$AJ17,Уголь_коэфф!$A:$B,2,1)-VLOOKUP($AO17,Уголь_коэфф!$A:$B,2,1)),1+(1-$AU17))</f>
        <v>1.044776119402985</v>
      </c>
      <c r="BY17" s="102">
        <f>MIN(IF($AU17=100%,1,1+VLOOKUP(($AJ17-$AI17-$AH17-$AG17-$AF17-$AE17*(1+BY$3))/$AJ17,Уголь_коэфф!$A:$B,2,1)-VLOOKUP($AO17,Уголь_коэфф!$A:$B,2,1)),1+(1-$AU17))</f>
        <v>1.044776119402985</v>
      </c>
      <c r="BZ17" s="102">
        <f>MIN(IF($AU17=100%,1,1+VLOOKUP(($AJ17-$AI17-$AH17-$AG17-$AF17-$AE17*(1+BZ$3))/$AJ17,Уголь_коэфф!$A:$B,2,1)-VLOOKUP($AO17,Уголь_коэфф!$A:$B,2,1)),1+(1-$AU17))</f>
        <v>1.044776119402985</v>
      </c>
      <c r="CA17" s="102">
        <f>MIN(IF($AU17=100%,1,1+VLOOKUP(($AJ17-$AI17-$AH17-$AG17-$AF17-$AE17*(1+CA$3))/$AJ17,Уголь_коэфф!$A:$B,2,1)-VLOOKUP($AO17,Уголь_коэфф!$A:$B,2,1)),1+(1-$AU17))</f>
        <v>1.044776119402985</v>
      </c>
      <c r="CB17" s="102">
        <f>MIN(IF($AU17=100%,1,1+VLOOKUP(($AJ17-$AI17-$AH17-$AG17-$AF17-$AE17*(1+CB$3))/$AJ17,Уголь_коэфф!$A:$B,2,1)-VLOOKUP($AO17,Уголь_коэфф!$A:$B,2,1)),1+(1-$AU17))</f>
        <v>1.044776119402985</v>
      </c>
      <c r="CC17" s="102">
        <f>MIN(IF($AU17=100%,1,1+VLOOKUP(($AJ17-$AI17-$AH17-$AG17-$AF17-$AE17*(1+CC$3))/$AJ17,Уголь_коэфф!$A:$B,2,1)-VLOOKUP($AO17,Уголь_коэфф!$A:$B,2,1)),1+(1-$AU17))</f>
        <v>1.044776119402985</v>
      </c>
      <c r="CD17" s="102">
        <f>MIN(IF($AU17=100%,1,1+VLOOKUP(($AJ17-$AI17-$AH17-$AG17-$AF17-$AE17*(1+CD$3))/$AJ17,Уголь_коэфф!$A:$B,2,1)-VLOOKUP($AO17,Уголь_коэфф!$A:$B,2,1)),1+(1-$AU17))</f>
        <v>1.044776119402985</v>
      </c>
      <c r="CE17" s="102">
        <f>MIN(IF($AU17=100%,1,1+VLOOKUP(($AJ17-$AI17-$AH17-$AG17-$AF17-$AE17*(1+CE$3))/$AJ17,Уголь_коэфф!$A:$B,2,1)-VLOOKUP($AO17,Уголь_коэфф!$A:$B,2,1)),1+(1-$AU17))</f>
        <v>1.044776119402985</v>
      </c>
      <c r="CF17" s="102">
        <f>MIN(IF($AU17=100%,1,1+VLOOKUP(($AJ17-$AI17-$AH17-$AG17-$AF17-$AE17*(1+CF$3))/$AJ17,Уголь_коэфф!$A:$B,2,1)-VLOOKUP($AO17,Уголь_коэфф!$A:$B,2,1)),1+(1-$AU17))</f>
        <v>1.044776119402985</v>
      </c>
      <c r="CG17" s="102">
        <f>MIN(IF($AU17=100%,1,1+VLOOKUP(($AJ17-$AI17-$AH17-$AG17-$AF17-$AE17*(1+CG$3))/$AJ17,Уголь_коэфф!$A:$B,2,1)-VLOOKUP($AO17,Уголь_коэфф!$A:$B,2,1)),1+(1-$AU17))</f>
        <v>1.044776119402985</v>
      </c>
      <c r="CH17" s="102">
        <f>MIN(IF($AU17=100%,1,1+VLOOKUP(($AJ17-$AI17-$AH17-$AG17-$AF17-$AE17*(1+CH$3))/$AJ17,Уголь_коэфф!$A:$B,2,1)-VLOOKUP($AO17,Уголь_коэфф!$A:$B,2,1)),1+(1-$AU17))</f>
        <v>1.044776119402985</v>
      </c>
      <c r="CI17" s="102">
        <f>MIN(IF($AU17=100%,1,1+VLOOKUP(($AJ17-$AI17-$AH17-$AG17-$AF17-$AE17*(1+CI$3))/$AJ17,Уголь_коэфф!$A:$B,2,1)-VLOOKUP($AO17,Уголь_коэфф!$A:$B,2,1)),1+(1-$AU17))</f>
        <v>1.044776119402985</v>
      </c>
      <c r="CJ17" s="102">
        <f>MIN(IF($AU17=100%,1,1+VLOOKUP(($AJ17-$AI17-$AH17-$AG17-$AF17-$AE17*(1+CJ$3))/$AJ17,Уголь_коэфф!$A:$B,2,1)-VLOOKUP($AO17,Уголь_коэфф!$A:$B,2,1)),1+(1-$AU17))</f>
        <v>1.044776119402985</v>
      </c>
      <c r="CK17" s="102">
        <f>MIN(IF($AU17=100%,1,1+VLOOKUP(($AJ17-$AI17-$AH17-$AG17-$AF17-$AE17*(1+CK$3))/$AJ17,Уголь_коэфф!$A:$B,2,1)-VLOOKUP($AO17,Уголь_коэфф!$A:$B,2,1)),1+(1-$AU17))</f>
        <v>1.044776119402985</v>
      </c>
      <c r="CL17" s="102">
        <f>MIN(IF($AU17=100%,1,1+VLOOKUP(($AJ17-$AI17-$AH17-$AG17-$AF17-$AE17*(1+CL$3))/$AJ17,Уголь_коэфф!$A:$B,2,1)-VLOOKUP($AO17,Уголь_коэфф!$A:$B,2,1)),1+(1-$AU17))</f>
        <v>1.044776119402985</v>
      </c>
      <c r="CM17" s="102">
        <f>MIN(IF($AU17=100%,1,1+VLOOKUP(($AJ17-$AI17-$AH17-$AG17-$AF17-$AE17*(1+CM$3))/$AJ17,Уголь_коэфф!$A:$B,2,1)-VLOOKUP($AO17,Уголь_коэфф!$A:$B,2,1)),1+(1-$AU17))</f>
        <v>1.044776119402985</v>
      </c>
      <c r="CN17" s="102">
        <f>MIN(IF($AU17=100%,1,1+VLOOKUP(($AJ17-$AI17-$AH17-$AG17-$AF17-$AE17*(1+CN$3))/$AJ17,Уголь_коэфф!$A:$B,2,1)-VLOOKUP($AO17,Уголь_коэфф!$A:$B,2,1)),1+(1-$AU17))</f>
        <v>1.044776119402985</v>
      </c>
      <c r="CO17" s="102">
        <f>MIN(IF($AU17=100%,1,1+VLOOKUP(($AJ17-$AI17-$AH17-$AG17-$AF17-$AE17*(1+CO$3))/$AJ17,Уголь_коэфф!$A:$B,2,1)-VLOOKUP($AO17,Уголь_коэфф!$A:$B,2,1)),1+(1-$AU17))</f>
        <v>1.044776119402985</v>
      </c>
      <c r="CP17" s="102">
        <f>MIN(IF($AU17=100%,1,1+VLOOKUP(($AJ17-$AI17-$AH17-$AG17-$AF17-$AE17*(1+CP$3))/$AJ17,Уголь_коэфф!$A:$B,2,1)-VLOOKUP($AO17,Уголь_коэфф!$A:$B,2,1)),1+(1-$AU17))</f>
        <v>1.044776119402985</v>
      </c>
      <c r="CQ17" s="102">
        <f>MIN(IF($AU17=100%,1,1+VLOOKUP(($AJ17-$AI17-$AH17-$AG17-$AF17-$AE17*(1+CQ$3))/$AJ17,Уголь_коэфф!$A:$B,2,1)-VLOOKUP($AO17,Уголь_коэфф!$A:$B,2,1)),1+(1-$AU17))</f>
        <v>1.044776119402985</v>
      </c>
      <c r="CR17" s="102">
        <f>MIN(IF($AU17=100%,1,1+VLOOKUP(($AJ17-$AI17-$AH17-$AG17-$AF17-$AE17*(1+CR$3))/$AJ17,Уголь_коэфф!$A:$B,2,1)-VLOOKUP($AO17,Уголь_коэфф!$A:$B,2,1)),1+(1-$AU17))</f>
        <v>1.044776119402985</v>
      </c>
      <c r="CS17" s="102">
        <f>MIN(IF($AU17=100%,1,1+VLOOKUP(($AJ17-$AI17-$AH17-$AG17-$AF17-$AE17*(1+CS$3))/$AJ17,Уголь_коэфф!$A:$B,2,1)-VLOOKUP($AO17,Уголь_коэфф!$A:$B,2,1)),1+(1-$AU17))</f>
        <v>1.044776119402985</v>
      </c>
      <c r="CT17" s="102">
        <f>MIN(IF($AU17=100%,1,1+VLOOKUP(($AJ17-$AI17-$AH17-$AG17-$AF17-$AE17*(1+CT$3))/$AJ17,Уголь_коэфф!$A:$B,2,1)-VLOOKUP($AO17,Уголь_коэфф!$A:$B,2,1)),1+(1-$AU17))</f>
        <v>1.044776119402985</v>
      </c>
      <c r="CU17" s="102">
        <f>MIN(IF($AU17=100%,1,1+VLOOKUP(($AJ17-$AI17-$AH17-$AG17-$AF17-$AE17*(1+CU$3))/$AJ17,Уголь_коэфф!$A:$B,2,1)-VLOOKUP($AO17,Уголь_коэфф!$A:$B,2,1)),1+(1-$AU17))</f>
        <v>1.044776119402985</v>
      </c>
      <c r="CV17" s="102">
        <f>MIN(IF($AU17=100%,1,1+VLOOKUP(($AJ17-$AI17-$AH17-$AG17-$AF17-$AE17*(1+CV$3))/$AJ17,Уголь_коэфф!$A:$B,2,1)-VLOOKUP($AO17,Уголь_коэфф!$A:$B,2,1)),1+(1-$AU17))</f>
        <v>1.044776119402985</v>
      </c>
      <c r="CW17" s="102">
        <f>MIN(IF($AU17=100%,1,1+VLOOKUP(($AJ17-$AI17-$AH17-$AG17-$AF17-$AE17*(1+CW$3))/$AJ17,Уголь_коэфф!$A:$B,2,1)-VLOOKUP($AO17,Уголь_коэфф!$A:$B,2,1)),1+(1-$AU17))</f>
        <v>1.044776119402985</v>
      </c>
      <c r="CX17" s="102">
        <f>MIN(IF($AU17=100%,1,1+VLOOKUP(($AJ17-$AI17-$AH17-$AG17-$AF17-$AE17*(1+CX$3))/$AJ17,Уголь_коэфф!$A:$B,2,1)-VLOOKUP($AO17,Уголь_коэфф!$A:$B,2,1)),1+(1-$AU17))</f>
        <v>1.044776119402985</v>
      </c>
      <c r="CY17" s="102">
        <f>MIN(IF($AU17=100%,1,1+VLOOKUP(($AJ17-$AI17-$AH17-$AG17-$AF17-$AE17*(1+CY$3))/$AJ17,Уголь_коэфф!$A:$B,2,1)-VLOOKUP($AO17,Уголь_коэфф!$A:$B,2,1)),1+(1-$AU17))</f>
        <v>1.044776119402985</v>
      </c>
      <c r="CZ17" s="102">
        <f>MIN(IF($AU17=100%,1,1+VLOOKUP(($AJ17-$AI17-$AH17-$AG17-$AF17-$AE17*(1+CZ$3))/$AJ17,Уголь_коэфф!$A:$B,2,1)-VLOOKUP($AO17,Уголь_коэфф!$A:$B,2,1)),1+(1-$AU17))</f>
        <v>1.044776119402985</v>
      </c>
      <c r="DA17" s="102">
        <f>MIN(IF($AU17=100%,1,1+VLOOKUP(($AJ17-$AI17-$AH17-$AG17-$AF17-$AE17*(1+DA$3))/$AJ17,Уголь_коэфф!$A:$B,2,1)-VLOOKUP($AO17,Уголь_коэфф!$A:$B,2,1)),1+(1-$AU17))</f>
        <v>1.044776119402985</v>
      </c>
      <c r="DB17" s="102">
        <f>MIN(IF($AU17=100%,1,1+VLOOKUP(($AJ17-$AI17-$AH17-$AG17-$AF17-$AE17*(1+DB$3))/$AJ17,Уголь_коэфф!$A:$B,2,1)-VLOOKUP($AO17,Уголь_коэфф!$A:$B,2,1)),1+(1-$AU17))</f>
        <v>1.044776119402985</v>
      </c>
      <c r="DC17" s="102">
        <f>MIN(IF($AU17=100%,1,1+VLOOKUP(($AJ17-$AI17-$AH17-$AG17-$AF17-$AE17*(1+DC$3))/$AJ17,Уголь_коэфф!$A:$B,2,1)-VLOOKUP($AO17,Уголь_коэфф!$A:$B,2,1)),1+(1-$AU17))</f>
        <v>1.044776119402985</v>
      </c>
      <c r="DD17" s="102">
        <f>MIN(IF($AU17=100%,1,1+VLOOKUP(($AJ17-$AI17-$AH17-$AG17-$AF17-$AE17*(1+DD$3))/$AJ17,Уголь_коэфф!$A:$B,2,1)-VLOOKUP($AO17,Уголь_коэфф!$A:$B,2,1)),1+(1-$AU17))</f>
        <v>1.044776119402985</v>
      </c>
      <c r="DE17" s="102">
        <f>MIN(IF($AU17=100%,1,1+VLOOKUP(($AJ17-$AI17-$AH17-$AG17-$AF17-$AE17*(1+DE$3))/$AJ17,Уголь_коэфф!$A:$B,2,1)-VLOOKUP($AO17,Уголь_коэфф!$A:$B,2,1)),1+(1-$AU17))</f>
        <v>1.044776119402985</v>
      </c>
      <c r="DF17" s="102">
        <f>MIN(IF($AU17=100%,1,1+VLOOKUP(($AJ17-$AI17-$AH17-$AG17-$AF17-$AE17*(1+DF$3))/$AJ17,Уголь_коэфф!$A:$B,2,1)-VLOOKUP($AO17,Уголь_коэфф!$A:$B,2,1)),1+(1-$AU17))</f>
        <v>1.044776119402985</v>
      </c>
      <c r="DG17" s="102">
        <f>MIN(IF($AU17=100%,1,1+VLOOKUP(($AJ17-$AI17-$AH17-$AG17-$AF17-$AE17*(1+DG$3))/$AJ17,Уголь_коэфф!$A:$B,2,1)-VLOOKUP($AO17,Уголь_коэфф!$A:$B,2,1)),1+(1-$AU17))</f>
        <v>1.0419999999999998</v>
      </c>
      <c r="DH17" s="102">
        <f>MIN(IF($AU17=100%,1,1+VLOOKUP(($AJ17-$AI17-$AH17-$AG17-$AF17-$AE17*(1+DH$3))/$AJ17,Уголь_коэфф!$A:$B,2,1)-VLOOKUP($AO17,Уголь_коэфф!$A:$B,2,1)),1+(1-$AU17))</f>
        <v>1.0419999999999998</v>
      </c>
      <c r="DI17" s="102">
        <f>MIN(IF($AU17=100%,1,1+VLOOKUP(($AJ17-$AI17-$AH17-$AG17-$AF17-$AE17*(1+DI$3))/$AJ17,Уголь_коэфф!$A:$B,2,1)-VLOOKUP($AO17,Уголь_коэфф!$A:$B,2,1)),1+(1-$AU17))</f>
        <v>1.0419999999999998</v>
      </c>
      <c r="DJ17" s="102">
        <f>MIN(IF($AU17=100%,1,1+VLOOKUP(($AJ17-$AI17-$AH17-$AG17-$AF17-$AE17*(1+DJ$3))/$AJ17,Уголь_коэфф!$A:$B,2,1)-VLOOKUP($AO17,Уголь_коэфф!$A:$B,2,1)),1+(1-$AU17))</f>
        <v>1.0419999999999998</v>
      </c>
      <c r="DK17" s="102">
        <f>MIN(IF($AU17=100%,1,1+VLOOKUP(($AJ17-$AI17-$AH17-$AG17-$AF17-$AE17*(1+DK$3))/$AJ17,Уголь_коэфф!$A:$B,2,1)-VLOOKUP($AO17,Уголь_коэфф!$A:$B,2,1)),1+(1-$AU17))</f>
        <v>1.0419999999999998</v>
      </c>
      <c r="DL17" s="102">
        <f>MIN(IF($AU17=100%,1,1+VLOOKUP(($AJ17-$AI17-$AH17-$AG17-$AF17-$AE17*(1+DL$3))/$AJ17,Уголь_коэфф!$A:$B,2,1)-VLOOKUP($AO17,Уголь_коэфф!$A:$B,2,1)),1+(1-$AU17))</f>
        <v>1.036</v>
      </c>
      <c r="DM17" s="102">
        <f>MIN(IF($AU17=100%,1,1+VLOOKUP(($AJ17-$AI17-$AH17-$AG17-$AF17-$AE17*(1+DM$3))/$AJ17,Уголь_коэфф!$A:$B,2,1)-VLOOKUP($AO17,Уголь_коэфф!$A:$B,2,1)),1+(1-$AU17))</f>
        <v>1.036</v>
      </c>
      <c r="DN17" s="102">
        <f>MIN(IF($AU17=100%,1,1+VLOOKUP(($AJ17-$AI17-$AH17-$AG17-$AF17-$AE17*(1+DN$3))/$AJ17,Уголь_коэфф!$A:$B,2,1)-VLOOKUP($AO17,Уголь_коэфф!$A:$B,2,1)),1+(1-$AU17))</f>
        <v>1.036</v>
      </c>
      <c r="DO17" s="102">
        <f>MIN(IF($AU17=100%,1,1+VLOOKUP(($AJ17-$AI17-$AH17-$AG17-$AF17-$AE17*(1+DO$3))/$AJ17,Уголь_коэфф!$A:$B,2,1)-VLOOKUP($AO17,Уголь_коэфф!$A:$B,2,1)),1+(1-$AU17))</f>
        <v>1.036</v>
      </c>
      <c r="DP17" s="102">
        <f>MIN(IF($AU17=100%,1,1+VLOOKUP(($AJ17-$AI17-$AH17-$AG17-$AF17-$AE17*(1+DP$3))/$AJ17,Уголь_коэфф!$A:$B,2,1)-VLOOKUP($AO17,Уголь_коэфф!$A:$B,2,1)),1+(1-$AU17))</f>
        <v>1.036</v>
      </c>
      <c r="DQ17" s="102">
        <f>MIN(IF($AU17=100%,1,1+VLOOKUP(($AJ17-$AI17-$AH17-$AG17-$AF17-$AE17*(1+DQ$3))/$AJ17,Уголь_коэфф!$A:$B,2,1)-VLOOKUP($AO17,Уголь_коэфф!$A:$B,2,1)),1+(1-$AU17))</f>
        <v>1.036</v>
      </c>
      <c r="DR17" s="102">
        <f>MIN(IF($AU17=100%,1,1+VLOOKUP(($AJ17-$AI17-$AH17-$AG17-$AF17-$AE17*(1+DR$3))/$AJ17,Уголь_коэфф!$A:$B,2,1)-VLOOKUP($AO17,Уголь_коэфф!$A:$B,2,1)),1+(1-$AU17))</f>
        <v>1.0299999999999998</v>
      </c>
      <c r="DS17" s="102">
        <f>MIN(IF($AU17=100%,1,1+VLOOKUP(($AJ17-$AI17-$AH17-$AG17-$AF17-$AE17*(1+DS$3))/$AJ17,Уголь_коэфф!$A:$B,2,1)-VLOOKUP($AO17,Уголь_коэфф!$A:$B,2,1)),1+(1-$AU17))</f>
        <v>1.0299999999999998</v>
      </c>
      <c r="DT17" s="102">
        <f>MIN(IF($AU17=100%,1,1+VLOOKUP(($AJ17-$AI17-$AH17-$AG17-$AF17-$AE17*(1+DT$3))/$AJ17,Уголь_коэфф!$A:$B,2,1)-VLOOKUP($AO17,Уголь_коэфф!$A:$B,2,1)),1+(1-$AU17))</f>
        <v>1.0299999999999998</v>
      </c>
      <c r="DU17" s="102">
        <f>MIN(IF($AU17=100%,1,1+VLOOKUP(($AJ17-$AI17-$AH17-$AG17-$AF17-$AE17*(1+DU$3))/$AJ17,Уголь_коэфф!$A:$B,2,1)-VLOOKUP($AO17,Уголь_коэфф!$A:$B,2,1)),1+(1-$AU17))</f>
        <v>1.0299999999999998</v>
      </c>
      <c r="DV17" s="102">
        <f>MIN(IF($AU17=100%,1,1+VLOOKUP(($AJ17-$AI17-$AH17-$AG17-$AF17-$AE17*(1+DV$3))/$AJ17,Уголь_коэфф!$A:$B,2,1)-VLOOKUP($AO17,Уголь_коэфф!$A:$B,2,1)),1+(1-$AU17))</f>
        <v>1.0299999999999998</v>
      </c>
      <c r="DW17" s="102">
        <f>MIN(IF($AU17=100%,1,1+VLOOKUP(($AJ17-$AI17-$AH17-$AG17-$AF17-$AE17*(1+DW$3))/$AJ17,Уголь_коэфф!$A:$B,2,1)-VLOOKUP($AO17,Уголь_коэфф!$A:$B,2,1)),1+(1-$AU17))</f>
        <v>1.0239999999999996</v>
      </c>
      <c r="DX17" s="102">
        <f>MIN(IF($AU17=100%,1,1+VLOOKUP(($AJ17-$AI17-$AH17-$AG17-$AF17-$AE17*(1+DX$3))/$AJ17,Уголь_коэфф!$A:$B,2,1)-VLOOKUP($AO17,Уголь_коэфф!$A:$B,2,1)),1+(1-$AU17))</f>
        <v>1.0239999999999996</v>
      </c>
      <c r="DY17" s="102">
        <f>MIN(IF($AU17=100%,1,1+VLOOKUP(($AJ17-$AI17-$AH17-$AG17-$AF17-$AE17*(1+DY$3))/$AJ17,Уголь_коэфф!$A:$B,2,1)-VLOOKUP($AO17,Уголь_коэфф!$A:$B,2,1)),1+(1-$AU17))</f>
        <v>1.0239999999999996</v>
      </c>
      <c r="DZ17" s="102">
        <f>MIN(IF($AU17=100%,1,1+VLOOKUP(($AJ17-$AI17-$AH17-$AG17-$AF17-$AE17*(1+DZ$3))/$AJ17,Уголь_коэфф!$A:$B,2,1)-VLOOKUP($AO17,Уголь_коэфф!$A:$B,2,1)),1+(1-$AU17))</f>
        <v>1.0239999999999996</v>
      </c>
      <c r="EA17" s="102">
        <f>MIN(IF($AU17=100%,1,1+VLOOKUP(($AJ17-$AI17-$AH17-$AG17-$AF17-$AE17*(1+EA$3))/$AJ17,Уголь_коэфф!$A:$B,2,1)-VLOOKUP($AO17,Уголь_коэфф!$A:$B,2,1)),1+(1-$AU17))</f>
        <v>1.0239999999999996</v>
      </c>
      <c r="EB17" s="102">
        <f>MIN(IF($AU17=100%,1,1+VLOOKUP(($AJ17-$AI17-$AH17-$AG17-$AF17-$AE17*(1+EB$3))/$AJ17,Уголь_коэфф!$A:$B,2,1)-VLOOKUP($AO17,Уголь_коэфф!$A:$B,2,1)),1+(1-$AU17))</f>
        <v>1.0239999999999996</v>
      </c>
      <c r="EC17" s="102">
        <f>MIN(IF($AU17=100%,1,1+VLOOKUP(($AJ17-$AI17-$AH17-$AG17-$AF17-$AE17*(1+EC$3))/$AJ17,Уголь_коэфф!$A:$B,2,1)-VLOOKUP($AO17,Уголь_коэфф!$A:$B,2,1)),1+(1-$AU17))</f>
        <v>1.0179999999999998</v>
      </c>
      <c r="ED17" s="102">
        <f>MIN(IF($AU17=100%,1,1+VLOOKUP(($AJ17-$AI17-$AH17-$AG17-$AF17-$AE17*(1+ED$3))/$AJ17,Уголь_коэфф!$A:$B,2,1)-VLOOKUP($AO17,Уголь_коэфф!$A:$B,2,1)),1+(1-$AU17))</f>
        <v>1.0179999999999998</v>
      </c>
      <c r="EE17" s="102">
        <f>MIN(IF($AU17=100%,1,1+VLOOKUP(($AJ17-$AI17-$AH17-$AG17-$AF17-$AE17*(1+EE$3))/$AJ17,Уголь_коэфф!$A:$B,2,1)-VLOOKUP($AO17,Уголь_коэфф!$A:$B,2,1)),1+(1-$AU17))</f>
        <v>1.0179999999999998</v>
      </c>
      <c r="EF17" s="102">
        <f>MIN(IF($AU17=100%,1,1+VLOOKUP(($AJ17-$AI17-$AH17-$AG17-$AF17-$AE17*(1+EF$3))/$AJ17,Уголь_коэфф!$A:$B,2,1)-VLOOKUP($AO17,Уголь_коэфф!$A:$B,2,1)),1+(1-$AU17))</f>
        <v>1.0179999999999998</v>
      </c>
      <c r="EG17" s="102">
        <f>MIN(IF($AU17=100%,1,1+VLOOKUP(($AJ17-$AI17-$AH17-$AG17-$AF17-$AE17*(1+EG$3))/$AJ17,Уголь_коэфф!$A:$B,2,1)-VLOOKUP($AO17,Уголь_коэфф!$A:$B,2,1)),1+(1-$AU17))</f>
        <v>1.0179999999999998</v>
      </c>
      <c r="EH17" s="102">
        <f>MIN(IF($AU17=100%,1,1+VLOOKUP(($AJ17-$AI17-$AH17-$AG17-$AF17-$AE17*(1+EH$3))/$AJ17,Уголь_коэфф!$A:$B,2,1)-VLOOKUP($AO17,Уголь_коэфф!$A:$B,2,1)),1+(1-$AU17))</f>
        <v>1.012</v>
      </c>
      <c r="EI17" s="102">
        <f>MIN(IF($AU17=100%,1,1+VLOOKUP(($AJ17-$AI17-$AH17-$AG17-$AF17-$AE17*(1+EI$3))/$AJ17,Уголь_коэфф!$A:$B,2,1)-VLOOKUP($AO17,Уголь_коэфф!$A:$B,2,1)),1+(1-$AU17))</f>
        <v>1.012</v>
      </c>
      <c r="EJ17" s="102">
        <f>MIN(IF($AU17=100%,1,1+VLOOKUP(($AJ17-$AI17-$AH17-$AG17-$AF17-$AE17*(1+EJ$3))/$AJ17,Уголь_коэфф!$A:$B,2,1)-VLOOKUP($AO17,Уголь_коэфф!$A:$B,2,1)),1+(1-$AU17))</f>
        <v>1.012</v>
      </c>
      <c r="EK17" s="102">
        <f>MIN(IF($AU17=100%,1,1+VLOOKUP(($AJ17-$AI17-$AH17-$AG17-$AF17-$AE17*(1+EK$3))/$AJ17,Уголь_коэфф!$A:$B,2,1)-VLOOKUP($AO17,Уголь_коэфф!$A:$B,2,1)),1+(1-$AU17))</f>
        <v>1.012</v>
      </c>
      <c r="EL17" s="102">
        <f>MIN(IF($AU17=100%,1,1+VLOOKUP(($AJ17-$AI17-$AH17-$AG17-$AF17-$AE17*(1+EL$3))/$AJ17,Уголь_коэфф!$A:$B,2,1)-VLOOKUP($AO17,Уголь_коэфф!$A:$B,2,1)),1+(1-$AU17))</f>
        <v>1.012</v>
      </c>
      <c r="EM17" s="102">
        <f>MIN(IF($AU17=100%,1,1+VLOOKUP(($AJ17-$AI17-$AH17-$AG17-$AF17-$AE17*(1+EM$3))/$AJ17,Уголь_коэфф!$A:$B,2,1)-VLOOKUP($AO17,Уголь_коэфф!$A:$B,2,1)),1+(1-$AU17))</f>
        <v>1.012</v>
      </c>
      <c r="EN17" s="102">
        <f>MIN(IF($AU17=100%,1,1+VLOOKUP(($AJ17-$AI17-$AH17-$AG17-$AF17-$AE17*(1+EN$3))/$AJ17,Уголь_коэфф!$A:$B,2,1)-VLOOKUP($AO17,Уголь_коэфф!$A:$B,2,1)),1+(1-$AU17))</f>
        <v>1.0059999999999998</v>
      </c>
      <c r="EO17" s="102">
        <f>MIN(IF($AU17=100%,1,1+VLOOKUP(($AJ17-$AI17-$AH17-$AG17-$AF17-$AE17*(1+EO$3))/$AJ17,Уголь_коэфф!$A:$B,2,1)-VLOOKUP($AO17,Уголь_коэфф!$A:$B,2,1)),1+(1-$AU17))</f>
        <v>1.0059999999999998</v>
      </c>
      <c r="EP17" s="102">
        <f>MIN(IF($AU17=100%,1,1+VLOOKUP(($AJ17-$AI17-$AH17-$AG17-$AF17-$AE17*(1+EP$3))/$AJ17,Уголь_коэфф!$A:$B,2,1)-VLOOKUP($AO17,Уголь_коэфф!$A:$B,2,1)),1+(1-$AU17))</f>
        <v>1.0059999999999998</v>
      </c>
      <c r="EQ17" s="102">
        <f>MIN(IF($AU17=100%,1,1+VLOOKUP(($AJ17-$AI17-$AH17-$AG17-$AF17-$AE17*(1+EQ$3))/$AJ17,Уголь_коэфф!$A:$B,2,1)-VLOOKUP($AO17,Уголь_коэфф!$A:$B,2,1)),1+(1-$AU17))</f>
        <v>1.0059999999999998</v>
      </c>
      <c r="ER17" s="102">
        <f>MIN(IF($AU17=100%,1,1+VLOOKUP(($AJ17-$AI17-$AH17-$AG17-$AF17-$AE17*(1+ER$3))/$AJ17,Уголь_коэфф!$A:$B,2,1)-VLOOKUP($AO17,Уголь_коэфф!$A:$B,2,1)),1+(1-$AU17))</f>
        <v>1.0059999999999998</v>
      </c>
      <c r="ES17" s="102">
        <f>MIN(IF($AU17=100%,1,1+VLOOKUP(($AJ17-$AI17-$AH17-$AG17-$AF17-$AE17*(1+ES$3))/$AJ17,Уголь_коэфф!$A:$B,2,1)-VLOOKUP($AO17,Уголь_коэфф!$A:$B,2,1)),1+(1-$AU17))</f>
        <v>1</v>
      </c>
      <c r="ET17" s="102">
        <f>MIN(IF($AU17=100%,1,1+VLOOKUP(($AJ17-$AI17-$AH17-$AG17-$AF17-$AE17*(1+ET$3))/$AJ17,Уголь_коэфф!$A:$B,2,1)-VLOOKUP($AO17,Уголь_коэфф!$A:$B,2,1)),1+(1-$AU17))</f>
        <v>1</v>
      </c>
      <c r="EU17" s="102">
        <f>MIN(IF($AU17=100%,1,1+VLOOKUP(($AJ17-$AI17-$AH17-$AG17-$AF17-$AE17*(1+EU$3))/$AJ17,Уголь_коэфф!$A:$B,2,1)-VLOOKUP($AO17,Уголь_коэфф!$A:$B,2,1)),1+(1-$AU17))</f>
        <v>1</v>
      </c>
      <c r="EV17" s="103">
        <v>1</v>
      </c>
      <c r="EW17" s="102">
        <f>MIN(1,MAX(VLOOKUP(($AJ17-$AI17-$AH17-$AG17-$AF17-$AE17*(1+EW$3))/$AJ17,Уголь_коэфф!$A:$B,2,1),(EV17-0.05)))</f>
        <v>1</v>
      </c>
      <c r="EX17" s="102">
        <f>MIN(1,MAX(VLOOKUP(($AJ17-$AI17-$AH17-$AG17-$AF17-$AE17*(1+EX$3))/$AJ17,Уголь_коэфф!$A:$B,2,1),(EW17-0.05)))</f>
        <v>1</v>
      </c>
      <c r="EY17" s="102">
        <f>MIN(1,MAX(VLOOKUP(($AJ17-$AI17-$AH17-$AG17-$AF17-$AE17*(1+EY$3))/$AJ17,Уголь_коэфф!$A:$B,2,1),(EX17-0.05)))</f>
        <v>1</v>
      </c>
      <c r="EZ17" s="102">
        <f>MIN(1,MAX(VLOOKUP(($AJ17-$AI17-$AH17-$AG17-$AF17-$AE17*(1+EZ$3))/$AJ17,Уголь_коэфф!$A:$B,2,1),(EY17-0.05)))</f>
        <v>1</v>
      </c>
      <c r="FA17" s="102">
        <f>MIN(1,MAX(VLOOKUP(($AJ17-$AI17-$AH17-$AG17-$AF17-$AE17*(1+FA$3))/$AJ17,Уголь_коэфф!$A:$B,2,1),(EZ17-0.05)))</f>
        <v>1</v>
      </c>
      <c r="FB17" s="102">
        <f>MIN(1,MAX(VLOOKUP(($AJ17-$AI17-$AH17-$AG17-$AF17-$AE17*(1+FB$3))/$AJ17,Уголь_коэфф!$A:$B,2,1),(FA17-0.05)))</f>
        <v>1</v>
      </c>
      <c r="FC17" s="102">
        <f>MIN(1,MAX(VLOOKUP(($AJ17-$AI17-$AH17-$AG17-$AF17-$AE17*(1+FC$3))/$AJ17,Уголь_коэфф!$A:$B,2,1),(FB17-0.05)))</f>
        <v>1</v>
      </c>
      <c r="FD17" s="102">
        <f>MIN(1,MAX(VLOOKUP(($AJ17-$AI17-$AH17-$AG17-$AF17-$AE17*(1+FD$3))/$AJ17,Уголь_коэфф!$A:$B,2,1),(FC17-0.05)))</f>
        <v>1</v>
      </c>
      <c r="FE17" s="102">
        <f>MIN(1,MAX(VLOOKUP(($AJ17-$AI17-$AH17-$AG17-$AF17-$AE17*(1+FE$3))/$AJ17,Уголь_коэфф!$A:$B,2,1),(FD17-0.05)))</f>
        <v>1</v>
      </c>
      <c r="FF17" s="102">
        <f>MIN(1,MAX(VLOOKUP(($AJ17-$AI17-$AH17-$AG17-$AF17-$AE17*(1+FF$3))/$AJ17,Уголь_коэфф!$A:$B,2,1),(FE17-0.05)))</f>
        <v>1</v>
      </c>
      <c r="FG17" s="102">
        <f>MIN(1,MAX(VLOOKUP(($AJ17-$AI17-$AH17-$AG17-$AF17-$AE17*(1+FG$3))/$AJ17,Уголь_коэфф!$A:$B,2,1),(FF17-0.05)))</f>
        <v>1</v>
      </c>
      <c r="FH17" s="102">
        <f>MIN(1,MAX(VLOOKUP(($AJ17-$AI17-$AH17-$AG17-$AF17-$AE17*(1+FH$3))/$AJ17,Уголь_коэфф!$A:$B,2,1),(FG17-0.05)))</f>
        <v>1</v>
      </c>
      <c r="FI17" s="102">
        <f>MIN(1,MAX(VLOOKUP(($AJ17-$AI17-$AH17-$AG17-$AF17-$AE17*(1+FI$3))/$AJ17,Уголь_коэфф!$A:$B,2,1),(FH17-0.05)))</f>
        <v>1</v>
      </c>
      <c r="FJ17" s="102">
        <f>MIN(1,MAX(VLOOKUP(($AJ17-$AI17-$AH17-$AG17-$AF17-$AE17*(1+FJ$3))/$AJ17,Уголь_коэфф!$A:$B,2,1),(FI17-0.05)))</f>
        <v>1</v>
      </c>
      <c r="FK17" s="102">
        <f>MIN(1,MAX(VLOOKUP(($AJ17-$AI17-$AH17-$AG17-$AF17-$AE17*(1+FK$3))/$AJ17,Уголь_коэфф!$A:$B,2,1),(FJ17-0.05)))</f>
        <v>1</v>
      </c>
      <c r="FL17" s="102">
        <f>MIN(1,MAX(VLOOKUP(($AJ17-$AI17-$AH17-$AG17-$AF17-$AE17*(1+FL$3))/$AJ17,Уголь_коэфф!$A:$B,2,1),(FK17-0.05)))</f>
        <v>1</v>
      </c>
      <c r="FM17" s="102">
        <f>MIN(1,MAX(VLOOKUP(($AJ17-$AI17-$AH17-$AG17-$AF17-$AE17*(1+FM$3))/$AJ17,Уголь_коэфф!$A:$B,2,1),(FL17-0.05)))</f>
        <v>1</v>
      </c>
      <c r="FN17" s="102">
        <f>MIN(1,MAX(VLOOKUP(($AJ17-$AI17-$AH17-$AG17-$AF17-$AE17*(1+FN$3))/$AJ17,Уголь_коэфф!$A:$B,2,1),(FM17-0.05)))</f>
        <v>1</v>
      </c>
      <c r="FO17" s="102">
        <f>MIN(1,MAX(VLOOKUP(($AJ17-$AI17-$AH17-$AG17-$AF17-$AE17*(1+FO$3))/$AJ17,Уголь_коэфф!$A:$B,2,1),(FN17-0.05)))</f>
        <v>1</v>
      </c>
      <c r="FP17" s="102">
        <f>MIN(1,MAX(VLOOKUP(($AJ17-$AI17-$AH17-$AG17-$AF17-$AE17*(1+FP$3))/$AJ17,Уголь_коэфф!$A:$B,2,1),(FO17-0.05)))</f>
        <v>1</v>
      </c>
      <c r="FQ17" s="102">
        <f>MIN(1,MAX(VLOOKUP(($AJ17-$AI17-$AH17-$AG17-$AF17-$AE17*(1+FQ$3))/$AJ17,Уголь_коэфф!$A:$B,2,1),(FP17-0.05)))</f>
        <v>1</v>
      </c>
      <c r="FR17" s="102">
        <f>MIN(1,MAX(VLOOKUP(($AJ17-$AI17-$AH17-$AG17-$AF17-$AE17*(1+FR$3))/$AJ17,Уголь_коэфф!$A:$B,2,1),(FQ17-0.05)))</f>
        <v>1</v>
      </c>
      <c r="FS17" s="102">
        <f>MIN(1,MAX(VLOOKUP(($AJ17-$AI17-$AH17-$AG17-$AF17-$AE17*(1+FS$3))/$AJ17,Уголь_коэфф!$A:$B,2,1),(FR17-0.05)))</f>
        <v>1</v>
      </c>
      <c r="FT17" s="102">
        <f>MIN(1,MAX(VLOOKUP(($AJ17-$AI17-$AH17-$AG17-$AF17-$AE17*(1+FT$3))/$AJ17,Уголь_коэфф!$A:$B,2,1),(FS17-0.05)))</f>
        <v>1</v>
      </c>
      <c r="FU17" s="102">
        <f>MIN(1,MAX(VLOOKUP(($AJ17-$AI17-$AH17-$AG17-$AF17-$AE17*(1+FU$3))/$AJ17,Уголь_коэфф!$A:$B,2,1),(FT17-0.05)))</f>
        <v>1</v>
      </c>
      <c r="FV17" s="102">
        <f>MIN(1,MAX(VLOOKUP(($AJ17-$AI17-$AH17-$AG17-$AF17-$AE17*(1+FV$3))/$AJ17,Уголь_коэфф!$A:$B,2,1),(FU17-0.05)))</f>
        <v>1</v>
      </c>
      <c r="FW17" s="102">
        <f>MIN(1,MAX(VLOOKUP(($AJ17-$AI17-$AH17-$AG17-$AF17-$AE17*(1+FW$3))/$AJ17,Уголь_коэфф!$A:$B,2,1),(FV17-0.05)))</f>
        <v>1</v>
      </c>
      <c r="FX17" s="102">
        <f>MIN(1,MAX(VLOOKUP(($AJ17-$AI17-$AH17-$AG17-$AF17-$AE17*(1+FX$3))/$AJ17,Уголь_коэфф!$A:$B,2,1),(FW17-0.05)))</f>
        <v>1</v>
      </c>
      <c r="FY17" s="102">
        <f>MIN(1,MAX(VLOOKUP(($AJ17-$AI17-$AH17-$AG17-$AF17-$AE17*(1+FY$3))/$AJ17,Уголь_коэфф!$A:$B,2,1),(FX17-0.05)))</f>
        <v>1</v>
      </c>
      <c r="FZ17" s="102">
        <f>MIN(1,MAX(VLOOKUP(($AJ17-$AI17-$AH17-$AG17-$AF17-$AE17*(1+FZ$3))/$AJ17,Уголь_коэфф!$A:$B,2,1),(FY17-0.05)))</f>
        <v>1</v>
      </c>
      <c r="GA17" s="102">
        <f>MIN(1,MAX(VLOOKUP(($AJ17-$AI17-$AH17-$AG17-$AF17-$AE17*(1+GA$3))/$AJ17,Уголь_коэфф!$A:$B,2,1),(FZ17-0.05)))</f>
        <v>1</v>
      </c>
      <c r="GB17" s="102">
        <f>MIN(1,MAX(VLOOKUP(($AJ17-$AI17-$AH17-$AG17-$AF17-$AE17*(1+GB$3))/$AJ17,Уголь_коэфф!$A:$B,2,1),(GA17-0.05)))</f>
        <v>1</v>
      </c>
      <c r="GC17" s="102">
        <f>MIN(1,MAX(VLOOKUP(($AJ17-$AI17-$AH17-$AG17-$AF17-$AE17*(1+GC$3))/$AJ17,Уголь_коэфф!$A:$B,2,1),(GB17-0.05)))</f>
        <v>1</v>
      </c>
      <c r="GD17" s="102">
        <f>MIN(1,MAX(VLOOKUP(($AJ17-$AI17-$AH17-$AG17-$AF17-$AE17*(1+GD$3))/$AJ17,Уголь_коэфф!$A:$B,2,1),(GC17-0.05)))</f>
        <v>1</v>
      </c>
      <c r="GE17" s="102">
        <f>MIN(1,MAX(VLOOKUP(($AJ17-$AI17-$AH17-$AG17-$AF17-$AE17*(1+GE$3))/$AJ17,Уголь_коэфф!$A:$B,2,1),(GD17-0.05)))</f>
        <v>1</v>
      </c>
      <c r="GF17" s="102">
        <f>MIN(1,MAX(VLOOKUP(($AJ17-$AI17-$AH17-$AG17-$AF17-$AE17*(1+GF$3))/$AJ17,Уголь_коэфф!$A:$B,2,1),(GE17-0.05)))</f>
        <v>1</v>
      </c>
      <c r="GG17" s="102">
        <f>MIN(1,MAX(VLOOKUP(($AJ17-$AI17-$AH17-$AG17-$AF17-$AE17*(1+GG$3))/$AJ17,Уголь_коэфф!$A:$B,2,1),(GF17-0.05)))</f>
        <v>1</v>
      </c>
      <c r="GH17" s="102">
        <f>MIN(1,MAX(VLOOKUP(($AJ17-$AI17-$AH17-$AG17-$AF17-$AE17*(1+GH$3))/$AJ17,Уголь_коэфф!$A:$B,2,1),(GG17-0.05)))</f>
        <v>1</v>
      </c>
      <c r="GI17" s="102">
        <f>MIN(1,MAX(VLOOKUP(($AJ17-$AI17-$AH17-$AG17-$AF17-$AE17*(1+GI$3))/$AJ17,Уголь_коэфф!$A:$B,2,1),(GH17-0.05)))</f>
        <v>1</v>
      </c>
      <c r="GJ17" s="102">
        <f>MIN(1,MAX(VLOOKUP(($AJ17-$AI17-$AH17-$AG17-$AF17-$AE17*(1+GJ$3))/$AJ17,Уголь_коэфф!$A:$B,2,1),(GI17-0.05)))</f>
        <v>1</v>
      </c>
      <c r="GK17" s="102">
        <f>MIN(1,MAX(VLOOKUP(($AJ17-$AI17-$AH17-$AG17-$AF17-$AE17*(1+GK$3))/$AJ17,Уголь_коэфф!$A:$B,2,1),(GJ17-0.05)))</f>
        <v>1</v>
      </c>
      <c r="GL17" s="102">
        <f>MIN(1,MAX(VLOOKUP(($AJ17-$AI17-$AH17-$AG17-$AF17-$AE17*(1+GL$3))/$AJ17,Уголь_коэфф!$A:$B,2,1),(GK17-0.05)))</f>
        <v>1</v>
      </c>
      <c r="GM17" s="102">
        <f>MIN(1,MAX(VLOOKUP(($AJ17-$AI17-$AH17-$AG17-$AF17-$AE17*(1+GM$3))/$AJ17,Уголь_коэфф!$A:$B,2,1),(GL17-0.05)))</f>
        <v>1</v>
      </c>
      <c r="GN17" s="102">
        <f>MIN(1,MAX(VLOOKUP(($AJ17-$AI17-$AH17-$AG17-$AF17-$AE17*(1+GN$3))/$AJ17,Уголь_коэфф!$A:$B,2,1),(GM17-0.05)))</f>
        <v>1</v>
      </c>
      <c r="GO17" s="102">
        <f>MIN(1,MAX(VLOOKUP(($AJ17-$AI17-$AH17-$AG17-$AF17-$AE17*(1+GO$3))/$AJ17,Уголь_коэфф!$A:$B,2,1),(GN17-0.05)))</f>
        <v>1</v>
      </c>
      <c r="GP17" s="102">
        <f>MIN(1,MAX(VLOOKUP(($AJ17-$AI17-$AH17-$AG17-$AF17-$AE17*(1+GP$3))/$AJ17,Уголь_коэфф!$A:$B,2,1),(GO17-0.05)))</f>
        <v>1</v>
      </c>
      <c r="GQ17" s="102">
        <f>MIN(1,MAX(VLOOKUP(($AJ17-$AI17-$AH17-$AG17-$AF17-$AE17*(1+GQ$3))/$AJ17,Уголь_коэфф!$A:$B,2,1),(GP17-0.05)))</f>
        <v>1</v>
      </c>
      <c r="GR17" s="102">
        <f>MIN(1,MAX(VLOOKUP(($AJ17-$AI17-$AH17-$AG17-$AF17-$AE17*(1+GR$3))/$AJ17,Уголь_коэфф!$A:$B,2,1),(GQ17-0.05)))</f>
        <v>1</v>
      </c>
      <c r="GS17" s="102">
        <f>MIN(1,MAX(VLOOKUP(($AJ17-$AI17-$AH17-$AG17-$AF17-$AE17*(1+GS$3))/$AJ17,Уголь_коэфф!$A:$B,2,1),(GR17-0.05)))</f>
        <v>1</v>
      </c>
      <c r="GT17" s="102">
        <f>MIN(1,MAX(VLOOKUP(($AJ17-$AI17-$AH17-$AG17-$AF17-$AE17*(1+GT$3))/$AJ17,Уголь_коэфф!$A:$B,2,1),(GS17-0.05)))</f>
        <v>1</v>
      </c>
      <c r="GU17" s="102">
        <f>MIN(1,MAX(VLOOKUP(($AJ17-$AI17-$AH17-$AG17-$AF17-$AE17*(1+GU$3))/$AJ17,Уголь_коэфф!$A:$B,2,1),(GT17-0.05)))</f>
        <v>1</v>
      </c>
      <c r="GV17" s="102">
        <f>MIN(1,MAX(VLOOKUP(($AJ17-$AI17-$AH17-$AG17-$AF17-$AE17*(1+GV$3))/$AJ17,Уголь_коэфф!$A:$B,2,1),(GU17-0.05)))</f>
        <v>1</v>
      </c>
      <c r="GW17" s="102">
        <f>MIN(1,MAX(VLOOKUP(($AJ17-$AI17-$AH17-$AG17-$AF17-$AE17*(1+GW$3))/$AJ17,Уголь_коэфф!$A:$B,2,1),(GV17-0.05)))</f>
        <v>1</v>
      </c>
      <c r="GX17" s="102">
        <f>MIN(1,MAX(VLOOKUP(($AJ17-$AI17-$AH17-$AG17-$AF17-$AE17*(1+GX$3))/$AJ17,Уголь_коэфф!$A:$B,2,1),(GW17-0.05)))</f>
        <v>1</v>
      </c>
      <c r="GY17" s="102">
        <f>MIN(1,MAX(VLOOKUP(($AJ17-$AI17-$AH17-$AG17-$AF17-$AE17*(1+GY$3))/$AJ17,Уголь_коэфф!$A:$B,2,1),(GX17-0.05)))</f>
        <v>1</v>
      </c>
      <c r="GZ17" s="102">
        <f>MIN(1,MAX(VLOOKUP(($AJ17-$AI17-$AH17-$AG17-$AF17-$AE17*(1+GZ$3))/$AJ17,Уголь_коэфф!$A:$B,2,1),(GY17-0.05)))</f>
        <v>1</v>
      </c>
      <c r="HA17" s="102">
        <f>MIN(1,MAX(VLOOKUP(($AJ17-$AI17-$AH17-$AG17-$AF17-$AE17*(1+HA$3))/$AJ17,Уголь_коэфф!$A:$B,2,1),(GZ17-0.05)))</f>
        <v>1</v>
      </c>
      <c r="HB17" s="102">
        <f>MIN(1,MAX(VLOOKUP(($AJ17-$AI17-$AH17-$AG17-$AF17-$AE17*(1+HB$3))/$AJ17,Уголь_коэфф!$A:$B,2,1),(HA17-0.05)))</f>
        <v>1</v>
      </c>
      <c r="HC17" s="102">
        <f>MIN(1,MAX(VLOOKUP(($AJ17-$AI17-$AH17-$AG17-$AF17-$AE17*(1+HC$3))/$AJ17,Уголь_коэфф!$A:$B,2,1),(HB17-0.05)))</f>
        <v>1</v>
      </c>
      <c r="HD17" s="102">
        <f>MIN(1,MAX(VLOOKUP(($AJ17-$AI17-$AH17-$AG17-$AF17-$AE17*(1+HD$3))/$AJ17,Уголь_коэфф!$A:$B,2,1),(HC17-0.05)))</f>
        <v>1</v>
      </c>
      <c r="HE17" s="102">
        <f>MIN(1,MAX(VLOOKUP(($AJ17-$AI17-$AH17-$AG17-$AF17-$AE17*(1+HE$3))/$AJ17,Уголь_коэфф!$A:$B,2,1),(HD17-0.05)))</f>
        <v>1</v>
      </c>
      <c r="HF17" s="102">
        <f>MIN(1,MAX(VLOOKUP(($AJ17-$AI17-$AH17-$AG17-$AF17-$AE17*(1+HF$3))/$AJ17,Уголь_коэфф!$A:$B,2,1),(HE17-0.05)))</f>
        <v>1</v>
      </c>
      <c r="HG17" s="102">
        <f>MIN(1,MAX(VLOOKUP(($AJ17-$AI17-$AH17-$AG17-$AF17-$AE17*(1+HG$3))/$AJ17,Уголь_коэфф!$A:$B,2,1),(HF17-0.05)))</f>
        <v>1</v>
      </c>
      <c r="HH17" s="102">
        <f>MIN(1,MAX(VLOOKUP(($AJ17-$AI17-$AH17-$AG17-$AF17-$AE17*(1+HH$3))/$AJ17,Уголь_коэфф!$A:$B,2,1),(HG17-0.05)))</f>
        <v>1</v>
      </c>
      <c r="HI17" s="102">
        <f>MIN(1,MAX(VLOOKUP(($AJ17-$AI17-$AH17-$AG17-$AF17-$AE17*(1+HI$3))/$AJ17,Уголь_коэфф!$A:$B,2,1),(HH17-0.05)))</f>
        <v>1</v>
      </c>
      <c r="HJ17" s="102">
        <f>MIN(1,MAX(VLOOKUP(($AJ17-$AI17-$AH17-$AG17-$AF17-$AE17*(1+HJ$3))/$AJ17,Уголь_коэфф!$A:$B,2,1),(HI17-0.05)))</f>
        <v>1</v>
      </c>
      <c r="HK17" s="102">
        <f>MIN(1,MAX(VLOOKUP(($AJ17-$AI17-$AH17-$AG17-$AF17-$AE17*(1+HK$3))/$AJ17,Уголь_коэфф!$A:$B,2,1),(HJ17-0.05)))</f>
        <v>1</v>
      </c>
      <c r="HL17" s="102">
        <f>MIN(1,MAX(VLOOKUP(($AJ17-$AI17-$AH17-$AG17-$AF17-$AE17*(1+HL$3))/$AJ17,Уголь_коэфф!$A:$B,2,1),(HK17-0.05)))</f>
        <v>1</v>
      </c>
      <c r="HM17" s="102">
        <f>MIN(1,MAX(VLOOKUP(($AJ17-$AI17-$AH17-$AG17-$AF17-$AE17*(1+HM$3))/$AJ17,Уголь_коэфф!$A:$B,2,1),(HL17-0.05)))</f>
        <v>1</v>
      </c>
      <c r="HN17" s="102">
        <f>MIN(1,MAX(VLOOKUP(($AJ17-$AI17-$AH17-$AG17-$AF17-$AE17*(1+HN$3))/$AJ17,Уголь_коэфф!$A:$B,2,1),(HM17-0.05)))</f>
        <v>1</v>
      </c>
      <c r="HO17" s="102">
        <f>MIN(1,MAX(VLOOKUP(($AJ17-$AI17-$AH17-$AG17-$AF17-$AE17*(1+HO$3))/$AJ17,Уголь_коэфф!$A:$B,2,1),(HN17-0.05)))</f>
        <v>1</v>
      </c>
      <c r="HP17" s="102">
        <f>MIN(1,MAX(VLOOKUP(($AJ17-$AI17-$AH17-$AG17-$AF17-$AE17*(1+HP$3))/$AJ17,Уголь_коэфф!$A:$B,2,1),(HO17-0.05)))</f>
        <v>1</v>
      </c>
      <c r="HQ17" s="102">
        <f>MIN(1,MAX(VLOOKUP(($AJ17-$AI17-$AH17-$AG17-$AF17-$AE17*(1+HQ$3))/$AJ17,Уголь_коэфф!$A:$B,2,1),(HP17-0.05)))</f>
        <v>1</v>
      </c>
      <c r="HR17" s="102">
        <f>MIN(1,MAX(VLOOKUP(($AJ17-$AI17-$AH17-$AG17-$AF17-$AE17*(1+HR$3))/$AJ17,Уголь_коэфф!$A:$B,2,1),(HQ17-0.05)))</f>
        <v>1</v>
      </c>
      <c r="HS17" s="102">
        <f>MIN(1,MAX(VLOOKUP(($AJ17-$AI17-$AH17-$AG17-$AF17-$AE17*(1+HS$3))/$AJ17,Уголь_коэфф!$A:$B,2,1),(HR17-0.05)))</f>
        <v>1</v>
      </c>
      <c r="HT17" s="102">
        <f>MIN(1,MAX(VLOOKUP(($AJ17-$AI17-$AH17-$AG17-$AF17-$AE17*(1+HT$3))/$AJ17,Уголь_коэфф!$A:$B,2,1),(HS17-0.05)))</f>
        <v>1</v>
      </c>
      <c r="HU17" s="102">
        <f>MIN(1,MAX(VLOOKUP(($AJ17-$AI17-$AH17-$AG17-$AF17-$AE17*(1+HU$3))/$AJ17,Уголь_коэфф!$A:$B,2,1),(HT17-0.05)))</f>
        <v>1</v>
      </c>
      <c r="HV17" s="102">
        <f>MIN(1,MAX(VLOOKUP(($AJ17-$AI17-$AH17-$AG17-$AF17-$AE17*(1+HV$3))/$AJ17,Уголь_коэфф!$A:$B,2,1),(HU17-0.05)))</f>
        <v>1</v>
      </c>
      <c r="HW17" s="102">
        <f>MIN(1,MAX(VLOOKUP(($AJ17-$AI17-$AH17-$AG17-$AF17-$AE17*(1+HW$3))/$AJ17,Уголь_коэфф!$A:$B,2,1),(HV17-0.05)))</f>
        <v>1</v>
      </c>
      <c r="HX17" s="102">
        <f>MIN(1,MAX(VLOOKUP(($AJ17-$AI17-$AH17-$AG17-$AF17-$AE17*(1+HX$3))/$AJ17,Уголь_коэфф!$A:$B,2,1),(HW17-0.05)))</f>
        <v>1</v>
      </c>
      <c r="HY17" s="102">
        <f>MIN(1,MAX(VLOOKUP(($AJ17-$AI17-$AH17-$AG17-$AF17-$AE17*(1+HY$3))/$AJ17,Уголь_коэфф!$A:$B,2,1),(HX17-0.05)))</f>
        <v>1</v>
      </c>
      <c r="HZ17" s="102">
        <f>MIN(1,MAX(VLOOKUP(($AJ17-$AI17-$AH17-$AG17-$AF17-$AE17*(1+HZ$3))/$AJ17,Уголь_коэфф!$A:$B,2,1),(HY17-0.05)))</f>
        <v>1</v>
      </c>
      <c r="IA17" s="102">
        <f>MIN(1,MAX(VLOOKUP(($AJ17-$AI17-$AH17-$AG17-$AF17-$AE17*(1+IA$3))/$AJ17,Уголь_коэфф!$A:$B,2,1),(HZ17-0.05)))</f>
        <v>1</v>
      </c>
      <c r="IB17" s="102">
        <f>MIN(1,MAX(VLOOKUP(($AJ17-$AI17-$AH17-$AG17-$AF17-$AE17*(1+IB$3))/$AJ17,Уголь_коэфф!$A:$B,2,1),(IA17-0.05)))</f>
        <v>1</v>
      </c>
      <c r="IC17" s="102">
        <f>MIN(1,MAX(VLOOKUP(($AJ17-$AI17-$AH17-$AG17-$AF17-$AE17*(1+IC$3))/$AJ17,Уголь_коэфф!$A:$B,2,1),(IB17-0.05)))</f>
        <v>1</v>
      </c>
      <c r="ID17" s="102">
        <f>MIN(1,MAX(VLOOKUP(($AJ17-$AI17-$AH17-$AG17-$AF17-$AE17*(1+ID$3))/$AJ17,Уголь_коэфф!$A:$B,2,1),(IC17-0.05)))</f>
        <v>1</v>
      </c>
      <c r="IE17" s="102">
        <f>MIN(1,MAX(VLOOKUP(($AJ17-$AI17-$AH17-$AG17-$AF17-$AE17*(1+IE$3))/$AJ17,Уголь_коэфф!$A:$B,2,1),(ID17-0.05)))</f>
        <v>1</v>
      </c>
      <c r="IF17" s="102">
        <f>MIN(1,MAX(VLOOKUP(($AJ17-$AI17-$AH17-$AG17-$AF17-$AE17*(1+IF$3))/$AJ17,Уголь_коэфф!$A:$B,2,1),(IE17-0.05)))</f>
        <v>1</v>
      </c>
      <c r="IG17" s="102">
        <f>MIN(1,MAX(VLOOKUP(($AJ17-$AI17-$AH17-$AG17-$AF17-$AE17*(1+IG$3))/$AJ17,Уголь_коэфф!$A:$B,2,1),(IF17-0.05)))</f>
        <v>1</v>
      </c>
      <c r="IH17" s="102">
        <f>MIN(1,MAX(VLOOKUP(($AJ17-$AI17-$AH17-$AG17-$AF17-$AE17*(1+IH$3))/$AJ17,Уголь_коэфф!$A:$B,2,1),(IG17-0.05)))</f>
        <v>1</v>
      </c>
      <c r="II17" s="102">
        <f>MIN(1,MAX(VLOOKUP(($AJ17-$AI17-$AH17-$AG17-$AF17-$AE17*(1+II$3))/$AJ17,Уголь_коэфф!$A:$B,2,1),(IH17-0.05)))</f>
        <v>1</v>
      </c>
      <c r="IJ17" s="102">
        <f>MIN(1,MAX(VLOOKUP(($AJ17-$AI17-$AH17-$AG17-$AF17-$AE17*(1+IJ$3))/$AJ17,Уголь_коэфф!$A:$B,2,1),(II17-0.05)))</f>
        <v>1</v>
      </c>
      <c r="IK17" s="102">
        <f>MIN(1,MAX(VLOOKUP(($AJ17-$AI17-$AH17-$AG17-$AF17-$AE17*(1+IK$3))/$AJ17,Уголь_коэфф!$A:$B,2,1),(IJ17-0.05)))</f>
        <v>1</v>
      </c>
      <c r="IL17" s="102">
        <f>MIN(1,MAX(VLOOKUP(($AJ17-$AI17-$AH17-$AG17-$AF17-$AE17*(1+IL$3))/$AJ17,Уголь_коэфф!$A:$B,2,1),(IK17-0.05)))</f>
        <v>1</v>
      </c>
      <c r="IM17" s="102">
        <f>MIN(1,MAX(VLOOKUP(($AJ17-$AI17-$AH17-$AG17-$AF17-$AE17*(1+IM$3))/$AJ17,Уголь_коэфф!$A:$B,2,1),(IL17-0.05)))</f>
        <v>1</v>
      </c>
      <c r="IN17" s="102">
        <f>MIN(1,MAX(VLOOKUP(($AJ17-$AI17-$AH17-$AG17-$AF17-$AE17*(1+IN$3))/$AJ17,Уголь_коэфф!$A:$B,2,1),(IM17-0.05)))</f>
        <v>1</v>
      </c>
      <c r="IO17" s="102">
        <f>MIN(1,MAX(VLOOKUP(($AJ17-$AI17-$AH17-$AG17-$AF17-$AE17*(1+IO$3))/$AJ17,Уголь_коэфф!$A:$B,2,1),(IN17-0.05)))</f>
        <v>1</v>
      </c>
      <c r="IP17" s="102">
        <f>MIN(1,MAX(VLOOKUP(($AJ17-$AI17-$AH17-$AG17-$AF17-$AE17*(1+IP$3))/$AJ17,Уголь_коэфф!$A:$B,2,1),(IO17-0.05)))</f>
        <v>1</v>
      </c>
      <c r="IQ17" s="102">
        <f>MIN(1,MAX(VLOOKUP(($AJ17-$AI17-$AH17-$AG17-$AF17-$AE17*(1+IQ$3))/$AJ17,Уголь_коэфф!$A:$B,2,1),(IP17-0.05)))</f>
        <v>1</v>
      </c>
      <c r="IR17" s="102">
        <f>MIN(1,MAX(VLOOKUP(($AJ17-$AI17-$AH17-$AG17-$AF17-$AE17*(1+IR$3))/$AJ17,Уголь_коэфф!$A:$B,2,1),(IQ17-0.05)))</f>
        <v>1</v>
      </c>
      <c r="IS17" s="102">
        <f t="shared" si="20"/>
        <v>1</v>
      </c>
      <c r="IT17" s="102">
        <f t="shared" si="7"/>
        <v>1</v>
      </c>
      <c r="IU17" s="110"/>
    </row>
    <row r="18" spans="1:255" ht="29.15" customHeight="1">
      <c r="A18" t="s">
        <v>240</v>
      </c>
      <c r="B18" s="133">
        <v>1</v>
      </c>
      <c r="C18" s="134" t="s">
        <v>16</v>
      </c>
      <c r="D18" s="135">
        <v>16118</v>
      </c>
      <c r="E18" s="135" t="s">
        <v>65</v>
      </c>
      <c r="F18" s="134" t="s">
        <v>18</v>
      </c>
      <c r="G18" s="134" t="s">
        <v>45</v>
      </c>
      <c r="H18" s="135" t="s">
        <v>30</v>
      </c>
      <c r="I18" s="135" t="s">
        <v>104</v>
      </c>
      <c r="J18" s="135" t="s">
        <v>53</v>
      </c>
      <c r="K18" s="135">
        <v>4305</v>
      </c>
      <c r="L18" s="135" t="s">
        <v>22</v>
      </c>
      <c r="M18" s="135" t="s">
        <v>23</v>
      </c>
      <c r="N18" s="135" t="s">
        <v>24</v>
      </c>
      <c r="O18" s="135" t="s">
        <v>33</v>
      </c>
      <c r="P18" s="138">
        <v>53037061</v>
      </c>
      <c r="Q18" s="136" t="s">
        <v>102</v>
      </c>
      <c r="R18" s="135" t="s">
        <v>103</v>
      </c>
      <c r="S18" s="139">
        <v>1764884</v>
      </c>
      <c r="T18" s="137">
        <v>7596988312</v>
      </c>
      <c r="U18" s="137">
        <v>25207</v>
      </c>
      <c r="V18" s="137"/>
      <c r="W18" s="140">
        <v>3294467080</v>
      </c>
      <c r="X18" s="104">
        <v>69</v>
      </c>
      <c r="Y18" s="104" t="s">
        <v>163</v>
      </c>
      <c r="Z18" s="107">
        <v>11</v>
      </c>
      <c r="AA18" s="107">
        <v>12</v>
      </c>
      <c r="AB18" s="107">
        <v>4</v>
      </c>
      <c r="AC18" s="88">
        <v>2093.25</v>
      </c>
      <c r="AD18" s="88">
        <v>945.01000000000022</v>
      </c>
      <c r="AE18" s="88">
        <f t="shared" si="24"/>
        <v>3038.26</v>
      </c>
      <c r="AF18" s="89">
        <f>'Цены,перевалка,аренда'!$C$27*SUM(Уголь_эластика_экспорт!Z18+Уголь_эластика_экспорт!AA18+Уголь_эластика_экспорт!AB18)/Уголь_эластика_экспорт!X18</f>
        <v>273.91304347826087</v>
      </c>
      <c r="AG18" s="90">
        <f>SUMIF('Цены,перевалка,аренда'!$A$20:$A$22,Уголь_эластика_экспорт!$O18,'Цены,перевалка,аренда'!$D$20:$D$22)</f>
        <v>610.44399999999996</v>
      </c>
      <c r="AH18" s="47"/>
      <c r="AI18" s="91">
        <v>2800</v>
      </c>
      <c r="AJ18" s="92">
        <f>SUMIF('Цены,перевалка,аренда'!$A$5:$A$17,Уголь_эластика_экспорт!A18,'Цены,перевалка,аренда'!$D$5:$D$17)</f>
        <v>6485.9674999999997</v>
      </c>
      <c r="AK18" s="47">
        <f>AJ18/'Цены,перевалка,аренда'!$C$1</f>
        <v>85</v>
      </c>
      <c r="AL18" s="47">
        <f t="shared" si="9"/>
        <v>3922.6170434782612</v>
      </c>
      <c r="AM18" s="47">
        <f t="shared" si="10"/>
        <v>2563.3504565217386</v>
      </c>
      <c r="AN18" s="47">
        <f t="shared" si="11"/>
        <v>6722.6170434782616</v>
      </c>
      <c r="AO18" s="93">
        <f t="shared" si="12"/>
        <v>-3.6486390577544811E-2</v>
      </c>
      <c r="AP18" s="94">
        <f t="shared" si="13"/>
        <v>0.60478518331740971</v>
      </c>
      <c r="AQ18" s="94">
        <f t="shared" si="5"/>
        <v>0.46843589641792072</v>
      </c>
      <c r="AR18" s="94">
        <f t="shared" si="6"/>
        <v>0.77454922729492748</v>
      </c>
      <c r="AS18" s="167">
        <f t="shared" si="14"/>
        <v>0.96</v>
      </c>
      <c r="AT18" s="173">
        <f t="shared" si="15"/>
        <v>1694288.64</v>
      </c>
      <c r="AU18" s="97">
        <f t="shared" ref="AU18:AU19" si="25">12.8/13.4</f>
        <v>0.95522388059701491</v>
      </c>
      <c r="AV18" s="93">
        <f t="shared" si="16"/>
        <v>-9.2698698147695269E-2</v>
      </c>
      <c r="AW18" s="94">
        <f t="shared" si="17"/>
        <v>0.66099749088756021</v>
      </c>
      <c r="AX18" s="94">
        <f t="shared" si="18"/>
        <v>0.52464820398807122</v>
      </c>
      <c r="AY18" s="94">
        <f t="shared" si="19"/>
        <v>0.79372192969083022</v>
      </c>
      <c r="AZ18" s="102">
        <f>MIN(IF($AU18=100%,1,1+VLOOKUP(($AJ18-$AI18-$AH18-$AG18-$AF18-$AE18*(1+AZ$3))/$AJ18,Уголь_коэфф!$A:$B,2,1)-VLOOKUP($AO18,Уголь_коэфф!$A:$B,2,1)),1+(1-$AU18))</f>
        <v>1.044776119402985</v>
      </c>
      <c r="BA18" s="102">
        <f>MIN(IF($AU18=100%,1,1+VLOOKUP(($AJ18-$AI18-$AH18-$AG18-$AF18-$AE18*(1+BA$3))/$AJ18,Уголь_коэфф!$A:$B,2,1)-VLOOKUP($AO18,Уголь_коэфф!$A:$B,2,1)),1+(1-$AU18))</f>
        <v>1.044776119402985</v>
      </c>
      <c r="BB18" s="102">
        <f>MIN(IF($AU18=100%,1,1+VLOOKUP(($AJ18-$AI18-$AH18-$AG18-$AF18-$AE18*(1+BB$3))/$AJ18,Уголь_коэфф!$A:$B,2,1)-VLOOKUP($AO18,Уголь_коэфф!$A:$B,2,1)),1+(1-$AU18))</f>
        <v>1.044776119402985</v>
      </c>
      <c r="BC18" s="102">
        <f>MIN(IF($AU18=100%,1,1+VLOOKUP(($AJ18-$AI18-$AH18-$AG18-$AF18-$AE18*(1+BC$3))/$AJ18,Уголь_коэфф!$A:$B,2,1)-VLOOKUP($AO18,Уголь_коэфф!$A:$B,2,1)),1+(1-$AU18))</f>
        <v>1.044776119402985</v>
      </c>
      <c r="BD18" s="102">
        <f>MIN(IF($AU18=100%,1,1+VLOOKUP(($AJ18-$AI18-$AH18-$AG18-$AF18-$AE18*(1+BD$3))/$AJ18,Уголь_коэфф!$A:$B,2,1)-VLOOKUP($AO18,Уголь_коэфф!$A:$B,2,1)),1+(1-$AU18))</f>
        <v>1.044776119402985</v>
      </c>
      <c r="BE18" s="102">
        <f>MIN(IF($AU18=100%,1,1+VLOOKUP(($AJ18-$AI18-$AH18-$AG18-$AF18-$AE18*(1+BE$3))/$AJ18,Уголь_коэфф!$A:$B,2,1)-VLOOKUP($AO18,Уголь_коэфф!$A:$B,2,1)),1+(1-$AU18))</f>
        <v>1.044776119402985</v>
      </c>
      <c r="BF18" s="102">
        <f>MIN(IF($AU18=100%,1,1+VLOOKUP(($AJ18-$AI18-$AH18-$AG18-$AF18-$AE18*(1+BF$3))/$AJ18,Уголь_коэфф!$A:$B,2,1)-VLOOKUP($AO18,Уголь_коэфф!$A:$B,2,1)),1+(1-$AU18))</f>
        <v>1.044776119402985</v>
      </c>
      <c r="BG18" s="102">
        <f>MIN(IF($AU18=100%,1,1+VLOOKUP(($AJ18-$AI18-$AH18-$AG18-$AF18-$AE18*(1+BG$3))/$AJ18,Уголь_коэфф!$A:$B,2,1)-VLOOKUP($AO18,Уголь_коэфф!$A:$B,2,1)),1+(1-$AU18))</f>
        <v>1.044776119402985</v>
      </c>
      <c r="BH18" s="102">
        <f>MIN(IF($AU18=100%,1,1+VLOOKUP(($AJ18-$AI18-$AH18-$AG18-$AF18-$AE18*(1+BH$3))/$AJ18,Уголь_коэфф!$A:$B,2,1)-VLOOKUP($AO18,Уголь_коэфф!$A:$B,2,1)),1+(1-$AU18))</f>
        <v>1.044776119402985</v>
      </c>
      <c r="BI18" s="102">
        <f>MIN(IF($AU18=100%,1,1+VLOOKUP(($AJ18-$AI18-$AH18-$AG18-$AF18-$AE18*(1+BI$3))/$AJ18,Уголь_коэфф!$A:$B,2,1)-VLOOKUP($AO18,Уголь_коэфф!$A:$B,2,1)),1+(1-$AU18))</f>
        <v>1.044776119402985</v>
      </c>
      <c r="BJ18" s="102">
        <f>MIN(IF($AU18=100%,1,1+VLOOKUP(($AJ18-$AI18-$AH18-$AG18-$AF18-$AE18*(1+BJ$3))/$AJ18,Уголь_коэфф!$A:$B,2,1)-VLOOKUP($AO18,Уголь_коэфф!$A:$B,2,1)),1+(1-$AU18))</f>
        <v>1.044776119402985</v>
      </c>
      <c r="BK18" s="102">
        <f>MIN(IF($AU18=100%,1,1+VLOOKUP(($AJ18-$AI18-$AH18-$AG18-$AF18-$AE18*(1+BK$3))/$AJ18,Уголь_коэфф!$A:$B,2,1)-VLOOKUP($AO18,Уголь_коэфф!$A:$B,2,1)),1+(1-$AU18))</f>
        <v>1.044776119402985</v>
      </c>
      <c r="BL18" s="102">
        <f>MIN(IF($AU18=100%,1,1+VLOOKUP(($AJ18-$AI18-$AH18-$AG18-$AF18-$AE18*(1+BL$3))/$AJ18,Уголь_коэфф!$A:$B,2,1)-VLOOKUP($AO18,Уголь_коэфф!$A:$B,2,1)),1+(1-$AU18))</f>
        <v>1.044776119402985</v>
      </c>
      <c r="BM18" s="102">
        <f>MIN(IF($AU18=100%,1,1+VLOOKUP(($AJ18-$AI18-$AH18-$AG18-$AF18-$AE18*(1+BM$3))/$AJ18,Уголь_коэфф!$A:$B,2,1)-VLOOKUP($AO18,Уголь_коэфф!$A:$B,2,1)),1+(1-$AU18))</f>
        <v>1.044776119402985</v>
      </c>
      <c r="BN18" s="102">
        <f>MIN(IF($AU18=100%,1,1+VLOOKUP(($AJ18-$AI18-$AH18-$AG18-$AF18-$AE18*(1+BN$3))/$AJ18,Уголь_коэфф!$A:$B,2,1)-VLOOKUP($AO18,Уголь_коэфф!$A:$B,2,1)),1+(1-$AU18))</f>
        <v>1.044776119402985</v>
      </c>
      <c r="BO18" s="102">
        <f>MIN(IF($AU18=100%,1,1+VLOOKUP(($AJ18-$AI18-$AH18-$AG18-$AF18-$AE18*(1+BO$3))/$AJ18,Уголь_коэфф!$A:$B,2,1)-VLOOKUP($AO18,Уголь_коэфф!$A:$B,2,1)),1+(1-$AU18))</f>
        <v>1.044776119402985</v>
      </c>
      <c r="BP18" s="102">
        <f>MIN(IF($AU18=100%,1,1+VLOOKUP(($AJ18-$AI18-$AH18-$AG18-$AF18-$AE18*(1+BP$3))/$AJ18,Уголь_коэфф!$A:$B,2,1)-VLOOKUP($AO18,Уголь_коэфф!$A:$B,2,1)),1+(1-$AU18))</f>
        <v>1.044776119402985</v>
      </c>
      <c r="BQ18" s="102">
        <f>MIN(IF($AU18=100%,1,1+VLOOKUP(($AJ18-$AI18-$AH18-$AG18-$AF18-$AE18*(1+BQ$3))/$AJ18,Уголь_коэфф!$A:$B,2,1)-VLOOKUP($AO18,Уголь_коэфф!$A:$B,2,1)),1+(1-$AU18))</f>
        <v>1.044776119402985</v>
      </c>
      <c r="BR18" s="102">
        <f>MIN(IF($AU18=100%,1,1+VLOOKUP(($AJ18-$AI18-$AH18-$AG18-$AF18-$AE18*(1+BR$3))/$AJ18,Уголь_коэфф!$A:$B,2,1)-VLOOKUP($AO18,Уголь_коэфф!$A:$B,2,1)),1+(1-$AU18))</f>
        <v>1.044776119402985</v>
      </c>
      <c r="BS18" s="102">
        <f>MIN(IF($AU18=100%,1,1+VLOOKUP(($AJ18-$AI18-$AH18-$AG18-$AF18-$AE18*(1+BS$3))/$AJ18,Уголь_коэфф!$A:$B,2,1)-VLOOKUP($AO18,Уголь_коэфф!$A:$B,2,1)),1+(1-$AU18))</f>
        <v>1.044776119402985</v>
      </c>
      <c r="BT18" s="102">
        <f>MIN(IF($AU18=100%,1,1+VLOOKUP(($AJ18-$AI18-$AH18-$AG18-$AF18-$AE18*(1+BT$3))/$AJ18,Уголь_коэфф!$A:$B,2,1)-VLOOKUP($AO18,Уголь_коэфф!$A:$B,2,1)),1+(1-$AU18))</f>
        <v>1.044776119402985</v>
      </c>
      <c r="BU18" s="102">
        <f>MIN(IF($AU18=100%,1,1+VLOOKUP(($AJ18-$AI18-$AH18-$AG18-$AF18-$AE18*(1+BU$3))/$AJ18,Уголь_коэфф!$A:$B,2,1)-VLOOKUP($AO18,Уголь_коэфф!$A:$B,2,1)),1+(1-$AU18))</f>
        <v>1.044776119402985</v>
      </c>
      <c r="BV18" s="102">
        <f>MIN(IF($AU18=100%,1,1+VLOOKUP(($AJ18-$AI18-$AH18-$AG18-$AF18-$AE18*(1+BV$3))/$AJ18,Уголь_коэфф!$A:$B,2,1)-VLOOKUP($AO18,Уголь_коэфф!$A:$B,2,1)),1+(1-$AU18))</f>
        <v>1.044776119402985</v>
      </c>
      <c r="BW18" s="102">
        <f>MIN(IF($AU18=100%,1,1+VLOOKUP(($AJ18-$AI18-$AH18-$AG18-$AF18-$AE18*(1+BW$3))/$AJ18,Уголь_коэфф!$A:$B,2,1)-VLOOKUP($AO18,Уголь_коэфф!$A:$B,2,1)),1+(1-$AU18))</f>
        <v>1.044776119402985</v>
      </c>
      <c r="BX18" s="102">
        <f>MIN(IF($AU18=100%,1,1+VLOOKUP(($AJ18-$AI18-$AH18-$AG18-$AF18-$AE18*(1+BX$3))/$AJ18,Уголь_коэфф!$A:$B,2,1)-VLOOKUP($AO18,Уголь_коэфф!$A:$B,2,1)),1+(1-$AU18))</f>
        <v>1.044776119402985</v>
      </c>
      <c r="BY18" s="102">
        <f>MIN(IF($AU18=100%,1,1+VLOOKUP(($AJ18-$AI18-$AH18-$AG18-$AF18-$AE18*(1+BY$3))/$AJ18,Уголь_коэфф!$A:$B,2,1)-VLOOKUP($AO18,Уголь_коэфф!$A:$B,2,1)),1+(1-$AU18))</f>
        <v>1.044776119402985</v>
      </c>
      <c r="BZ18" s="102">
        <f>MIN(IF($AU18=100%,1,1+VLOOKUP(($AJ18-$AI18-$AH18-$AG18-$AF18-$AE18*(1+BZ$3))/$AJ18,Уголь_коэфф!$A:$B,2,1)-VLOOKUP($AO18,Уголь_коэфф!$A:$B,2,1)),1+(1-$AU18))</f>
        <v>1.044776119402985</v>
      </c>
      <c r="CA18" s="102">
        <f>MIN(IF($AU18=100%,1,1+VLOOKUP(($AJ18-$AI18-$AH18-$AG18-$AF18-$AE18*(1+CA$3))/$AJ18,Уголь_коэфф!$A:$B,2,1)-VLOOKUP($AO18,Уголь_коэфф!$A:$B,2,1)),1+(1-$AU18))</f>
        <v>1.044776119402985</v>
      </c>
      <c r="CB18" s="102">
        <f>MIN(IF($AU18=100%,1,1+VLOOKUP(($AJ18-$AI18-$AH18-$AG18-$AF18-$AE18*(1+CB$3))/$AJ18,Уголь_коэфф!$A:$B,2,1)-VLOOKUP($AO18,Уголь_коэфф!$A:$B,2,1)),1+(1-$AU18))</f>
        <v>1.044776119402985</v>
      </c>
      <c r="CC18" s="102">
        <f>MIN(IF($AU18=100%,1,1+VLOOKUP(($AJ18-$AI18-$AH18-$AG18-$AF18-$AE18*(1+CC$3))/$AJ18,Уголь_коэфф!$A:$B,2,1)-VLOOKUP($AO18,Уголь_коэфф!$A:$B,2,1)),1+(1-$AU18))</f>
        <v>1.044776119402985</v>
      </c>
      <c r="CD18" s="102">
        <f>MIN(IF($AU18=100%,1,1+VLOOKUP(($AJ18-$AI18-$AH18-$AG18-$AF18-$AE18*(1+CD$3))/$AJ18,Уголь_коэфф!$A:$B,2,1)-VLOOKUP($AO18,Уголь_коэфф!$A:$B,2,1)),1+(1-$AU18))</f>
        <v>1.044776119402985</v>
      </c>
      <c r="CE18" s="102">
        <f>MIN(IF($AU18=100%,1,1+VLOOKUP(($AJ18-$AI18-$AH18-$AG18-$AF18-$AE18*(1+CE$3))/$AJ18,Уголь_коэфф!$A:$B,2,1)-VLOOKUP($AO18,Уголь_коэфф!$A:$B,2,1)),1+(1-$AU18))</f>
        <v>1.044776119402985</v>
      </c>
      <c r="CF18" s="102">
        <f>MIN(IF($AU18=100%,1,1+VLOOKUP(($AJ18-$AI18-$AH18-$AG18-$AF18-$AE18*(1+CF$3))/$AJ18,Уголь_коэфф!$A:$B,2,1)-VLOOKUP($AO18,Уголь_коэфф!$A:$B,2,1)),1+(1-$AU18))</f>
        <v>1.044776119402985</v>
      </c>
      <c r="CG18" s="102">
        <f>MIN(IF($AU18=100%,1,1+VLOOKUP(($AJ18-$AI18-$AH18-$AG18-$AF18-$AE18*(1+CG$3))/$AJ18,Уголь_коэфф!$A:$B,2,1)-VLOOKUP($AO18,Уголь_коэфф!$A:$B,2,1)),1+(1-$AU18))</f>
        <v>1.044776119402985</v>
      </c>
      <c r="CH18" s="102">
        <f>MIN(IF($AU18=100%,1,1+VLOOKUP(($AJ18-$AI18-$AH18-$AG18-$AF18-$AE18*(1+CH$3))/$AJ18,Уголь_коэфф!$A:$B,2,1)-VLOOKUP($AO18,Уголь_коэфф!$A:$B,2,1)),1+(1-$AU18))</f>
        <v>1.044776119402985</v>
      </c>
      <c r="CI18" s="102">
        <f>MIN(IF($AU18=100%,1,1+VLOOKUP(($AJ18-$AI18-$AH18-$AG18-$AF18-$AE18*(1+CI$3))/$AJ18,Уголь_коэфф!$A:$B,2,1)-VLOOKUP($AO18,Уголь_коэфф!$A:$B,2,1)),1+(1-$AU18))</f>
        <v>1.044776119402985</v>
      </c>
      <c r="CJ18" s="102">
        <f>MIN(IF($AU18=100%,1,1+VLOOKUP(($AJ18-$AI18-$AH18-$AG18-$AF18-$AE18*(1+CJ$3))/$AJ18,Уголь_коэфф!$A:$B,2,1)-VLOOKUP($AO18,Уголь_коэфф!$A:$B,2,1)),1+(1-$AU18))</f>
        <v>1.044776119402985</v>
      </c>
      <c r="CK18" s="102">
        <f>MIN(IF($AU18=100%,1,1+VLOOKUP(($AJ18-$AI18-$AH18-$AG18-$AF18-$AE18*(1+CK$3))/$AJ18,Уголь_коэфф!$A:$B,2,1)-VLOOKUP($AO18,Уголь_коэфф!$A:$B,2,1)),1+(1-$AU18))</f>
        <v>1.044776119402985</v>
      </c>
      <c r="CL18" s="102">
        <f>MIN(IF($AU18=100%,1,1+VLOOKUP(($AJ18-$AI18-$AH18-$AG18-$AF18-$AE18*(1+CL$3))/$AJ18,Уголь_коэфф!$A:$B,2,1)-VLOOKUP($AO18,Уголь_коэфф!$A:$B,2,1)),1+(1-$AU18))</f>
        <v>1.044776119402985</v>
      </c>
      <c r="CM18" s="102">
        <f>MIN(IF($AU18=100%,1,1+VLOOKUP(($AJ18-$AI18-$AH18-$AG18-$AF18-$AE18*(1+CM$3))/$AJ18,Уголь_коэфф!$A:$B,2,1)-VLOOKUP($AO18,Уголь_коэфф!$A:$B,2,1)),1+(1-$AU18))</f>
        <v>1.044776119402985</v>
      </c>
      <c r="CN18" s="102">
        <f>MIN(IF($AU18=100%,1,1+VLOOKUP(($AJ18-$AI18-$AH18-$AG18-$AF18-$AE18*(1+CN$3))/$AJ18,Уголь_коэфф!$A:$B,2,1)-VLOOKUP($AO18,Уголь_коэфф!$A:$B,2,1)),1+(1-$AU18))</f>
        <v>1.044776119402985</v>
      </c>
      <c r="CO18" s="102">
        <f>MIN(IF($AU18=100%,1,1+VLOOKUP(($AJ18-$AI18-$AH18-$AG18-$AF18-$AE18*(1+CO$3))/$AJ18,Уголь_коэфф!$A:$B,2,1)-VLOOKUP($AO18,Уголь_коэфф!$A:$B,2,1)),1+(1-$AU18))</f>
        <v>1.044776119402985</v>
      </c>
      <c r="CP18" s="102">
        <f>MIN(IF($AU18=100%,1,1+VLOOKUP(($AJ18-$AI18-$AH18-$AG18-$AF18-$AE18*(1+CP$3))/$AJ18,Уголь_коэфф!$A:$B,2,1)-VLOOKUP($AO18,Уголь_коэфф!$A:$B,2,1)),1+(1-$AU18))</f>
        <v>1.044776119402985</v>
      </c>
      <c r="CQ18" s="102">
        <f>MIN(IF($AU18=100%,1,1+VLOOKUP(($AJ18-$AI18-$AH18-$AG18-$AF18-$AE18*(1+CQ$3))/$AJ18,Уголь_коэфф!$A:$B,2,1)-VLOOKUP($AO18,Уголь_коэфф!$A:$B,2,1)),1+(1-$AU18))</f>
        <v>1.044776119402985</v>
      </c>
      <c r="CR18" s="102">
        <f>MIN(IF($AU18=100%,1,1+VLOOKUP(($AJ18-$AI18-$AH18-$AG18-$AF18-$AE18*(1+CR$3))/$AJ18,Уголь_коэфф!$A:$B,2,1)-VLOOKUP($AO18,Уголь_коэфф!$A:$B,2,1)),1+(1-$AU18))</f>
        <v>1.044776119402985</v>
      </c>
      <c r="CS18" s="102">
        <f>MIN(IF($AU18=100%,1,1+VLOOKUP(($AJ18-$AI18-$AH18-$AG18-$AF18-$AE18*(1+CS$3))/$AJ18,Уголь_коэфф!$A:$B,2,1)-VLOOKUP($AO18,Уголь_коэфф!$A:$B,2,1)),1+(1-$AU18))</f>
        <v>1.044776119402985</v>
      </c>
      <c r="CT18" s="102">
        <f>MIN(IF($AU18=100%,1,1+VLOOKUP(($AJ18-$AI18-$AH18-$AG18-$AF18-$AE18*(1+CT$3))/$AJ18,Уголь_коэфф!$A:$B,2,1)-VLOOKUP($AO18,Уголь_коэфф!$A:$B,2,1)),1+(1-$AU18))</f>
        <v>1.0400000000000003</v>
      </c>
      <c r="CU18" s="102">
        <f>MIN(IF($AU18=100%,1,1+VLOOKUP(($AJ18-$AI18-$AH18-$AG18-$AF18-$AE18*(1+CU$3))/$AJ18,Уголь_коэфф!$A:$B,2,1)-VLOOKUP($AO18,Уголь_коэфф!$A:$B,2,1)),1+(1-$AU18))</f>
        <v>1.0400000000000003</v>
      </c>
      <c r="CV18" s="102">
        <f>MIN(IF($AU18=100%,1,1+VLOOKUP(($AJ18-$AI18-$AH18-$AG18-$AF18-$AE18*(1+CV$3))/$AJ18,Уголь_коэфф!$A:$B,2,1)-VLOOKUP($AO18,Уголь_коэфф!$A:$B,2,1)),1+(1-$AU18))</f>
        <v>1.0400000000000003</v>
      </c>
      <c r="CW18" s="102">
        <f>MIN(IF($AU18=100%,1,1+VLOOKUP(($AJ18-$AI18-$AH18-$AG18-$AF18-$AE18*(1+CW$3))/$AJ18,Уголь_коэфф!$A:$B,2,1)-VLOOKUP($AO18,Уголь_коэфф!$A:$B,2,1)),1+(1-$AU18))</f>
        <v>1.0400000000000003</v>
      </c>
      <c r="CX18" s="102">
        <f>MIN(IF($AU18=100%,1,1+VLOOKUP(($AJ18-$AI18-$AH18-$AG18-$AF18-$AE18*(1+CX$3))/$AJ18,Уголь_коэфф!$A:$B,2,1)-VLOOKUP($AO18,Уголь_коэфф!$A:$B,2,1)),1+(1-$AU18))</f>
        <v>1.0400000000000003</v>
      </c>
      <c r="CY18" s="102">
        <f>MIN(IF($AU18=100%,1,1+VLOOKUP(($AJ18-$AI18-$AH18-$AG18-$AF18-$AE18*(1+CY$3))/$AJ18,Уголь_коэфф!$A:$B,2,1)-VLOOKUP($AO18,Уголь_коэфф!$A:$B,2,1)),1+(1-$AU18))</f>
        <v>1.0349999999999999</v>
      </c>
      <c r="CZ18" s="102">
        <f>MIN(IF($AU18=100%,1,1+VLOOKUP(($AJ18-$AI18-$AH18-$AG18-$AF18-$AE18*(1+CZ$3))/$AJ18,Уголь_коэфф!$A:$B,2,1)-VLOOKUP($AO18,Уголь_коэфф!$A:$B,2,1)),1+(1-$AU18))</f>
        <v>1.0349999999999999</v>
      </c>
      <c r="DA18" s="102">
        <f>MIN(IF($AU18=100%,1,1+VLOOKUP(($AJ18-$AI18-$AH18-$AG18-$AF18-$AE18*(1+DA$3))/$AJ18,Уголь_коэфф!$A:$B,2,1)-VLOOKUP($AO18,Уголь_коэфф!$A:$B,2,1)),1+(1-$AU18))</f>
        <v>1.0349999999999999</v>
      </c>
      <c r="DB18" s="102">
        <f>MIN(IF($AU18=100%,1,1+VLOOKUP(($AJ18-$AI18-$AH18-$AG18-$AF18-$AE18*(1+DB$3))/$AJ18,Уголь_коэфф!$A:$B,2,1)-VLOOKUP($AO18,Уголь_коэфф!$A:$B,2,1)),1+(1-$AU18))</f>
        <v>1.0349999999999999</v>
      </c>
      <c r="DC18" s="102">
        <f>MIN(IF($AU18=100%,1,1+VLOOKUP(($AJ18-$AI18-$AH18-$AG18-$AF18-$AE18*(1+DC$3))/$AJ18,Уголь_коэфф!$A:$B,2,1)-VLOOKUP($AO18,Уголь_коэфф!$A:$B,2,1)),1+(1-$AU18))</f>
        <v>1.0349999999999999</v>
      </c>
      <c r="DD18" s="102">
        <f>MIN(IF($AU18=100%,1,1+VLOOKUP(($AJ18-$AI18-$AH18-$AG18-$AF18-$AE18*(1+DD$3))/$AJ18,Уголь_коэфф!$A:$B,2,1)-VLOOKUP($AO18,Уголь_коэфф!$A:$B,2,1)),1+(1-$AU18))</f>
        <v>1.0349999999999999</v>
      </c>
      <c r="DE18" s="102">
        <f>MIN(IF($AU18=100%,1,1+VLOOKUP(($AJ18-$AI18-$AH18-$AG18-$AF18-$AE18*(1+DE$3))/$AJ18,Уголь_коэфф!$A:$B,2,1)-VLOOKUP($AO18,Уголь_коэфф!$A:$B,2,1)),1+(1-$AU18))</f>
        <v>1.0349999999999999</v>
      </c>
      <c r="DF18" s="102">
        <f>MIN(IF($AU18=100%,1,1+VLOOKUP(($AJ18-$AI18-$AH18-$AG18-$AF18-$AE18*(1+DF$3))/$AJ18,Уголь_коэфф!$A:$B,2,1)-VLOOKUP($AO18,Уголь_коэфф!$A:$B,2,1)),1+(1-$AU18))</f>
        <v>1.0349999999999999</v>
      </c>
      <c r="DG18" s="102">
        <f>MIN(IF($AU18=100%,1,1+VLOOKUP(($AJ18-$AI18-$AH18-$AG18-$AF18-$AE18*(1+DG$3))/$AJ18,Уголь_коэфф!$A:$B,2,1)-VLOOKUP($AO18,Уголь_коэфф!$A:$B,2,1)),1+(1-$AU18))</f>
        <v>1.0349999999999999</v>
      </c>
      <c r="DH18" s="102">
        <f>MIN(IF($AU18=100%,1,1+VLOOKUP(($AJ18-$AI18-$AH18-$AG18-$AF18-$AE18*(1+DH$3))/$AJ18,Уголь_коэфф!$A:$B,2,1)-VLOOKUP($AO18,Уголь_коэфф!$A:$B,2,1)),1+(1-$AU18))</f>
        <v>1.0349999999999999</v>
      </c>
      <c r="DI18" s="102">
        <f>MIN(IF($AU18=100%,1,1+VLOOKUP(($AJ18-$AI18-$AH18-$AG18-$AF18-$AE18*(1+DI$3))/$AJ18,Уголь_коэфф!$A:$B,2,1)-VLOOKUP($AO18,Уголь_коэфф!$A:$B,2,1)),1+(1-$AU18))</f>
        <v>1.0349999999999999</v>
      </c>
      <c r="DJ18" s="102">
        <f>MIN(IF($AU18=100%,1,1+VLOOKUP(($AJ18-$AI18-$AH18-$AG18-$AF18-$AE18*(1+DJ$3))/$AJ18,Уголь_коэфф!$A:$B,2,1)-VLOOKUP($AO18,Уголь_коэфф!$A:$B,2,1)),1+(1-$AU18))</f>
        <v>1.0349999999999999</v>
      </c>
      <c r="DK18" s="102">
        <f>MIN(IF($AU18=100%,1,1+VLOOKUP(($AJ18-$AI18-$AH18-$AG18-$AF18-$AE18*(1+DK$3))/$AJ18,Уголь_коэфф!$A:$B,2,1)-VLOOKUP($AO18,Уголь_коэфф!$A:$B,2,1)),1+(1-$AU18))</f>
        <v>1.0349999999999999</v>
      </c>
      <c r="DL18" s="102">
        <f>MIN(IF($AU18=100%,1,1+VLOOKUP(($AJ18-$AI18-$AH18-$AG18-$AF18-$AE18*(1+DL$3))/$AJ18,Уголь_коэфф!$A:$B,2,1)-VLOOKUP($AO18,Уголь_коэфф!$A:$B,2,1)),1+(1-$AU18))</f>
        <v>1.01</v>
      </c>
      <c r="DM18" s="102">
        <f>MIN(IF($AU18=100%,1,1+VLOOKUP(($AJ18-$AI18-$AH18-$AG18-$AF18-$AE18*(1+DM$3))/$AJ18,Уголь_коэфф!$A:$B,2,1)-VLOOKUP($AO18,Уголь_коэфф!$A:$B,2,1)),1+(1-$AU18))</f>
        <v>1.01</v>
      </c>
      <c r="DN18" s="102">
        <f>MIN(IF($AU18=100%,1,1+VLOOKUP(($AJ18-$AI18-$AH18-$AG18-$AF18-$AE18*(1+DN$3))/$AJ18,Уголь_коэфф!$A:$B,2,1)-VLOOKUP($AO18,Уголь_коэфф!$A:$B,2,1)),1+(1-$AU18))</f>
        <v>1.01</v>
      </c>
      <c r="DO18" s="102">
        <f>MIN(IF($AU18=100%,1,1+VLOOKUP(($AJ18-$AI18-$AH18-$AG18-$AF18-$AE18*(1+DO$3))/$AJ18,Уголь_коэфф!$A:$B,2,1)-VLOOKUP($AO18,Уголь_коэфф!$A:$B,2,1)),1+(1-$AU18))</f>
        <v>1.01</v>
      </c>
      <c r="DP18" s="102">
        <f>MIN(IF($AU18=100%,1,1+VLOOKUP(($AJ18-$AI18-$AH18-$AG18-$AF18-$AE18*(1+DP$3))/$AJ18,Уголь_коэфф!$A:$B,2,1)-VLOOKUP($AO18,Уголь_коэфф!$A:$B,2,1)),1+(1-$AU18))</f>
        <v>1.01</v>
      </c>
      <c r="DQ18" s="102">
        <f>MIN(IF($AU18=100%,1,1+VLOOKUP(($AJ18-$AI18-$AH18-$AG18-$AF18-$AE18*(1+DQ$3))/$AJ18,Уголь_коэфф!$A:$B,2,1)-VLOOKUP($AO18,Уголь_коэфф!$A:$B,2,1)),1+(1-$AU18))</f>
        <v>1.01</v>
      </c>
      <c r="DR18" s="102">
        <f>MIN(IF($AU18=100%,1,1+VLOOKUP(($AJ18-$AI18-$AH18-$AG18-$AF18-$AE18*(1+DR$3))/$AJ18,Уголь_коэфф!$A:$B,2,1)-VLOOKUP($AO18,Уголь_коэфф!$A:$B,2,1)),1+(1-$AU18))</f>
        <v>1.01</v>
      </c>
      <c r="DS18" s="102">
        <f>MIN(IF($AU18=100%,1,1+VLOOKUP(($AJ18-$AI18-$AH18-$AG18-$AF18-$AE18*(1+DS$3))/$AJ18,Уголь_коэфф!$A:$B,2,1)-VLOOKUP($AO18,Уголь_коэфф!$A:$B,2,1)),1+(1-$AU18))</f>
        <v>1.01</v>
      </c>
      <c r="DT18" s="102">
        <f>MIN(IF($AU18=100%,1,1+VLOOKUP(($AJ18-$AI18-$AH18-$AG18-$AF18-$AE18*(1+DT$3))/$AJ18,Уголь_коэфф!$A:$B,2,1)-VLOOKUP($AO18,Уголь_коэфф!$A:$B,2,1)),1+(1-$AU18))</f>
        <v>1.01</v>
      </c>
      <c r="DU18" s="102">
        <f>MIN(IF($AU18=100%,1,1+VLOOKUP(($AJ18-$AI18-$AH18-$AG18-$AF18-$AE18*(1+DU$3))/$AJ18,Уголь_коэфф!$A:$B,2,1)-VLOOKUP($AO18,Уголь_коэфф!$A:$B,2,1)),1+(1-$AU18))</f>
        <v>1.01</v>
      </c>
      <c r="DV18" s="102">
        <f>MIN(IF($AU18=100%,1,1+VLOOKUP(($AJ18-$AI18-$AH18-$AG18-$AF18-$AE18*(1+DV$3))/$AJ18,Уголь_коэфф!$A:$B,2,1)-VLOOKUP($AO18,Уголь_коэфф!$A:$B,2,1)),1+(1-$AU18))</f>
        <v>1.01</v>
      </c>
      <c r="DW18" s="102">
        <f>MIN(IF($AU18=100%,1,1+VLOOKUP(($AJ18-$AI18-$AH18-$AG18-$AF18-$AE18*(1+DW$3))/$AJ18,Уголь_коэфф!$A:$B,2,1)-VLOOKUP($AO18,Уголь_коэфф!$A:$B,2,1)),1+(1-$AU18))</f>
        <v>1.01</v>
      </c>
      <c r="DX18" s="102">
        <f>MIN(IF($AU18=100%,1,1+VLOOKUP(($AJ18-$AI18-$AH18-$AG18-$AF18-$AE18*(1+DX$3))/$AJ18,Уголь_коэфф!$A:$B,2,1)-VLOOKUP($AO18,Уголь_коэфф!$A:$B,2,1)),1+(1-$AU18))</f>
        <v>1.01</v>
      </c>
      <c r="DY18" s="102">
        <f>MIN(IF($AU18=100%,1,1+VLOOKUP(($AJ18-$AI18-$AH18-$AG18-$AF18-$AE18*(1+DY$3))/$AJ18,Уголь_коэфф!$A:$B,2,1)-VLOOKUP($AO18,Уголь_коэфф!$A:$B,2,1)),1+(1-$AU18))</f>
        <v>1.01</v>
      </c>
      <c r="DZ18" s="102">
        <f>MIN(IF($AU18=100%,1,1+VLOOKUP(($AJ18-$AI18-$AH18-$AG18-$AF18-$AE18*(1+DZ$3))/$AJ18,Уголь_коэфф!$A:$B,2,1)-VLOOKUP($AO18,Уголь_коэфф!$A:$B,2,1)),1+(1-$AU18))</f>
        <v>1.01</v>
      </c>
      <c r="EA18" s="102">
        <f>MIN(IF($AU18=100%,1,1+VLOOKUP(($AJ18-$AI18-$AH18-$AG18-$AF18-$AE18*(1+EA$3))/$AJ18,Уголь_коэфф!$A:$B,2,1)-VLOOKUP($AO18,Уголь_коэфф!$A:$B,2,1)),1+(1-$AU18))</f>
        <v>1.01</v>
      </c>
      <c r="EB18" s="102">
        <f>MIN(IF($AU18=100%,1,1+VLOOKUP(($AJ18-$AI18-$AH18-$AG18-$AF18-$AE18*(1+EB$3))/$AJ18,Уголь_коэфф!$A:$B,2,1)-VLOOKUP($AO18,Уголь_коэфф!$A:$B,2,1)),1+(1-$AU18))</f>
        <v>1.01</v>
      </c>
      <c r="EC18" s="102">
        <f>MIN(IF($AU18=100%,1,1+VLOOKUP(($AJ18-$AI18-$AH18-$AG18-$AF18-$AE18*(1+EC$3))/$AJ18,Уголь_коэфф!$A:$B,2,1)-VLOOKUP($AO18,Уголь_коэфф!$A:$B,2,1)),1+(1-$AU18))</f>
        <v>1.01</v>
      </c>
      <c r="ED18" s="102">
        <f>MIN(IF($AU18=100%,1,1+VLOOKUP(($AJ18-$AI18-$AH18-$AG18-$AF18-$AE18*(1+ED$3))/$AJ18,Уголь_коэфф!$A:$B,2,1)-VLOOKUP($AO18,Уголь_коэфф!$A:$B,2,1)),1+(1-$AU18))</f>
        <v>1.01</v>
      </c>
      <c r="EE18" s="102">
        <f>MIN(IF($AU18=100%,1,1+VLOOKUP(($AJ18-$AI18-$AH18-$AG18-$AF18-$AE18*(1+EE$3))/$AJ18,Уголь_коэфф!$A:$B,2,1)-VLOOKUP($AO18,Уголь_коэфф!$A:$B,2,1)),1+(1-$AU18))</f>
        <v>1.01</v>
      </c>
      <c r="EF18" s="102">
        <f>MIN(IF($AU18=100%,1,1+VLOOKUP(($AJ18-$AI18-$AH18-$AG18-$AF18-$AE18*(1+EF$3))/$AJ18,Уголь_коэфф!$A:$B,2,1)-VLOOKUP($AO18,Уголь_коэфф!$A:$B,2,1)),1+(1-$AU18))</f>
        <v>1.01</v>
      </c>
      <c r="EG18" s="102">
        <f>MIN(IF($AU18=100%,1,1+VLOOKUP(($AJ18-$AI18-$AH18-$AG18-$AF18-$AE18*(1+EG$3))/$AJ18,Уголь_коэфф!$A:$B,2,1)-VLOOKUP($AO18,Уголь_коэфф!$A:$B,2,1)),1+(1-$AU18))</f>
        <v>1.01</v>
      </c>
      <c r="EH18" s="102">
        <f>MIN(IF($AU18=100%,1,1+VLOOKUP(($AJ18-$AI18-$AH18-$AG18-$AF18-$AE18*(1+EH$3))/$AJ18,Уголь_коэфф!$A:$B,2,1)-VLOOKUP($AO18,Уголь_коэфф!$A:$B,2,1)),1+(1-$AU18))</f>
        <v>1.01</v>
      </c>
      <c r="EI18" s="102">
        <f>MIN(IF($AU18=100%,1,1+VLOOKUP(($AJ18-$AI18-$AH18-$AG18-$AF18-$AE18*(1+EI$3))/$AJ18,Уголь_коэфф!$A:$B,2,1)-VLOOKUP($AO18,Уголь_коэфф!$A:$B,2,1)),1+(1-$AU18))</f>
        <v>1.01</v>
      </c>
      <c r="EJ18" s="102">
        <f>MIN(IF($AU18=100%,1,1+VLOOKUP(($AJ18-$AI18-$AH18-$AG18-$AF18-$AE18*(1+EJ$3))/$AJ18,Уголь_коэфф!$A:$B,2,1)-VLOOKUP($AO18,Уголь_коэфф!$A:$B,2,1)),1+(1-$AU18))</f>
        <v>1.01</v>
      </c>
      <c r="EK18" s="102">
        <f>MIN(IF($AU18=100%,1,1+VLOOKUP(($AJ18-$AI18-$AH18-$AG18-$AF18-$AE18*(1+EK$3))/$AJ18,Уголь_коэфф!$A:$B,2,1)-VLOOKUP($AO18,Уголь_коэфф!$A:$B,2,1)),1+(1-$AU18))</f>
        <v>1.01</v>
      </c>
      <c r="EL18" s="102">
        <f>MIN(IF($AU18=100%,1,1+VLOOKUP(($AJ18-$AI18-$AH18-$AG18-$AF18-$AE18*(1+EL$3))/$AJ18,Уголь_коэфф!$A:$B,2,1)-VLOOKUP($AO18,Уголь_коэфф!$A:$B,2,1)),1+(1-$AU18))</f>
        <v>1.01</v>
      </c>
      <c r="EM18" s="102">
        <f>MIN(IF($AU18=100%,1,1+VLOOKUP(($AJ18-$AI18-$AH18-$AG18-$AF18-$AE18*(1+EM$3))/$AJ18,Уголь_коэфф!$A:$B,2,1)-VLOOKUP($AO18,Уголь_коэфф!$A:$B,2,1)),1+(1-$AU18))</f>
        <v>1.01</v>
      </c>
      <c r="EN18" s="102">
        <f>MIN(IF($AU18=100%,1,1+VLOOKUP(($AJ18-$AI18-$AH18-$AG18-$AF18-$AE18*(1+EN$3))/$AJ18,Уголь_коэфф!$A:$B,2,1)-VLOOKUP($AO18,Уголь_коэфф!$A:$B,2,1)),1+(1-$AU18))</f>
        <v>1.01</v>
      </c>
      <c r="EO18" s="102">
        <f>MIN(IF($AU18=100%,1,1+VLOOKUP(($AJ18-$AI18-$AH18-$AG18-$AF18-$AE18*(1+EO$3))/$AJ18,Уголь_коэфф!$A:$B,2,1)-VLOOKUP($AO18,Уголь_коэфф!$A:$B,2,1)),1+(1-$AU18))</f>
        <v>1.0050000000000001</v>
      </c>
      <c r="EP18" s="102">
        <f>MIN(IF($AU18=100%,1,1+VLOOKUP(($AJ18-$AI18-$AH18-$AG18-$AF18-$AE18*(1+EP$3))/$AJ18,Уголь_коэфф!$A:$B,2,1)-VLOOKUP($AO18,Уголь_коэфф!$A:$B,2,1)),1+(1-$AU18))</f>
        <v>1.0050000000000001</v>
      </c>
      <c r="EQ18" s="102">
        <f>MIN(IF($AU18=100%,1,1+VLOOKUP(($AJ18-$AI18-$AH18-$AG18-$AF18-$AE18*(1+EQ$3))/$AJ18,Уголь_коэфф!$A:$B,2,1)-VLOOKUP($AO18,Уголь_коэфф!$A:$B,2,1)),1+(1-$AU18))</f>
        <v>1.0050000000000001</v>
      </c>
      <c r="ER18" s="102">
        <f>MIN(IF($AU18=100%,1,1+VLOOKUP(($AJ18-$AI18-$AH18-$AG18-$AF18-$AE18*(1+ER$3))/$AJ18,Уголь_коэфф!$A:$B,2,1)-VLOOKUP($AO18,Уголь_коэфф!$A:$B,2,1)),1+(1-$AU18))</f>
        <v>1.0050000000000001</v>
      </c>
      <c r="ES18" s="102">
        <f>MIN(IF($AU18=100%,1,1+VLOOKUP(($AJ18-$AI18-$AH18-$AG18-$AF18-$AE18*(1+ES$3))/$AJ18,Уголь_коэфф!$A:$B,2,1)-VLOOKUP($AO18,Уголь_коэфф!$A:$B,2,1)),1+(1-$AU18))</f>
        <v>1.0050000000000001</v>
      </c>
      <c r="ET18" s="102">
        <f>MIN(IF($AU18=100%,1,1+VLOOKUP(($AJ18-$AI18-$AH18-$AG18-$AF18-$AE18*(1+ET$3))/$AJ18,Уголь_коэфф!$A:$B,2,1)-VLOOKUP($AO18,Уголь_коэфф!$A:$B,2,1)),1+(1-$AU18))</f>
        <v>1</v>
      </c>
      <c r="EU18" s="102">
        <f>MIN(IF($AU18=100%,1,1+VLOOKUP(($AJ18-$AI18-$AH18-$AG18-$AF18-$AE18*(1+EU$3))/$AJ18,Уголь_коэфф!$A:$B,2,1)-VLOOKUP($AO18,Уголь_коэфф!$A:$B,2,1)),1+(1-$AU18))</f>
        <v>1</v>
      </c>
      <c r="EV18" s="103">
        <v>1</v>
      </c>
      <c r="EW18" s="102">
        <f>MIN(1,MAX(VLOOKUP(($AJ18-$AI18-$AH18-$AG18-$AF18-$AE18*(1+EW$3))/$AJ18,Уголь_коэфф!$A:$B,2,1),(EV18-0.05)))</f>
        <v>0.99</v>
      </c>
      <c r="EX18" s="102">
        <f>MIN(1,MAX(VLOOKUP(($AJ18-$AI18-$AH18-$AG18-$AF18-$AE18*(1+EX$3))/$AJ18,Уголь_коэфф!$A:$B,2,1),(EW18-0.05)))</f>
        <v>0.98499999999999999</v>
      </c>
      <c r="EY18" s="102">
        <f>MIN(1,MAX(VLOOKUP(($AJ18-$AI18-$AH18-$AG18-$AF18-$AE18*(1+EY$3))/$AJ18,Уголь_коэфф!$A:$B,2,1),(EX18-0.05)))</f>
        <v>0.98499999999999999</v>
      </c>
      <c r="EZ18" s="102">
        <f>MIN(1,MAX(VLOOKUP(($AJ18-$AI18-$AH18-$AG18-$AF18-$AE18*(1+EZ$3))/$AJ18,Уголь_коэфф!$A:$B,2,1),(EY18-0.05)))</f>
        <v>0.98499999999999999</v>
      </c>
      <c r="FA18" s="102">
        <f>MIN(1,MAX(VLOOKUP(($AJ18-$AI18-$AH18-$AG18-$AF18-$AE18*(1+FA$3))/$AJ18,Уголь_коэфф!$A:$B,2,1),(EZ18-0.05)))</f>
        <v>0.98499999999999999</v>
      </c>
      <c r="FB18" s="102">
        <f>MIN(1,MAX(VLOOKUP(($AJ18-$AI18-$AH18-$AG18-$AF18-$AE18*(1+FB$3))/$AJ18,Уголь_коэфф!$A:$B,2,1),(FA18-0.05)))</f>
        <v>0.98</v>
      </c>
      <c r="FC18" s="102">
        <f>MIN(1,MAX(VLOOKUP(($AJ18-$AI18-$AH18-$AG18-$AF18-$AE18*(1+FC$3))/$AJ18,Уголь_коэфф!$A:$B,2,1),(FB18-0.05)))</f>
        <v>0.98</v>
      </c>
      <c r="FD18" s="102">
        <f>MIN(1,MAX(VLOOKUP(($AJ18-$AI18-$AH18-$AG18-$AF18-$AE18*(1+FD$3))/$AJ18,Уголь_коэфф!$A:$B,2,1),(FC18-0.05)))</f>
        <v>0.98</v>
      </c>
      <c r="FE18" s="102">
        <f>MIN(1,MAX(VLOOKUP(($AJ18-$AI18-$AH18-$AG18-$AF18-$AE18*(1+FE$3))/$AJ18,Уголь_коэфф!$A:$B,2,1),(FD18-0.05)))</f>
        <v>0.98</v>
      </c>
      <c r="FF18" s="102">
        <f>MIN(1,MAX(VLOOKUP(($AJ18-$AI18-$AH18-$AG18-$AF18-$AE18*(1+FF$3))/$AJ18,Уголь_коэфф!$A:$B,2,1),(FE18-0.05)))</f>
        <v>0.98</v>
      </c>
      <c r="FG18" s="102">
        <f>MIN(1,MAX(VLOOKUP(($AJ18-$AI18-$AH18-$AG18-$AF18-$AE18*(1+FG$3))/$AJ18,Уголь_коэфф!$A:$B,2,1),(FF18-0.05)))</f>
        <v>0.97499999999999998</v>
      </c>
      <c r="FH18" s="102">
        <f>MIN(1,MAX(VLOOKUP(($AJ18-$AI18-$AH18-$AG18-$AF18-$AE18*(1+FH$3))/$AJ18,Уголь_коэфф!$A:$B,2,1),(FG18-0.05)))</f>
        <v>0.97499999999999998</v>
      </c>
      <c r="FI18" s="102">
        <f>MIN(1,MAX(VLOOKUP(($AJ18-$AI18-$AH18-$AG18-$AF18-$AE18*(1+FI$3))/$AJ18,Уголь_коэфф!$A:$B,2,1),(FH18-0.05)))</f>
        <v>0.97499999999999998</v>
      </c>
      <c r="FJ18" s="102">
        <f>MIN(1,MAX(VLOOKUP(($AJ18-$AI18-$AH18-$AG18-$AF18-$AE18*(1+FJ$3))/$AJ18,Уголь_коэфф!$A:$B,2,1),(FI18-0.05)))</f>
        <v>0.97499999999999998</v>
      </c>
      <c r="FK18" s="102">
        <f>MIN(1,MAX(VLOOKUP(($AJ18-$AI18-$AH18-$AG18-$AF18-$AE18*(1+FK$3))/$AJ18,Уголь_коэфф!$A:$B,2,1),(FJ18-0.05)))</f>
        <v>0.97</v>
      </c>
      <c r="FL18" s="102">
        <f>MIN(1,MAX(VLOOKUP(($AJ18-$AI18-$AH18-$AG18-$AF18-$AE18*(1+FL$3))/$AJ18,Уголь_коэфф!$A:$B,2,1),(FK18-0.05)))</f>
        <v>0.97</v>
      </c>
      <c r="FM18" s="102">
        <f>MIN(1,MAX(VLOOKUP(($AJ18-$AI18-$AH18-$AG18-$AF18-$AE18*(1+FM$3))/$AJ18,Уголь_коэфф!$A:$B,2,1),(FL18-0.05)))</f>
        <v>0.97</v>
      </c>
      <c r="FN18" s="102">
        <f>MIN(1,MAX(VLOOKUP(($AJ18-$AI18-$AH18-$AG18-$AF18-$AE18*(1+FN$3))/$AJ18,Уголь_коэфф!$A:$B,2,1),(FM18-0.05)))</f>
        <v>0.97</v>
      </c>
      <c r="FO18" s="102">
        <f>MIN(1,MAX(VLOOKUP(($AJ18-$AI18-$AH18-$AG18-$AF18-$AE18*(1+FO$3))/$AJ18,Уголь_коэфф!$A:$B,2,1),(FN18-0.05)))</f>
        <v>0.96499999999999997</v>
      </c>
      <c r="FP18" s="102">
        <f>MIN(1,MAX(VLOOKUP(($AJ18-$AI18-$AH18-$AG18-$AF18-$AE18*(1+FP$3))/$AJ18,Уголь_коэфф!$A:$B,2,1),(FO18-0.05)))</f>
        <v>0.96499999999999997</v>
      </c>
      <c r="FQ18" s="102">
        <f>MIN(1,MAX(VLOOKUP(($AJ18-$AI18-$AH18-$AG18-$AF18-$AE18*(1+FQ$3))/$AJ18,Уголь_коэфф!$A:$B,2,1),(FP18-0.05)))</f>
        <v>0.96499999999999997</v>
      </c>
      <c r="FR18" s="102">
        <f>MIN(1,MAX(VLOOKUP(($AJ18-$AI18-$AH18-$AG18-$AF18-$AE18*(1+FR$3))/$AJ18,Уголь_коэфф!$A:$B,2,1),(FQ18-0.05)))</f>
        <v>0.96499999999999997</v>
      </c>
      <c r="FS18" s="102">
        <f>MIN(1,MAX(VLOOKUP(($AJ18-$AI18-$AH18-$AG18-$AF18-$AE18*(1+FS$3))/$AJ18,Уголь_коэфф!$A:$B,2,1),(FR18-0.05)))</f>
        <v>0.96</v>
      </c>
      <c r="FT18" s="102">
        <f>MIN(1,MAX(VLOOKUP(($AJ18-$AI18-$AH18-$AG18-$AF18-$AE18*(1+FT$3))/$AJ18,Уголь_коэфф!$A:$B,2,1),(FS18-0.05)))</f>
        <v>0.96</v>
      </c>
      <c r="FU18" s="102">
        <f>MIN(1,MAX(VLOOKUP(($AJ18-$AI18-$AH18-$AG18-$AF18-$AE18*(1+FU$3))/$AJ18,Уголь_коэфф!$A:$B,2,1),(FT18-0.05)))</f>
        <v>0.96</v>
      </c>
      <c r="FV18" s="102">
        <f>MIN(1,MAX(VLOOKUP(($AJ18-$AI18-$AH18-$AG18-$AF18-$AE18*(1+FV$3))/$AJ18,Уголь_коэфф!$A:$B,2,1),(FU18-0.05)))</f>
        <v>0.96</v>
      </c>
      <c r="FW18" s="102">
        <f>MIN(1,MAX(VLOOKUP(($AJ18-$AI18-$AH18-$AG18-$AF18-$AE18*(1+FW$3))/$AJ18,Уголь_коэфф!$A:$B,2,1),(FV18-0.05)))</f>
        <v>0.96</v>
      </c>
      <c r="FX18" s="102">
        <f>MIN(1,MAX(VLOOKUP(($AJ18-$AI18-$AH18-$AG18-$AF18-$AE18*(1+FX$3))/$AJ18,Уголь_коэфф!$A:$B,2,1),(FW18-0.05)))</f>
        <v>0.95499999999999996</v>
      </c>
      <c r="FY18" s="102">
        <f>MIN(1,MAX(VLOOKUP(($AJ18-$AI18-$AH18-$AG18-$AF18-$AE18*(1+FY$3))/$AJ18,Уголь_коэфф!$A:$B,2,1),(FX18-0.05)))</f>
        <v>0.95499999999999996</v>
      </c>
      <c r="FZ18" s="102">
        <f>MIN(1,MAX(VLOOKUP(($AJ18-$AI18-$AH18-$AG18-$AF18-$AE18*(1+FZ$3))/$AJ18,Уголь_коэфф!$A:$B,2,1),(FY18-0.05)))</f>
        <v>0.95499999999999996</v>
      </c>
      <c r="GA18" s="102">
        <f>MIN(1,MAX(VLOOKUP(($AJ18-$AI18-$AH18-$AG18-$AF18-$AE18*(1+GA$3))/$AJ18,Уголь_коэфф!$A:$B,2,1),(FZ18-0.05)))</f>
        <v>0.95499999999999996</v>
      </c>
      <c r="GB18" s="102">
        <f>MIN(1,MAX(VLOOKUP(($AJ18-$AI18-$AH18-$AG18-$AF18-$AE18*(1+GB$3))/$AJ18,Уголь_коэфф!$A:$B,2,1),(GA18-0.05)))</f>
        <v>0.95</v>
      </c>
      <c r="GC18" s="102">
        <f>MIN(1,MAX(VLOOKUP(($AJ18-$AI18-$AH18-$AG18-$AF18-$AE18*(1+GC$3))/$AJ18,Уголь_коэфф!$A:$B,2,1),(GB18-0.05)))</f>
        <v>0.95</v>
      </c>
      <c r="GD18" s="102">
        <f>MIN(1,MAX(VLOOKUP(($AJ18-$AI18-$AH18-$AG18-$AF18-$AE18*(1+GD$3))/$AJ18,Уголь_коэфф!$A:$B,2,1),(GC18-0.05)))</f>
        <v>0.95</v>
      </c>
      <c r="GE18" s="102">
        <f>MIN(1,MAX(VLOOKUP(($AJ18-$AI18-$AH18-$AG18-$AF18-$AE18*(1+GE$3))/$AJ18,Уголь_коэфф!$A:$B,2,1),(GD18-0.05)))</f>
        <v>0.95</v>
      </c>
      <c r="GF18" s="102">
        <f>MIN(1,MAX(VLOOKUP(($AJ18-$AI18-$AH18-$AG18-$AF18-$AE18*(1+GF$3))/$AJ18,Уголь_коэфф!$A:$B,2,1),(GE18-0.05)))</f>
        <v>0.94499999999999995</v>
      </c>
      <c r="GG18" s="102">
        <f>MIN(1,MAX(VLOOKUP(($AJ18-$AI18-$AH18-$AG18-$AF18-$AE18*(1+GG$3))/$AJ18,Уголь_коэфф!$A:$B,2,1),(GF18-0.05)))</f>
        <v>0.94499999999999995</v>
      </c>
      <c r="GH18" s="102">
        <f>MIN(1,MAX(VLOOKUP(($AJ18-$AI18-$AH18-$AG18-$AF18-$AE18*(1+GH$3))/$AJ18,Уголь_коэфф!$A:$B,2,1),(GG18-0.05)))</f>
        <v>0.94499999999999995</v>
      </c>
      <c r="GI18" s="102">
        <f>MIN(1,MAX(VLOOKUP(($AJ18-$AI18-$AH18-$AG18-$AF18-$AE18*(1+GI$3))/$AJ18,Уголь_коэфф!$A:$B,2,1),(GH18-0.05)))</f>
        <v>0.94499999999999995</v>
      </c>
      <c r="GJ18" s="102">
        <f>MIN(1,MAX(VLOOKUP(($AJ18-$AI18-$AH18-$AG18-$AF18-$AE18*(1+GJ$3))/$AJ18,Уголь_коэфф!$A:$B,2,1),(GI18-0.05)))</f>
        <v>0.94</v>
      </c>
      <c r="GK18" s="102">
        <f>MIN(1,MAX(VLOOKUP(($AJ18-$AI18-$AH18-$AG18-$AF18-$AE18*(1+GK$3))/$AJ18,Уголь_коэфф!$A:$B,2,1),(GJ18-0.05)))</f>
        <v>0.94</v>
      </c>
      <c r="GL18" s="102">
        <f>MIN(1,MAX(VLOOKUP(($AJ18-$AI18-$AH18-$AG18-$AF18-$AE18*(1+GL$3))/$AJ18,Уголь_коэфф!$A:$B,2,1),(GK18-0.05)))</f>
        <v>0.94</v>
      </c>
      <c r="GM18" s="102">
        <f>MIN(1,MAX(VLOOKUP(($AJ18-$AI18-$AH18-$AG18-$AF18-$AE18*(1+GM$3))/$AJ18,Уголь_коэфф!$A:$B,2,1),(GL18-0.05)))</f>
        <v>0.94</v>
      </c>
      <c r="GN18" s="102">
        <f>MIN(1,MAX(VLOOKUP(($AJ18-$AI18-$AH18-$AG18-$AF18-$AE18*(1+GN$3))/$AJ18,Уголь_коэфф!$A:$B,2,1),(GM18-0.05)))</f>
        <v>0.94</v>
      </c>
      <c r="GO18" s="102">
        <f>MIN(1,MAX(VLOOKUP(($AJ18-$AI18-$AH18-$AG18-$AF18-$AE18*(1+GO$3))/$AJ18,Уголь_коэфф!$A:$B,2,1),(GN18-0.05)))</f>
        <v>0.93500000000000005</v>
      </c>
      <c r="GP18" s="102">
        <f>MIN(1,MAX(VLOOKUP(($AJ18-$AI18-$AH18-$AG18-$AF18-$AE18*(1+GP$3))/$AJ18,Уголь_коэфф!$A:$B,2,1),(GO18-0.05)))</f>
        <v>0.93500000000000005</v>
      </c>
      <c r="GQ18" s="102">
        <f>MIN(1,MAX(VLOOKUP(($AJ18-$AI18-$AH18-$AG18-$AF18-$AE18*(1+GQ$3))/$AJ18,Уголь_коэфф!$A:$B,2,1),(GP18-0.05)))</f>
        <v>0.93500000000000005</v>
      </c>
      <c r="GR18" s="102">
        <f>MIN(1,MAX(VLOOKUP(($AJ18-$AI18-$AH18-$AG18-$AF18-$AE18*(1+GR$3))/$AJ18,Уголь_коэфф!$A:$B,2,1),(GQ18-0.05)))</f>
        <v>0.93500000000000005</v>
      </c>
      <c r="GS18" s="102">
        <f>MIN(1,MAX(VLOOKUP(($AJ18-$AI18-$AH18-$AG18-$AF18-$AE18*(1+GS$3))/$AJ18,Уголь_коэфф!$A:$B,2,1),(GR18-0.05)))</f>
        <v>0.93</v>
      </c>
      <c r="GT18" s="102">
        <f>MIN(1,MAX(VLOOKUP(($AJ18-$AI18-$AH18-$AG18-$AF18-$AE18*(1+GT$3))/$AJ18,Уголь_коэфф!$A:$B,2,1),(GS18-0.05)))</f>
        <v>0.93</v>
      </c>
      <c r="GU18" s="102">
        <f>MIN(1,MAX(VLOOKUP(($AJ18-$AI18-$AH18-$AG18-$AF18-$AE18*(1+GU$3))/$AJ18,Уголь_коэфф!$A:$B,2,1),(GT18-0.05)))</f>
        <v>0.93</v>
      </c>
      <c r="GV18" s="102">
        <f>MIN(1,MAX(VLOOKUP(($AJ18-$AI18-$AH18-$AG18-$AF18-$AE18*(1+GV$3))/$AJ18,Уголь_коэфф!$A:$B,2,1),(GU18-0.05)))</f>
        <v>0.93</v>
      </c>
      <c r="GW18" s="102">
        <f>MIN(1,MAX(VLOOKUP(($AJ18-$AI18-$AH18-$AG18-$AF18-$AE18*(1+GW$3))/$AJ18,Уголь_коэфф!$A:$B,2,1),(GV18-0.05)))</f>
        <v>0.92500000000000004</v>
      </c>
      <c r="GX18" s="102">
        <f>MIN(1,MAX(VLOOKUP(($AJ18-$AI18-$AH18-$AG18-$AF18-$AE18*(1+GX$3))/$AJ18,Уголь_коэфф!$A:$B,2,1),(GW18-0.05)))</f>
        <v>0.92500000000000004</v>
      </c>
      <c r="GY18" s="102">
        <f>MIN(1,MAX(VLOOKUP(($AJ18-$AI18-$AH18-$AG18-$AF18-$AE18*(1+GY$3))/$AJ18,Уголь_коэфф!$A:$B,2,1),(GX18-0.05)))</f>
        <v>0.92500000000000004</v>
      </c>
      <c r="GZ18" s="102">
        <f>MIN(1,MAX(VLOOKUP(($AJ18-$AI18-$AH18-$AG18-$AF18-$AE18*(1+GZ$3))/$AJ18,Уголь_коэфф!$A:$B,2,1),(GY18-0.05)))</f>
        <v>0.92500000000000004</v>
      </c>
      <c r="HA18" s="102">
        <f>MIN(1,MAX(VLOOKUP(($AJ18-$AI18-$AH18-$AG18-$AF18-$AE18*(1+HA$3))/$AJ18,Уголь_коэфф!$A:$B,2,1),(GZ18-0.05)))</f>
        <v>0.92500000000000004</v>
      </c>
      <c r="HB18" s="102">
        <f>MIN(1,MAX(VLOOKUP(($AJ18-$AI18-$AH18-$AG18-$AF18-$AE18*(1+HB$3))/$AJ18,Уголь_коэфф!$A:$B,2,1),(HA18-0.05)))</f>
        <v>0.92</v>
      </c>
      <c r="HC18" s="102">
        <f>MIN(1,MAX(VLOOKUP(($AJ18-$AI18-$AH18-$AG18-$AF18-$AE18*(1+HC$3))/$AJ18,Уголь_коэфф!$A:$B,2,1),(HB18-0.05)))</f>
        <v>0.92</v>
      </c>
      <c r="HD18" s="102">
        <f>MIN(1,MAX(VLOOKUP(($AJ18-$AI18-$AH18-$AG18-$AF18-$AE18*(1+HD$3))/$AJ18,Уголь_коэфф!$A:$B,2,1),(HC18-0.05)))</f>
        <v>0.92</v>
      </c>
      <c r="HE18" s="102">
        <f>MIN(1,MAX(VLOOKUP(($AJ18-$AI18-$AH18-$AG18-$AF18-$AE18*(1+HE$3))/$AJ18,Уголь_коэфф!$A:$B,2,1),(HD18-0.05)))</f>
        <v>0.92</v>
      </c>
      <c r="HF18" s="102">
        <f>MIN(1,MAX(VLOOKUP(($AJ18-$AI18-$AH18-$AG18-$AF18-$AE18*(1+HF$3))/$AJ18,Уголь_коэфф!$A:$B,2,1),(HE18-0.05)))</f>
        <v>0.91400000000000003</v>
      </c>
      <c r="HG18" s="102">
        <f>MIN(1,MAX(VLOOKUP(($AJ18-$AI18-$AH18-$AG18-$AF18-$AE18*(1+HG$3))/$AJ18,Уголь_коэфф!$A:$B,2,1),(HF18-0.05)))</f>
        <v>0.91400000000000003</v>
      </c>
      <c r="HH18" s="102">
        <f>MIN(1,MAX(VLOOKUP(($AJ18-$AI18-$AH18-$AG18-$AF18-$AE18*(1+HH$3))/$AJ18,Уголь_коэфф!$A:$B,2,1),(HG18-0.05)))</f>
        <v>0.91400000000000003</v>
      </c>
      <c r="HI18" s="102">
        <f>MIN(1,MAX(VLOOKUP(($AJ18-$AI18-$AH18-$AG18-$AF18-$AE18*(1+HI$3))/$AJ18,Уголь_коэфф!$A:$B,2,1),(HH18-0.05)))</f>
        <v>0.91400000000000003</v>
      </c>
      <c r="HJ18" s="102">
        <f>MIN(1,MAX(VLOOKUP(($AJ18-$AI18-$AH18-$AG18-$AF18-$AE18*(1+HJ$3))/$AJ18,Уголь_коэфф!$A:$B,2,1),(HI18-0.05)))</f>
        <v>0.90800000000000003</v>
      </c>
      <c r="HK18" s="102">
        <f>MIN(1,MAX(VLOOKUP(($AJ18-$AI18-$AH18-$AG18-$AF18-$AE18*(1+HK$3))/$AJ18,Уголь_коэфф!$A:$B,2,1),(HJ18-0.05)))</f>
        <v>0.90800000000000003</v>
      </c>
      <c r="HL18" s="102">
        <f>MIN(1,MAX(VLOOKUP(($AJ18-$AI18-$AH18-$AG18-$AF18-$AE18*(1+HL$3))/$AJ18,Уголь_коэфф!$A:$B,2,1),(HK18-0.05)))</f>
        <v>0.90800000000000003</v>
      </c>
      <c r="HM18" s="102">
        <f>MIN(1,MAX(VLOOKUP(($AJ18-$AI18-$AH18-$AG18-$AF18-$AE18*(1+HM$3))/$AJ18,Уголь_коэфф!$A:$B,2,1),(HL18-0.05)))</f>
        <v>0.90800000000000003</v>
      </c>
      <c r="HN18" s="102">
        <f>MIN(1,MAX(VLOOKUP(($AJ18-$AI18-$AH18-$AG18-$AF18-$AE18*(1+HN$3))/$AJ18,Уголь_коэфф!$A:$B,2,1),(HM18-0.05)))</f>
        <v>0.90200000000000002</v>
      </c>
      <c r="HO18" s="102">
        <f>MIN(1,MAX(VLOOKUP(($AJ18-$AI18-$AH18-$AG18-$AF18-$AE18*(1+HO$3))/$AJ18,Уголь_коэфф!$A:$B,2,1),(HN18-0.05)))</f>
        <v>0.90200000000000002</v>
      </c>
      <c r="HP18" s="102">
        <f>MIN(1,MAX(VLOOKUP(($AJ18-$AI18-$AH18-$AG18-$AF18-$AE18*(1+HP$3))/$AJ18,Уголь_коэфф!$A:$B,2,1),(HO18-0.05)))</f>
        <v>0.90200000000000002</v>
      </c>
      <c r="HQ18" s="102">
        <f>MIN(1,MAX(VLOOKUP(($AJ18-$AI18-$AH18-$AG18-$AF18-$AE18*(1+HQ$3))/$AJ18,Уголь_коэфф!$A:$B,2,1),(HP18-0.05)))</f>
        <v>0.90200000000000002</v>
      </c>
      <c r="HR18" s="102">
        <f>MIN(1,MAX(VLOOKUP(($AJ18-$AI18-$AH18-$AG18-$AF18-$AE18*(1+HR$3))/$AJ18,Уголь_коэфф!$A:$B,2,1),(HQ18-0.05)))</f>
        <v>0.90200000000000002</v>
      </c>
      <c r="HS18" s="102">
        <f>MIN(1,MAX(VLOOKUP(($AJ18-$AI18-$AH18-$AG18-$AF18-$AE18*(1+HS$3))/$AJ18,Уголь_коэфф!$A:$B,2,1),(HR18-0.05)))</f>
        <v>0.89600000000000002</v>
      </c>
      <c r="HT18" s="102">
        <f>MIN(1,MAX(VLOOKUP(($AJ18-$AI18-$AH18-$AG18-$AF18-$AE18*(1+HT$3))/$AJ18,Уголь_коэфф!$A:$B,2,1),(HS18-0.05)))</f>
        <v>0.89600000000000002</v>
      </c>
      <c r="HU18" s="102">
        <f>MIN(1,MAX(VLOOKUP(($AJ18-$AI18-$AH18-$AG18-$AF18-$AE18*(1+HU$3))/$AJ18,Уголь_коэфф!$A:$B,2,1),(HT18-0.05)))</f>
        <v>0.89600000000000002</v>
      </c>
      <c r="HV18" s="102">
        <f>MIN(1,MAX(VLOOKUP(($AJ18-$AI18-$AH18-$AG18-$AF18-$AE18*(1+HV$3))/$AJ18,Уголь_коэфф!$A:$B,2,1),(HU18-0.05)))</f>
        <v>0.89600000000000002</v>
      </c>
      <c r="HW18" s="102">
        <f>MIN(1,MAX(VLOOKUP(($AJ18-$AI18-$AH18-$AG18-$AF18-$AE18*(1+HW$3))/$AJ18,Уголь_коэфф!$A:$B,2,1),(HV18-0.05)))</f>
        <v>0.89</v>
      </c>
      <c r="HX18" s="102">
        <f>MIN(1,MAX(VLOOKUP(($AJ18-$AI18-$AH18-$AG18-$AF18-$AE18*(1+HX$3))/$AJ18,Уголь_коэфф!$A:$B,2,1),(HW18-0.05)))</f>
        <v>0.89</v>
      </c>
      <c r="HY18" s="102">
        <f>MIN(1,MAX(VLOOKUP(($AJ18-$AI18-$AH18-$AG18-$AF18-$AE18*(1+HY$3))/$AJ18,Уголь_коэфф!$A:$B,2,1),(HX18-0.05)))</f>
        <v>0.89</v>
      </c>
      <c r="HZ18" s="102">
        <f>MIN(1,MAX(VLOOKUP(($AJ18-$AI18-$AH18-$AG18-$AF18-$AE18*(1+HZ$3))/$AJ18,Уголь_коэфф!$A:$B,2,1),(HY18-0.05)))</f>
        <v>0.89</v>
      </c>
      <c r="IA18" s="102">
        <f>MIN(1,MAX(VLOOKUP(($AJ18-$AI18-$AH18-$AG18-$AF18-$AE18*(1+IA$3))/$AJ18,Уголь_коэфф!$A:$B,2,1),(HZ18-0.05)))</f>
        <v>0.88400000000000001</v>
      </c>
      <c r="IB18" s="102">
        <f>MIN(1,MAX(VLOOKUP(($AJ18-$AI18-$AH18-$AG18-$AF18-$AE18*(1+IB$3))/$AJ18,Уголь_коэфф!$A:$B,2,1),(IA18-0.05)))</f>
        <v>0.88400000000000001</v>
      </c>
      <c r="IC18" s="102">
        <f>MIN(1,MAX(VLOOKUP(($AJ18-$AI18-$AH18-$AG18-$AF18-$AE18*(1+IC$3))/$AJ18,Уголь_коэфф!$A:$B,2,1),(IB18-0.05)))</f>
        <v>0.88400000000000001</v>
      </c>
      <c r="ID18" s="102">
        <f>MIN(1,MAX(VLOOKUP(($AJ18-$AI18-$AH18-$AG18-$AF18-$AE18*(1+ID$3))/$AJ18,Уголь_коэфф!$A:$B,2,1),(IC18-0.05)))</f>
        <v>0.88400000000000001</v>
      </c>
      <c r="IE18" s="102">
        <f>MIN(1,MAX(VLOOKUP(($AJ18-$AI18-$AH18-$AG18-$AF18-$AE18*(1+IE$3))/$AJ18,Уголь_коэфф!$A:$B,2,1),(ID18-0.05)))</f>
        <v>0.878</v>
      </c>
      <c r="IF18" s="102">
        <f>MIN(1,MAX(VLOOKUP(($AJ18-$AI18-$AH18-$AG18-$AF18-$AE18*(1+IF$3))/$AJ18,Уголь_коэфф!$A:$B,2,1),(IE18-0.05)))</f>
        <v>0.878</v>
      </c>
      <c r="IG18" s="102">
        <f>MIN(1,MAX(VLOOKUP(($AJ18-$AI18-$AH18-$AG18-$AF18-$AE18*(1+IG$3))/$AJ18,Уголь_коэфф!$A:$B,2,1),(IF18-0.05)))</f>
        <v>0.878</v>
      </c>
      <c r="IH18" s="102">
        <f>MIN(1,MAX(VLOOKUP(($AJ18-$AI18-$AH18-$AG18-$AF18-$AE18*(1+IH$3))/$AJ18,Уголь_коэфф!$A:$B,2,1),(IG18-0.05)))</f>
        <v>0.878</v>
      </c>
      <c r="II18" s="102">
        <f>MIN(1,MAX(VLOOKUP(($AJ18-$AI18-$AH18-$AG18-$AF18-$AE18*(1+II$3))/$AJ18,Уголь_коэфф!$A:$B,2,1),(IH18-0.05)))</f>
        <v>0.878</v>
      </c>
      <c r="IJ18" s="102">
        <f>MIN(1,MAX(VLOOKUP(($AJ18-$AI18-$AH18-$AG18-$AF18-$AE18*(1+IJ$3))/$AJ18,Уголь_коэфф!$A:$B,2,1),(II18-0.05)))</f>
        <v>0.872</v>
      </c>
      <c r="IK18" s="102">
        <f>MIN(1,MAX(VLOOKUP(($AJ18-$AI18-$AH18-$AG18-$AF18-$AE18*(1+IK$3))/$AJ18,Уголь_коэфф!$A:$B,2,1),(IJ18-0.05)))</f>
        <v>0.872</v>
      </c>
      <c r="IL18" s="102">
        <f>MIN(1,MAX(VLOOKUP(($AJ18-$AI18-$AH18-$AG18-$AF18-$AE18*(1+IL$3))/$AJ18,Уголь_коэфф!$A:$B,2,1),(IK18-0.05)))</f>
        <v>0.872</v>
      </c>
      <c r="IM18" s="102">
        <f>MIN(1,MAX(VLOOKUP(($AJ18-$AI18-$AH18-$AG18-$AF18-$AE18*(1+IM$3))/$AJ18,Уголь_коэфф!$A:$B,2,1),(IL18-0.05)))</f>
        <v>0.872</v>
      </c>
      <c r="IN18" s="102">
        <f>MIN(1,MAX(VLOOKUP(($AJ18-$AI18-$AH18-$AG18-$AF18-$AE18*(1+IN$3))/$AJ18,Уголь_коэфф!$A:$B,2,1),(IM18-0.05)))</f>
        <v>0.86599999999999999</v>
      </c>
      <c r="IO18" s="102">
        <f>MIN(1,MAX(VLOOKUP(($AJ18-$AI18-$AH18-$AG18-$AF18-$AE18*(1+IO$3))/$AJ18,Уголь_коэфф!$A:$B,2,1),(IN18-0.05)))</f>
        <v>0.86599999999999999</v>
      </c>
      <c r="IP18" s="102">
        <f>MIN(1,MAX(VLOOKUP(($AJ18-$AI18-$AH18-$AG18-$AF18-$AE18*(1+IP$3))/$AJ18,Уголь_коэфф!$A:$B,2,1),(IO18-0.05)))</f>
        <v>0.86599999999999999</v>
      </c>
      <c r="IQ18" s="102">
        <f>MIN(1,MAX(VLOOKUP(($AJ18-$AI18-$AH18-$AG18-$AF18-$AE18*(1+IQ$3))/$AJ18,Уголь_коэфф!$A:$B,2,1),(IP18-0.05)))</f>
        <v>0.86599999999999999</v>
      </c>
      <c r="IR18" s="102">
        <f>MIN(1,MAX(VLOOKUP(($AJ18-$AI18-$AH18-$AG18-$AF18-$AE18*(1+IR$3))/$AJ18,Уголь_коэфф!$A:$B,2,1),(IQ18-0.05)))</f>
        <v>0.86</v>
      </c>
      <c r="IS18" s="102">
        <f t="shared" si="20"/>
        <v>0.96</v>
      </c>
      <c r="IT18" s="102">
        <f t="shared" si="7"/>
        <v>0.96</v>
      </c>
      <c r="IU18" s="110"/>
    </row>
    <row r="19" spans="1:255" ht="29.15" customHeight="1">
      <c r="A19" t="s">
        <v>241</v>
      </c>
      <c r="B19" s="133">
        <v>1</v>
      </c>
      <c r="C19" s="134" t="s">
        <v>16</v>
      </c>
      <c r="D19" s="135">
        <v>16118</v>
      </c>
      <c r="E19" s="135" t="s">
        <v>65</v>
      </c>
      <c r="F19" s="134" t="s">
        <v>18</v>
      </c>
      <c r="G19" s="134" t="s">
        <v>45</v>
      </c>
      <c r="H19" s="135" t="s">
        <v>34</v>
      </c>
      <c r="I19" s="134" t="s">
        <v>104</v>
      </c>
      <c r="J19" s="135" t="s">
        <v>105</v>
      </c>
      <c r="K19" s="135">
        <v>4838</v>
      </c>
      <c r="L19" s="135" t="s">
        <v>22</v>
      </c>
      <c r="M19" s="135" t="s">
        <v>23</v>
      </c>
      <c r="N19" s="135" t="s">
        <v>24</v>
      </c>
      <c r="O19" s="135" t="s">
        <v>36</v>
      </c>
      <c r="P19" s="138">
        <v>53037061</v>
      </c>
      <c r="Q19" s="136" t="s">
        <v>102</v>
      </c>
      <c r="R19" s="135" t="s">
        <v>103</v>
      </c>
      <c r="S19" s="139">
        <v>76356</v>
      </c>
      <c r="T19" s="137">
        <v>369416028</v>
      </c>
      <c r="U19" s="137">
        <v>1098</v>
      </c>
      <c r="V19" s="137"/>
      <c r="W19" s="140">
        <v>153835830</v>
      </c>
      <c r="X19" s="104">
        <v>69</v>
      </c>
      <c r="Y19" s="104" t="s">
        <v>163</v>
      </c>
      <c r="Z19" s="107">
        <v>11</v>
      </c>
      <c r="AA19" s="107">
        <v>12</v>
      </c>
      <c r="AB19" s="107">
        <v>4</v>
      </c>
      <c r="AC19" s="88">
        <v>2247.13</v>
      </c>
      <c r="AD19" s="88">
        <v>1039.8800000000001</v>
      </c>
      <c r="AE19" s="88">
        <f t="shared" si="24"/>
        <v>3287.01</v>
      </c>
      <c r="AF19" s="89">
        <f>'Цены,перевалка,аренда'!$C$27*SUM(Уголь_эластика_экспорт!Z19+Уголь_эластика_экспорт!AA19+Уголь_эластика_экспорт!AB19)/Уголь_эластика_экспорт!X19</f>
        <v>273.91304347826087</v>
      </c>
      <c r="AG19" s="90">
        <f>SUMIF('Цены,перевалка,аренда'!$A$20:$A$22,Уголь_эластика_экспорт!$O19,'Цены,перевалка,аренда'!$D$20:$D$22)</f>
        <v>991.97149999999988</v>
      </c>
      <c r="AH19" s="47"/>
      <c r="AI19" s="91">
        <v>2800</v>
      </c>
      <c r="AJ19" s="92">
        <f>SUMIF('Цены,перевалка,аренда'!$A$5:$A$17,Уголь_эластика_экспорт!A19,'Цены,перевалка,аренда'!$D$5:$D$17)</f>
        <v>7249.0224999999991</v>
      </c>
      <c r="AK19" s="47">
        <f>AJ19/'Цены,перевалка,аренда'!$C$1</f>
        <v>95</v>
      </c>
      <c r="AL19" s="47">
        <f t="shared" si="9"/>
        <v>4552.8945434782609</v>
      </c>
      <c r="AM19" s="47">
        <f t="shared" si="10"/>
        <v>2696.1279565217383</v>
      </c>
      <c r="AN19" s="47">
        <f t="shared" si="11"/>
        <v>7352.8945434782609</v>
      </c>
      <c r="AO19" s="93">
        <f t="shared" si="12"/>
        <v>-1.4329110370158424E-2</v>
      </c>
      <c r="AP19" s="94">
        <f t="shared" si="13"/>
        <v>0.62807013545319545</v>
      </c>
      <c r="AQ19" s="94">
        <f t="shared" si="5"/>
        <v>0.45344182612207379</v>
      </c>
      <c r="AR19" s="94">
        <f t="shared" si="6"/>
        <v>0.72196049537506601</v>
      </c>
      <c r="AS19" s="167">
        <f t="shared" si="14"/>
        <v>0.97499999999999998</v>
      </c>
      <c r="AT19" s="173">
        <f t="shared" si="15"/>
        <v>74447.099999999991</v>
      </c>
      <c r="AU19" s="97">
        <f t="shared" si="25"/>
        <v>0.95522388059701491</v>
      </c>
      <c r="AV19" s="93">
        <f t="shared" si="16"/>
        <v>-6.8742129504807306E-2</v>
      </c>
      <c r="AW19" s="94">
        <f t="shared" si="17"/>
        <v>0.68248315458784437</v>
      </c>
      <c r="AX19" s="94">
        <f t="shared" si="18"/>
        <v>0.50785484525672264</v>
      </c>
      <c r="AY19" s="94">
        <f t="shared" si="19"/>
        <v>0.74412802989023119</v>
      </c>
      <c r="AZ19" s="102">
        <f>MIN(IF($AU19=100%,1,1+VLOOKUP(($AJ19-$AI19-$AH19-$AG19-$AF19-$AE19*(1+AZ$3))/$AJ19,Уголь_коэфф!$A:$B,2,1)-VLOOKUP($AO19,Уголь_коэфф!$A:$B,2,1)),1+(1-$AU19))</f>
        <v>1.044776119402985</v>
      </c>
      <c r="BA19" s="102">
        <f>MIN(IF($AU19=100%,1,1+VLOOKUP(($AJ19-$AI19-$AH19-$AG19-$AF19-$AE19*(1+BA$3))/$AJ19,Уголь_коэфф!$A:$B,2,1)-VLOOKUP($AO19,Уголь_коэфф!$A:$B,2,1)),1+(1-$AU19))</f>
        <v>1.044776119402985</v>
      </c>
      <c r="BB19" s="102">
        <f>MIN(IF($AU19=100%,1,1+VLOOKUP(($AJ19-$AI19-$AH19-$AG19-$AF19-$AE19*(1+BB$3))/$AJ19,Уголь_коэфф!$A:$B,2,1)-VLOOKUP($AO19,Уголь_коэфф!$A:$B,2,1)),1+(1-$AU19))</f>
        <v>1.044776119402985</v>
      </c>
      <c r="BC19" s="102">
        <f>MIN(IF($AU19=100%,1,1+VLOOKUP(($AJ19-$AI19-$AH19-$AG19-$AF19-$AE19*(1+BC$3))/$AJ19,Уголь_коэфф!$A:$B,2,1)-VLOOKUP($AO19,Уголь_коэфф!$A:$B,2,1)),1+(1-$AU19))</f>
        <v>1.044776119402985</v>
      </c>
      <c r="BD19" s="102">
        <f>MIN(IF($AU19=100%,1,1+VLOOKUP(($AJ19-$AI19-$AH19-$AG19-$AF19-$AE19*(1+BD$3))/$AJ19,Уголь_коэфф!$A:$B,2,1)-VLOOKUP($AO19,Уголь_коэфф!$A:$B,2,1)),1+(1-$AU19))</f>
        <v>1.044776119402985</v>
      </c>
      <c r="BE19" s="102">
        <f>MIN(IF($AU19=100%,1,1+VLOOKUP(($AJ19-$AI19-$AH19-$AG19-$AF19-$AE19*(1+BE$3))/$AJ19,Уголь_коэфф!$A:$B,2,1)-VLOOKUP($AO19,Уголь_коэфф!$A:$B,2,1)),1+(1-$AU19))</f>
        <v>1.044776119402985</v>
      </c>
      <c r="BF19" s="102">
        <f>MIN(IF($AU19=100%,1,1+VLOOKUP(($AJ19-$AI19-$AH19-$AG19-$AF19-$AE19*(1+BF$3))/$AJ19,Уголь_коэфф!$A:$B,2,1)-VLOOKUP($AO19,Уголь_коэфф!$A:$B,2,1)),1+(1-$AU19))</f>
        <v>1.044776119402985</v>
      </c>
      <c r="BG19" s="102">
        <f>MIN(IF($AU19=100%,1,1+VLOOKUP(($AJ19-$AI19-$AH19-$AG19-$AF19-$AE19*(1+BG$3))/$AJ19,Уголь_коэфф!$A:$B,2,1)-VLOOKUP($AO19,Уголь_коэфф!$A:$B,2,1)),1+(1-$AU19))</f>
        <v>1.044776119402985</v>
      </c>
      <c r="BH19" s="102">
        <f>MIN(IF($AU19=100%,1,1+VLOOKUP(($AJ19-$AI19-$AH19-$AG19-$AF19-$AE19*(1+BH$3))/$AJ19,Уголь_коэфф!$A:$B,2,1)-VLOOKUP($AO19,Уголь_коэфф!$A:$B,2,1)),1+(1-$AU19))</f>
        <v>1.044776119402985</v>
      </c>
      <c r="BI19" s="102">
        <f>MIN(IF($AU19=100%,1,1+VLOOKUP(($AJ19-$AI19-$AH19-$AG19-$AF19-$AE19*(1+BI$3))/$AJ19,Уголь_коэфф!$A:$B,2,1)-VLOOKUP($AO19,Уголь_коэфф!$A:$B,2,1)),1+(1-$AU19))</f>
        <v>1.044776119402985</v>
      </c>
      <c r="BJ19" s="102">
        <f>MIN(IF($AU19=100%,1,1+VLOOKUP(($AJ19-$AI19-$AH19-$AG19-$AF19-$AE19*(1+BJ$3))/$AJ19,Уголь_коэфф!$A:$B,2,1)-VLOOKUP($AO19,Уголь_коэфф!$A:$B,2,1)),1+(1-$AU19))</f>
        <v>1.044776119402985</v>
      </c>
      <c r="BK19" s="102">
        <f>MIN(IF($AU19=100%,1,1+VLOOKUP(($AJ19-$AI19-$AH19-$AG19-$AF19-$AE19*(1+BK$3))/$AJ19,Уголь_коэфф!$A:$B,2,1)-VLOOKUP($AO19,Уголь_коэфф!$A:$B,2,1)),1+(1-$AU19))</f>
        <v>1.044776119402985</v>
      </c>
      <c r="BL19" s="102">
        <f>MIN(IF($AU19=100%,1,1+VLOOKUP(($AJ19-$AI19-$AH19-$AG19-$AF19-$AE19*(1+BL$3))/$AJ19,Уголь_коэфф!$A:$B,2,1)-VLOOKUP($AO19,Уголь_коэфф!$A:$B,2,1)),1+(1-$AU19))</f>
        <v>1.044776119402985</v>
      </c>
      <c r="BM19" s="102">
        <f>MIN(IF($AU19=100%,1,1+VLOOKUP(($AJ19-$AI19-$AH19-$AG19-$AF19-$AE19*(1+BM$3))/$AJ19,Уголь_коэфф!$A:$B,2,1)-VLOOKUP($AO19,Уголь_коэфф!$A:$B,2,1)),1+(1-$AU19))</f>
        <v>1.044776119402985</v>
      </c>
      <c r="BN19" s="102">
        <f>MIN(IF($AU19=100%,1,1+VLOOKUP(($AJ19-$AI19-$AH19-$AG19-$AF19-$AE19*(1+BN$3))/$AJ19,Уголь_коэфф!$A:$B,2,1)-VLOOKUP($AO19,Уголь_коэфф!$A:$B,2,1)),1+(1-$AU19))</f>
        <v>1.044776119402985</v>
      </c>
      <c r="BO19" s="102">
        <f>MIN(IF($AU19=100%,1,1+VLOOKUP(($AJ19-$AI19-$AH19-$AG19-$AF19-$AE19*(1+BO$3))/$AJ19,Уголь_коэфф!$A:$B,2,1)-VLOOKUP($AO19,Уголь_коэфф!$A:$B,2,1)),1+(1-$AU19))</f>
        <v>1.044776119402985</v>
      </c>
      <c r="BP19" s="102">
        <f>MIN(IF($AU19=100%,1,1+VLOOKUP(($AJ19-$AI19-$AH19-$AG19-$AF19-$AE19*(1+BP$3))/$AJ19,Уголь_коэфф!$A:$B,2,1)-VLOOKUP($AO19,Уголь_коэфф!$A:$B,2,1)),1+(1-$AU19))</f>
        <v>1.044776119402985</v>
      </c>
      <c r="BQ19" s="102">
        <f>MIN(IF($AU19=100%,1,1+VLOOKUP(($AJ19-$AI19-$AH19-$AG19-$AF19-$AE19*(1+BQ$3))/$AJ19,Уголь_коэфф!$A:$B,2,1)-VLOOKUP($AO19,Уголь_коэфф!$A:$B,2,1)),1+(1-$AU19))</f>
        <v>1.044776119402985</v>
      </c>
      <c r="BR19" s="102">
        <f>MIN(IF($AU19=100%,1,1+VLOOKUP(($AJ19-$AI19-$AH19-$AG19-$AF19-$AE19*(1+BR$3))/$AJ19,Уголь_коэфф!$A:$B,2,1)-VLOOKUP($AO19,Уголь_коэфф!$A:$B,2,1)),1+(1-$AU19))</f>
        <v>1.044776119402985</v>
      </c>
      <c r="BS19" s="102">
        <f>MIN(IF($AU19=100%,1,1+VLOOKUP(($AJ19-$AI19-$AH19-$AG19-$AF19-$AE19*(1+BS$3))/$AJ19,Уголь_коэфф!$A:$B,2,1)-VLOOKUP($AO19,Уголь_коэфф!$A:$B,2,1)),1+(1-$AU19))</f>
        <v>1.044776119402985</v>
      </c>
      <c r="BT19" s="102">
        <f>MIN(IF($AU19=100%,1,1+VLOOKUP(($AJ19-$AI19-$AH19-$AG19-$AF19-$AE19*(1+BT$3))/$AJ19,Уголь_коэфф!$A:$B,2,1)-VLOOKUP($AO19,Уголь_коэфф!$A:$B,2,1)),1+(1-$AU19))</f>
        <v>1.044776119402985</v>
      </c>
      <c r="BU19" s="102">
        <f>MIN(IF($AU19=100%,1,1+VLOOKUP(($AJ19-$AI19-$AH19-$AG19-$AF19-$AE19*(1+BU$3))/$AJ19,Уголь_коэфф!$A:$B,2,1)-VLOOKUP($AO19,Уголь_коэфф!$A:$B,2,1)),1+(1-$AU19))</f>
        <v>1.044776119402985</v>
      </c>
      <c r="BV19" s="102">
        <f>MIN(IF($AU19=100%,1,1+VLOOKUP(($AJ19-$AI19-$AH19-$AG19-$AF19-$AE19*(1+BV$3))/$AJ19,Уголь_коэфф!$A:$B,2,1)-VLOOKUP($AO19,Уголь_коэфф!$A:$B,2,1)),1+(1-$AU19))</f>
        <v>1.044776119402985</v>
      </c>
      <c r="BW19" s="102">
        <f>MIN(IF($AU19=100%,1,1+VLOOKUP(($AJ19-$AI19-$AH19-$AG19-$AF19-$AE19*(1+BW$3))/$AJ19,Уголь_коэфф!$A:$B,2,1)-VLOOKUP($AO19,Уголь_коэфф!$A:$B,2,1)),1+(1-$AU19))</f>
        <v>1.044776119402985</v>
      </c>
      <c r="BX19" s="102">
        <f>MIN(IF($AU19=100%,1,1+VLOOKUP(($AJ19-$AI19-$AH19-$AG19-$AF19-$AE19*(1+BX$3))/$AJ19,Уголь_коэфф!$A:$B,2,1)-VLOOKUP($AO19,Уголь_коэфф!$A:$B,2,1)),1+(1-$AU19))</f>
        <v>1.044776119402985</v>
      </c>
      <c r="BY19" s="102">
        <f>MIN(IF($AU19=100%,1,1+VLOOKUP(($AJ19-$AI19-$AH19-$AG19-$AF19-$AE19*(1+BY$3))/$AJ19,Уголь_коэфф!$A:$B,2,1)-VLOOKUP($AO19,Уголь_коэфф!$A:$B,2,1)),1+(1-$AU19))</f>
        <v>1.044776119402985</v>
      </c>
      <c r="BZ19" s="102">
        <f>MIN(IF($AU19=100%,1,1+VLOOKUP(($AJ19-$AI19-$AH19-$AG19-$AF19-$AE19*(1+BZ$3))/$AJ19,Уголь_коэфф!$A:$B,2,1)-VLOOKUP($AO19,Уголь_коэфф!$A:$B,2,1)),1+(1-$AU19))</f>
        <v>1.044776119402985</v>
      </c>
      <c r="CA19" s="102">
        <f>MIN(IF($AU19=100%,1,1+VLOOKUP(($AJ19-$AI19-$AH19-$AG19-$AF19-$AE19*(1+CA$3))/$AJ19,Уголь_коэфф!$A:$B,2,1)-VLOOKUP($AO19,Уголь_коэфф!$A:$B,2,1)),1+(1-$AU19))</f>
        <v>1.044776119402985</v>
      </c>
      <c r="CB19" s="102">
        <f>MIN(IF($AU19=100%,1,1+VLOOKUP(($AJ19-$AI19-$AH19-$AG19-$AF19-$AE19*(1+CB$3))/$AJ19,Уголь_коэфф!$A:$B,2,1)-VLOOKUP($AO19,Уголь_коэфф!$A:$B,2,1)),1+(1-$AU19))</f>
        <v>1.044776119402985</v>
      </c>
      <c r="CC19" s="102">
        <f>MIN(IF($AU19=100%,1,1+VLOOKUP(($AJ19-$AI19-$AH19-$AG19-$AF19-$AE19*(1+CC$3))/$AJ19,Уголь_коэфф!$A:$B,2,1)-VLOOKUP($AO19,Уголь_коэфф!$A:$B,2,1)),1+(1-$AU19))</f>
        <v>1.044776119402985</v>
      </c>
      <c r="CD19" s="102">
        <f>MIN(IF($AU19=100%,1,1+VLOOKUP(($AJ19-$AI19-$AH19-$AG19-$AF19-$AE19*(1+CD$3))/$AJ19,Уголь_коэфф!$A:$B,2,1)-VLOOKUP($AO19,Уголь_коэфф!$A:$B,2,1)),1+(1-$AU19))</f>
        <v>1.044776119402985</v>
      </c>
      <c r="CE19" s="102">
        <f>MIN(IF($AU19=100%,1,1+VLOOKUP(($AJ19-$AI19-$AH19-$AG19-$AF19-$AE19*(1+CE$3))/$AJ19,Уголь_коэфф!$A:$B,2,1)-VLOOKUP($AO19,Уголь_коэфф!$A:$B,2,1)),1+(1-$AU19))</f>
        <v>1.044776119402985</v>
      </c>
      <c r="CF19" s="102">
        <f>MIN(IF($AU19=100%,1,1+VLOOKUP(($AJ19-$AI19-$AH19-$AG19-$AF19-$AE19*(1+CF$3))/$AJ19,Уголь_коэфф!$A:$B,2,1)-VLOOKUP($AO19,Уголь_коэфф!$A:$B,2,1)),1+(1-$AU19))</f>
        <v>1.044776119402985</v>
      </c>
      <c r="CG19" s="102">
        <f>MIN(IF($AU19=100%,1,1+VLOOKUP(($AJ19-$AI19-$AH19-$AG19-$AF19-$AE19*(1+CG$3))/$AJ19,Уголь_коэфф!$A:$B,2,1)-VLOOKUP($AO19,Уголь_коэфф!$A:$B,2,1)),1+(1-$AU19))</f>
        <v>1.044776119402985</v>
      </c>
      <c r="CH19" s="102">
        <f>MIN(IF($AU19=100%,1,1+VLOOKUP(($AJ19-$AI19-$AH19-$AG19-$AF19-$AE19*(1+CH$3))/$AJ19,Уголь_коэфф!$A:$B,2,1)-VLOOKUP($AO19,Уголь_коэфф!$A:$B,2,1)),1+(1-$AU19))</f>
        <v>1.044776119402985</v>
      </c>
      <c r="CI19" s="102">
        <f>MIN(IF($AU19=100%,1,1+VLOOKUP(($AJ19-$AI19-$AH19-$AG19-$AF19-$AE19*(1+CI$3))/$AJ19,Уголь_коэфф!$A:$B,2,1)-VLOOKUP($AO19,Уголь_коэфф!$A:$B,2,1)),1+(1-$AU19))</f>
        <v>1.044776119402985</v>
      </c>
      <c r="CJ19" s="102">
        <f>MIN(IF($AU19=100%,1,1+VLOOKUP(($AJ19-$AI19-$AH19-$AG19-$AF19-$AE19*(1+CJ$3))/$AJ19,Уголь_коэфф!$A:$B,2,1)-VLOOKUP($AO19,Уголь_коэфф!$A:$B,2,1)),1+(1-$AU19))</f>
        <v>1.044776119402985</v>
      </c>
      <c r="CK19" s="102">
        <f>MIN(IF($AU19=100%,1,1+VLOOKUP(($AJ19-$AI19-$AH19-$AG19-$AF19-$AE19*(1+CK$3))/$AJ19,Уголь_коэфф!$A:$B,2,1)-VLOOKUP($AO19,Уголь_коэфф!$A:$B,2,1)),1+(1-$AU19))</f>
        <v>1.044776119402985</v>
      </c>
      <c r="CL19" s="102">
        <f>MIN(IF($AU19=100%,1,1+VLOOKUP(($AJ19-$AI19-$AH19-$AG19-$AF19-$AE19*(1+CL$3))/$AJ19,Уголь_коэфф!$A:$B,2,1)-VLOOKUP($AO19,Уголь_коэфф!$A:$B,2,1)),1+(1-$AU19))</f>
        <v>1.044776119402985</v>
      </c>
      <c r="CM19" s="102">
        <f>MIN(IF($AU19=100%,1,1+VLOOKUP(($AJ19-$AI19-$AH19-$AG19-$AF19-$AE19*(1+CM$3))/$AJ19,Уголь_коэфф!$A:$B,2,1)-VLOOKUP($AO19,Уголь_коэфф!$A:$B,2,1)),1+(1-$AU19))</f>
        <v>1.044776119402985</v>
      </c>
      <c r="CN19" s="102">
        <f>MIN(IF($AU19=100%,1,1+VLOOKUP(($AJ19-$AI19-$AH19-$AG19-$AF19-$AE19*(1+CN$3))/$AJ19,Уголь_коэфф!$A:$B,2,1)-VLOOKUP($AO19,Уголь_коэфф!$A:$B,2,1)),1+(1-$AU19))</f>
        <v>1.044776119402985</v>
      </c>
      <c r="CO19" s="102">
        <f>MIN(IF($AU19=100%,1,1+VLOOKUP(($AJ19-$AI19-$AH19-$AG19-$AF19-$AE19*(1+CO$3))/$AJ19,Уголь_коэфф!$A:$B,2,1)-VLOOKUP($AO19,Уголь_коэфф!$A:$B,2,1)),1+(1-$AU19))</f>
        <v>1.044776119402985</v>
      </c>
      <c r="CP19" s="102">
        <f>MIN(IF($AU19=100%,1,1+VLOOKUP(($AJ19-$AI19-$AH19-$AG19-$AF19-$AE19*(1+CP$3))/$AJ19,Уголь_коэфф!$A:$B,2,1)-VLOOKUP($AO19,Уголь_коэфф!$A:$B,2,1)),1+(1-$AU19))</f>
        <v>1.044776119402985</v>
      </c>
      <c r="CQ19" s="102">
        <f>MIN(IF($AU19=100%,1,1+VLOOKUP(($AJ19-$AI19-$AH19-$AG19-$AF19-$AE19*(1+CQ$3))/$AJ19,Уголь_коэфф!$A:$B,2,1)-VLOOKUP($AO19,Уголь_коэфф!$A:$B,2,1)),1+(1-$AU19))</f>
        <v>1.044776119402985</v>
      </c>
      <c r="CR19" s="102">
        <f>MIN(IF($AU19=100%,1,1+VLOOKUP(($AJ19-$AI19-$AH19-$AG19-$AF19-$AE19*(1+CR$3))/$AJ19,Уголь_коэфф!$A:$B,2,1)-VLOOKUP($AO19,Уголь_коэфф!$A:$B,2,1)),1+(1-$AU19))</f>
        <v>1.044776119402985</v>
      </c>
      <c r="CS19" s="102">
        <f>MIN(IF($AU19=100%,1,1+VLOOKUP(($AJ19-$AI19-$AH19-$AG19-$AF19-$AE19*(1+CS$3))/$AJ19,Уголь_коэфф!$A:$B,2,1)-VLOOKUP($AO19,Уголь_коэфф!$A:$B,2,1)),1+(1-$AU19))</f>
        <v>1.044776119402985</v>
      </c>
      <c r="CT19" s="102">
        <f>MIN(IF($AU19=100%,1,1+VLOOKUP(($AJ19-$AI19-$AH19-$AG19-$AF19-$AE19*(1+CT$3))/$AJ19,Уголь_коэфф!$A:$B,2,1)-VLOOKUP($AO19,Уголь_коэфф!$A:$B,2,1)),1+(1-$AU19))</f>
        <v>1.04</v>
      </c>
      <c r="CU19" s="102">
        <f>MIN(IF($AU19=100%,1,1+VLOOKUP(($AJ19-$AI19-$AH19-$AG19-$AF19-$AE19*(1+CU$3))/$AJ19,Уголь_коэфф!$A:$B,2,1)-VLOOKUP($AO19,Уголь_коэфф!$A:$B,2,1)),1+(1-$AU19))</f>
        <v>1.04</v>
      </c>
      <c r="CV19" s="102">
        <f>MIN(IF($AU19=100%,1,1+VLOOKUP(($AJ19-$AI19-$AH19-$AG19-$AF19-$AE19*(1+CV$3))/$AJ19,Уголь_коэфф!$A:$B,2,1)-VLOOKUP($AO19,Уголь_коэфф!$A:$B,2,1)),1+(1-$AU19))</f>
        <v>1.04</v>
      </c>
      <c r="CW19" s="102">
        <f>MIN(IF($AU19=100%,1,1+VLOOKUP(($AJ19-$AI19-$AH19-$AG19-$AF19-$AE19*(1+CW$3))/$AJ19,Уголь_коэфф!$A:$B,2,1)-VLOOKUP($AO19,Уголь_коэфф!$A:$B,2,1)),1+(1-$AU19))</f>
        <v>1.04</v>
      </c>
      <c r="CX19" s="102">
        <f>MIN(IF($AU19=100%,1,1+VLOOKUP(($AJ19-$AI19-$AH19-$AG19-$AF19-$AE19*(1+CX$3))/$AJ19,Уголь_коэфф!$A:$B,2,1)-VLOOKUP($AO19,Уголь_коэфф!$A:$B,2,1)),1+(1-$AU19))</f>
        <v>1.0350000000000001</v>
      </c>
      <c r="CY19" s="102">
        <f>MIN(IF($AU19=100%,1,1+VLOOKUP(($AJ19-$AI19-$AH19-$AG19-$AF19-$AE19*(1+CY$3))/$AJ19,Уголь_коэфф!$A:$B,2,1)-VLOOKUP($AO19,Уголь_коэфф!$A:$B,2,1)),1+(1-$AU19))</f>
        <v>1.0350000000000001</v>
      </c>
      <c r="CZ19" s="102">
        <f>MIN(IF($AU19=100%,1,1+VLOOKUP(($AJ19-$AI19-$AH19-$AG19-$AF19-$AE19*(1+CZ$3))/$AJ19,Уголь_коэфф!$A:$B,2,1)-VLOOKUP($AO19,Уголь_коэфф!$A:$B,2,1)),1+(1-$AU19))</f>
        <v>1.0350000000000001</v>
      </c>
      <c r="DA19" s="102">
        <f>MIN(IF($AU19=100%,1,1+VLOOKUP(($AJ19-$AI19-$AH19-$AG19-$AF19-$AE19*(1+DA$3))/$AJ19,Уголь_коэфф!$A:$B,2,1)-VLOOKUP($AO19,Уголь_коэфф!$A:$B,2,1)),1+(1-$AU19))</f>
        <v>1.0350000000000001</v>
      </c>
      <c r="DB19" s="102">
        <f>MIN(IF($AU19=100%,1,1+VLOOKUP(($AJ19-$AI19-$AH19-$AG19-$AF19-$AE19*(1+DB$3))/$AJ19,Уголь_коэфф!$A:$B,2,1)-VLOOKUP($AO19,Уголь_коэфф!$A:$B,2,1)),1+(1-$AU19))</f>
        <v>1.0300000000000002</v>
      </c>
      <c r="DC19" s="102">
        <f>MIN(IF($AU19=100%,1,1+VLOOKUP(($AJ19-$AI19-$AH19-$AG19-$AF19-$AE19*(1+DC$3))/$AJ19,Уголь_коэфф!$A:$B,2,1)-VLOOKUP($AO19,Уголь_коэфф!$A:$B,2,1)),1+(1-$AU19))</f>
        <v>1.0300000000000002</v>
      </c>
      <c r="DD19" s="102">
        <f>MIN(IF($AU19=100%,1,1+VLOOKUP(($AJ19-$AI19-$AH19-$AG19-$AF19-$AE19*(1+DD$3))/$AJ19,Уголь_коэфф!$A:$B,2,1)-VLOOKUP($AO19,Уголь_коэфф!$A:$B,2,1)),1+(1-$AU19))</f>
        <v>1.0300000000000002</v>
      </c>
      <c r="DE19" s="102">
        <f>MIN(IF($AU19=100%,1,1+VLOOKUP(($AJ19-$AI19-$AH19-$AG19-$AF19-$AE19*(1+DE$3))/$AJ19,Уголь_коэфф!$A:$B,2,1)-VLOOKUP($AO19,Уголь_коэфф!$A:$B,2,1)),1+(1-$AU19))</f>
        <v>1.0300000000000002</v>
      </c>
      <c r="DF19" s="102">
        <f>MIN(IF($AU19=100%,1,1+VLOOKUP(($AJ19-$AI19-$AH19-$AG19-$AF19-$AE19*(1+DF$3))/$AJ19,Уголь_коэфф!$A:$B,2,1)-VLOOKUP($AO19,Уголь_коэфф!$A:$B,2,1)),1+(1-$AU19))</f>
        <v>1.0300000000000002</v>
      </c>
      <c r="DG19" s="102">
        <f>MIN(IF($AU19=100%,1,1+VLOOKUP(($AJ19-$AI19-$AH19-$AG19-$AF19-$AE19*(1+DG$3))/$AJ19,Уголь_коэфф!$A:$B,2,1)-VLOOKUP($AO19,Уголь_коэфф!$A:$B,2,1)),1+(1-$AU19))</f>
        <v>1.0249999999999999</v>
      </c>
      <c r="DH19" s="102">
        <f>MIN(IF($AU19=100%,1,1+VLOOKUP(($AJ19-$AI19-$AH19-$AG19-$AF19-$AE19*(1+DH$3))/$AJ19,Уголь_коэфф!$A:$B,2,1)-VLOOKUP($AO19,Уголь_коэфф!$A:$B,2,1)),1+(1-$AU19))</f>
        <v>1.0249999999999999</v>
      </c>
      <c r="DI19" s="102">
        <f>MIN(IF($AU19=100%,1,1+VLOOKUP(($AJ19-$AI19-$AH19-$AG19-$AF19-$AE19*(1+DI$3))/$AJ19,Уголь_коэфф!$A:$B,2,1)-VLOOKUP($AO19,Уголь_коэфф!$A:$B,2,1)),1+(1-$AU19))</f>
        <v>1.0249999999999999</v>
      </c>
      <c r="DJ19" s="102">
        <f>MIN(IF($AU19=100%,1,1+VLOOKUP(($AJ19-$AI19-$AH19-$AG19-$AF19-$AE19*(1+DJ$3))/$AJ19,Уголь_коэфф!$A:$B,2,1)-VLOOKUP($AO19,Уголь_коэфф!$A:$B,2,1)),1+(1-$AU19))</f>
        <v>1.0249999999999999</v>
      </c>
      <c r="DK19" s="102">
        <f>MIN(IF($AU19=100%,1,1+VLOOKUP(($AJ19-$AI19-$AH19-$AG19-$AF19-$AE19*(1+DK$3))/$AJ19,Уголь_коэфф!$A:$B,2,1)-VLOOKUP($AO19,Уголь_коэфф!$A:$B,2,1)),1+(1-$AU19))</f>
        <v>1.0249999999999999</v>
      </c>
      <c r="DL19" s="102">
        <f>MIN(IF($AU19=100%,1,1+VLOOKUP(($AJ19-$AI19-$AH19-$AG19-$AF19-$AE19*(1+DL$3))/$AJ19,Уголь_коэфф!$A:$B,2,1)-VLOOKUP($AO19,Уголь_коэфф!$A:$B,2,1)),1+(1-$AU19))</f>
        <v>1.0249999999999999</v>
      </c>
      <c r="DM19" s="102">
        <f>MIN(IF($AU19=100%,1,1+VLOOKUP(($AJ19-$AI19-$AH19-$AG19-$AF19-$AE19*(1+DM$3))/$AJ19,Уголь_коэфф!$A:$B,2,1)-VLOOKUP($AO19,Уголь_коэфф!$A:$B,2,1)),1+(1-$AU19))</f>
        <v>1.0249999999999999</v>
      </c>
      <c r="DN19" s="102">
        <f>MIN(IF($AU19=100%,1,1+VLOOKUP(($AJ19-$AI19-$AH19-$AG19-$AF19-$AE19*(1+DN$3))/$AJ19,Уголь_коэфф!$A:$B,2,1)-VLOOKUP($AO19,Уголь_коэфф!$A:$B,2,1)),1+(1-$AU19))</f>
        <v>1.0249999999999999</v>
      </c>
      <c r="DO19" s="102">
        <f>MIN(IF($AU19=100%,1,1+VLOOKUP(($AJ19-$AI19-$AH19-$AG19-$AF19-$AE19*(1+DO$3))/$AJ19,Уголь_коэфф!$A:$B,2,1)-VLOOKUP($AO19,Уголь_коэфф!$A:$B,2,1)),1+(1-$AU19))</f>
        <v>1.0249999999999999</v>
      </c>
      <c r="DP19" s="102">
        <f>MIN(IF($AU19=100%,1,1+VLOOKUP(($AJ19-$AI19-$AH19-$AG19-$AF19-$AE19*(1+DP$3))/$AJ19,Уголь_коэфф!$A:$B,2,1)-VLOOKUP($AO19,Уголь_коэфф!$A:$B,2,1)),1+(1-$AU19))</f>
        <v>1.0249999999999999</v>
      </c>
      <c r="DQ19" s="102">
        <f>MIN(IF($AU19=100%,1,1+VLOOKUP(($AJ19-$AI19-$AH19-$AG19-$AF19-$AE19*(1+DQ$3))/$AJ19,Уголь_коэфф!$A:$B,2,1)-VLOOKUP($AO19,Уголь_коэфф!$A:$B,2,1)),1+(1-$AU19))</f>
        <v>1.0249999999999999</v>
      </c>
      <c r="DR19" s="102">
        <f>MIN(IF($AU19=100%,1,1+VLOOKUP(($AJ19-$AI19-$AH19-$AG19-$AF19-$AE19*(1+DR$3))/$AJ19,Уголь_коэфф!$A:$B,2,1)-VLOOKUP($AO19,Уголь_коэфф!$A:$B,2,1)),1+(1-$AU19))</f>
        <v>1.0249999999999999</v>
      </c>
      <c r="DS19" s="102">
        <f>MIN(IF($AU19=100%,1,1+VLOOKUP(($AJ19-$AI19-$AH19-$AG19-$AF19-$AE19*(1+DS$3))/$AJ19,Уголь_коэфф!$A:$B,2,1)-VLOOKUP($AO19,Уголь_коэфф!$A:$B,2,1)),1+(1-$AU19))</f>
        <v>1.0249999999999999</v>
      </c>
      <c r="DT19" s="102">
        <f>MIN(IF($AU19=100%,1,1+VLOOKUP(($AJ19-$AI19-$AH19-$AG19-$AF19-$AE19*(1+DT$3))/$AJ19,Уголь_коэфф!$A:$B,2,1)-VLOOKUP($AO19,Уголь_коэфф!$A:$B,2,1)),1+(1-$AU19))</f>
        <v>1</v>
      </c>
      <c r="DU19" s="102">
        <f>MIN(IF($AU19=100%,1,1+VLOOKUP(($AJ19-$AI19-$AH19-$AG19-$AF19-$AE19*(1+DU$3))/$AJ19,Уголь_коэфф!$A:$B,2,1)-VLOOKUP($AO19,Уголь_коэфф!$A:$B,2,1)),1+(1-$AU19))</f>
        <v>1</v>
      </c>
      <c r="DV19" s="102">
        <f>MIN(IF($AU19=100%,1,1+VLOOKUP(($AJ19-$AI19-$AH19-$AG19-$AF19-$AE19*(1+DV$3))/$AJ19,Уголь_коэфф!$A:$B,2,1)-VLOOKUP($AO19,Уголь_коэфф!$A:$B,2,1)),1+(1-$AU19))</f>
        <v>1</v>
      </c>
      <c r="DW19" s="102">
        <f>MIN(IF($AU19=100%,1,1+VLOOKUP(($AJ19-$AI19-$AH19-$AG19-$AF19-$AE19*(1+DW$3))/$AJ19,Уголь_коэфф!$A:$B,2,1)-VLOOKUP($AO19,Уголь_коэфф!$A:$B,2,1)),1+(1-$AU19))</f>
        <v>1</v>
      </c>
      <c r="DX19" s="102">
        <f>MIN(IF($AU19=100%,1,1+VLOOKUP(($AJ19-$AI19-$AH19-$AG19-$AF19-$AE19*(1+DX$3))/$AJ19,Уголь_коэфф!$A:$B,2,1)-VLOOKUP($AO19,Уголь_коэфф!$A:$B,2,1)),1+(1-$AU19))</f>
        <v>1</v>
      </c>
      <c r="DY19" s="102">
        <f>MIN(IF($AU19=100%,1,1+VLOOKUP(($AJ19-$AI19-$AH19-$AG19-$AF19-$AE19*(1+DY$3))/$AJ19,Уголь_коэфф!$A:$B,2,1)-VLOOKUP($AO19,Уголь_коэфф!$A:$B,2,1)),1+(1-$AU19))</f>
        <v>1</v>
      </c>
      <c r="DZ19" s="102">
        <f>MIN(IF($AU19=100%,1,1+VLOOKUP(($AJ19-$AI19-$AH19-$AG19-$AF19-$AE19*(1+DZ$3))/$AJ19,Уголь_коэфф!$A:$B,2,1)-VLOOKUP($AO19,Уголь_коэфф!$A:$B,2,1)),1+(1-$AU19))</f>
        <v>1</v>
      </c>
      <c r="EA19" s="102">
        <f>MIN(IF($AU19=100%,1,1+VLOOKUP(($AJ19-$AI19-$AH19-$AG19-$AF19-$AE19*(1+EA$3))/$AJ19,Уголь_коэфф!$A:$B,2,1)-VLOOKUP($AO19,Уголь_коэфф!$A:$B,2,1)),1+(1-$AU19))</f>
        <v>1</v>
      </c>
      <c r="EB19" s="102">
        <f>MIN(IF($AU19=100%,1,1+VLOOKUP(($AJ19-$AI19-$AH19-$AG19-$AF19-$AE19*(1+EB$3))/$AJ19,Уголь_коэфф!$A:$B,2,1)-VLOOKUP($AO19,Уголь_коэфф!$A:$B,2,1)),1+(1-$AU19))</f>
        <v>1</v>
      </c>
      <c r="EC19" s="102">
        <f>MIN(IF($AU19=100%,1,1+VLOOKUP(($AJ19-$AI19-$AH19-$AG19-$AF19-$AE19*(1+EC$3))/$AJ19,Уголь_коэфф!$A:$B,2,1)-VLOOKUP($AO19,Уголь_коэфф!$A:$B,2,1)),1+(1-$AU19))</f>
        <v>1</v>
      </c>
      <c r="ED19" s="102">
        <f>MIN(IF($AU19=100%,1,1+VLOOKUP(($AJ19-$AI19-$AH19-$AG19-$AF19-$AE19*(1+ED$3))/$AJ19,Уголь_коэфф!$A:$B,2,1)-VLOOKUP($AO19,Уголь_коэфф!$A:$B,2,1)),1+(1-$AU19))</f>
        <v>1</v>
      </c>
      <c r="EE19" s="102">
        <f>MIN(IF($AU19=100%,1,1+VLOOKUP(($AJ19-$AI19-$AH19-$AG19-$AF19-$AE19*(1+EE$3))/$AJ19,Уголь_коэфф!$A:$B,2,1)-VLOOKUP($AO19,Уголь_коэфф!$A:$B,2,1)),1+(1-$AU19))</f>
        <v>1</v>
      </c>
      <c r="EF19" s="102">
        <f>MIN(IF($AU19=100%,1,1+VLOOKUP(($AJ19-$AI19-$AH19-$AG19-$AF19-$AE19*(1+EF$3))/$AJ19,Уголь_коэфф!$A:$B,2,1)-VLOOKUP($AO19,Уголь_коэфф!$A:$B,2,1)),1+(1-$AU19))</f>
        <v>1</v>
      </c>
      <c r="EG19" s="102">
        <f>MIN(IF($AU19=100%,1,1+VLOOKUP(($AJ19-$AI19-$AH19-$AG19-$AF19-$AE19*(1+EG$3))/$AJ19,Уголь_коэфф!$A:$B,2,1)-VLOOKUP($AO19,Уголь_коэфф!$A:$B,2,1)),1+(1-$AU19))</f>
        <v>1</v>
      </c>
      <c r="EH19" s="102">
        <f>MIN(IF($AU19=100%,1,1+VLOOKUP(($AJ19-$AI19-$AH19-$AG19-$AF19-$AE19*(1+EH$3))/$AJ19,Уголь_коэфф!$A:$B,2,1)-VLOOKUP($AO19,Уголь_коэфф!$A:$B,2,1)),1+(1-$AU19))</f>
        <v>1</v>
      </c>
      <c r="EI19" s="102">
        <f>MIN(IF($AU19=100%,1,1+VLOOKUP(($AJ19-$AI19-$AH19-$AG19-$AF19-$AE19*(1+EI$3))/$AJ19,Уголь_коэфф!$A:$B,2,1)-VLOOKUP($AO19,Уголь_коэфф!$A:$B,2,1)),1+(1-$AU19))</f>
        <v>1</v>
      </c>
      <c r="EJ19" s="102">
        <f>MIN(IF($AU19=100%,1,1+VLOOKUP(($AJ19-$AI19-$AH19-$AG19-$AF19-$AE19*(1+EJ$3))/$AJ19,Уголь_коэфф!$A:$B,2,1)-VLOOKUP($AO19,Уголь_коэфф!$A:$B,2,1)),1+(1-$AU19))</f>
        <v>1</v>
      </c>
      <c r="EK19" s="102">
        <f>MIN(IF($AU19=100%,1,1+VLOOKUP(($AJ19-$AI19-$AH19-$AG19-$AF19-$AE19*(1+EK$3))/$AJ19,Уголь_коэфф!$A:$B,2,1)-VLOOKUP($AO19,Уголь_коэфф!$A:$B,2,1)),1+(1-$AU19))</f>
        <v>1</v>
      </c>
      <c r="EL19" s="102">
        <f>MIN(IF($AU19=100%,1,1+VLOOKUP(($AJ19-$AI19-$AH19-$AG19-$AF19-$AE19*(1+EL$3))/$AJ19,Уголь_коэфф!$A:$B,2,1)-VLOOKUP($AO19,Уголь_коэфф!$A:$B,2,1)),1+(1-$AU19))</f>
        <v>1</v>
      </c>
      <c r="EM19" s="102">
        <f>MIN(IF($AU19=100%,1,1+VLOOKUP(($AJ19-$AI19-$AH19-$AG19-$AF19-$AE19*(1+EM$3))/$AJ19,Уголь_коэфф!$A:$B,2,1)-VLOOKUP($AO19,Уголь_коэфф!$A:$B,2,1)),1+(1-$AU19))</f>
        <v>1</v>
      </c>
      <c r="EN19" s="102">
        <f>MIN(IF($AU19=100%,1,1+VLOOKUP(($AJ19-$AI19-$AH19-$AG19-$AF19-$AE19*(1+EN$3))/$AJ19,Уголь_коэфф!$A:$B,2,1)-VLOOKUP($AO19,Уголь_коэфф!$A:$B,2,1)),1+(1-$AU19))</f>
        <v>1</v>
      </c>
      <c r="EO19" s="102">
        <f>MIN(IF($AU19=100%,1,1+VLOOKUP(($AJ19-$AI19-$AH19-$AG19-$AF19-$AE19*(1+EO$3))/$AJ19,Уголь_коэфф!$A:$B,2,1)-VLOOKUP($AO19,Уголь_коэфф!$A:$B,2,1)),1+(1-$AU19))</f>
        <v>1</v>
      </c>
      <c r="EP19" s="102">
        <f>MIN(IF($AU19=100%,1,1+VLOOKUP(($AJ19-$AI19-$AH19-$AG19-$AF19-$AE19*(1+EP$3))/$AJ19,Уголь_коэфф!$A:$B,2,1)-VLOOKUP($AO19,Уголь_коэфф!$A:$B,2,1)),1+(1-$AU19))</f>
        <v>1</v>
      </c>
      <c r="EQ19" s="102">
        <f>MIN(IF($AU19=100%,1,1+VLOOKUP(($AJ19-$AI19-$AH19-$AG19-$AF19-$AE19*(1+EQ$3))/$AJ19,Уголь_коэфф!$A:$B,2,1)-VLOOKUP($AO19,Уголь_коэфф!$A:$B,2,1)),1+(1-$AU19))</f>
        <v>1</v>
      </c>
      <c r="ER19" s="102">
        <f>MIN(IF($AU19=100%,1,1+VLOOKUP(($AJ19-$AI19-$AH19-$AG19-$AF19-$AE19*(1+ER$3))/$AJ19,Уголь_коэфф!$A:$B,2,1)-VLOOKUP($AO19,Уголь_коэфф!$A:$B,2,1)),1+(1-$AU19))</f>
        <v>1</v>
      </c>
      <c r="ES19" s="102">
        <f>MIN(IF($AU19=100%,1,1+VLOOKUP(($AJ19-$AI19-$AH19-$AG19-$AF19-$AE19*(1+ES$3))/$AJ19,Уголь_коэфф!$A:$B,2,1)-VLOOKUP($AO19,Уголь_коэфф!$A:$B,2,1)),1+(1-$AU19))</f>
        <v>1</v>
      </c>
      <c r="ET19" s="102">
        <f>MIN(IF($AU19=100%,1,1+VLOOKUP(($AJ19-$AI19-$AH19-$AG19-$AF19-$AE19*(1+ET$3))/$AJ19,Уголь_коэфф!$A:$B,2,1)-VLOOKUP($AO19,Уголь_коэфф!$A:$B,2,1)),1+(1-$AU19))</f>
        <v>1</v>
      </c>
      <c r="EU19" s="102">
        <f>MIN(IF($AU19=100%,1,1+VLOOKUP(($AJ19-$AI19-$AH19-$AG19-$AF19-$AE19*(1+EU$3))/$AJ19,Уголь_коэфф!$A:$B,2,1)-VLOOKUP($AO19,Уголь_коэфф!$A:$B,2,1)),1+(1-$AU19))</f>
        <v>1</v>
      </c>
      <c r="EV19" s="103">
        <v>1</v>
      </c>
      <c r="EW19" s="102">
        <f>MIN(1,MAX(VLOOKUP(($AJ19-$AI19-$AH19-$AG19-$AF19-$AE19*(1+EW$3))/$AJ19,Уголь_коэфф!$A:$B,2,1),(EV19-0.05)))</f>
        <v>1</v>
      </c>
      <c r="EX19" s="102">
        <f>MIN(1,MAX(VLOOKUP(($AJ19-$AI19-$AH19-$AG19-$AF19-$AE19*(1+EX$3))/$AJ19,Уголь_коэфф!$A:$B,2,1),(EW19-0.05)))</f>
        <v>1</v>
      </c>
      <c r="EY19" s="102">
        <f>MIN(1,MAX(VLOOKUP(($AJ19-$AI19-$AH19-$AG19-$AF19-$AE19*(1+EY$3))/$AJ19,Уголь_коэфф!$A:$B,2,1),(EX19-0.05)))</f>
        <v>0.995</v>
      </c>
      <c r="EZ19" s="102">
        <f>MIN(1,MAX(VLOOKUP(($AJ19-$AI19-$AH19-$AG19-$AF19-$AE19*(1+EZ$3))/$AJ19,Уголь_коэфф!$A:$B,2,1),(EY19-0.05)))</f>
        <v>0.995</v>
      </c>
      <c r="FA19" s="102">
        <f>MIN(1,MAX(VLOOKUP(($AJ19-$AI19-$AH19-$AG19-$AF19-$AE19*(1+FA$3))/$AJ19,Уголь_коэфф!$A:$B,2,1),(EZ19-0.05)))</f>
        <v>0.995</v>
      </c>
      <c r="FB19" s="102">
        <f>MIN(1,MAX(VLOOKUP(($AJ19-$AI19-$AH19-$AG19-$AF19-$AE19*(1+FB$3))/$AJ19,Уголь_коэфф!$A:$B,2,1),(FA19-0.05)))</f>
        <v>0.995</v>
      </c>
      <c r="FC19" s="102">
        <f>MIN(1,MAX(VLOOKUP(($AJ19-$AI19-$AH19-$AG19-$AF19-$AE19*(1+FC$3))/$AJ19,Уголь_коэфф!$A:$B,2,1),(FB19-0.05)))</f>
        <v>0.99</v>
      </c>
      <c r="FD19" s="102">
        <f>MIN(1,MAX(VLOOKUP(($AJ19-$AI19-$AH19-$AG19-$AF19-$AE19*(1+FD$3))/$AJ19,Уголь_коэфф!$A:$B,2,1),(FC19-0.05)))</f>
        <v>0.99</v>
      </c>
      <c r="FE19" s="102">
        <f>MIN(1,MAX(VLOOKUP(($AJ19-$AI19-$AH19-$AG19-$AF19-$AE19*(1+FE$3))/$AJ19,Уголь_коэфф!$A:$B,2,1),(FD19-0.05)))</f>
        <v>0.99</v>
      </c>
      <c r="FF19" s="102">
        <f>MIN(1,MAX(VLOOKUP(($AJ19-$AI19-$AH19-$AG19-$AF19-$AE19*(1+FF$3))/$AJ19,Уголь_коэфф!$A:$B,2,1),(FE19-0.05)))</f>
        <v>0.99</v>
      </c>
      <c r="FG19" s="102">
        <f>MIN(1,MAX(VLOOKUP(($AJ19-$AI19-$AH19-$AG19-$AF19-$AE19*(1+FG$3))/$AJ19,Уголь_коэфф!$A:$B,2,1),(FF19-0.05)))</f>
        <v>0.99</v>
      </c>
      <c r="FH19" s="102">
        <f>MIN(1,MAX(VLOOKUP(($AJ19-$AI19-$AH19-$AG19-$AF19-$AE19*(1+FH$3))/$AJ19,Уголь_коэфф!$A:$B,2,1),(FG19-0.05)))</f>
        <v>0.98499999999999999</v>
      </c>
      <c r="FI19" s="102">
        <f>MIN(1,MAX(VLOOKUP(($AJ19-$AI19-$AH19-$AG19-$AF19-$AE19*(1+FI$3))/$AJ19,Уголь_коэфф!$A:$B,2,1),(FH19-0.05)))</f>
        <v>0.98499999999999999</v>
      </c>
      <c r="FJ19" s="102">
        <f>MIN(1,MAX(VLOOKUP(($AJ19-$AI19-$AH19-$AG19-$AF19-$AE19*(1+FJ$3))/$AJ19,Уголь_коэфф!$A:$B,2,1),(FI19-0.05)))</f>
        <v>0.98499999999999999</v>
      </c>
      <c r="FK19" s="102">
        <f>MIN(1,MAX(VLOOKUP(($AJ19-$AI19-$AH19-$AG19-$AF19-$AE19*(1+FK$3))/$AJ19,Уголь_коэфф!$A:$B,2,1),(FJ19-0.05)))</f>
        <v>0.98499999999999999</v>
      </c>
      <c r="FL19" s="102">
        <f>MIN(1,MAX(VLOOKUP(($AJ19-$AI19-$AH19-$AG19-$AF19-$AE19*(1+FL$3))/$AJ19,Уголь_коэфф!$A:$B,2,1),(FK19-0.05)))</f>
        <v>0.98</v>
      </c>
      <c r="FM19" s="102">
        <f>MIN(1,MAX(VLOOKUP(($AJ19-$AI19-$AH19-$AG19-$AF19-$AE19*(1+FM$3))/$AJ19,Уголь_коэфф!$A:$B,2,1),(FL19-0.05)))</f>
        <v>0.98</v>
      </c>
      <c r="FN19" s="102">
        <f>MIN(1,MAX(VLOOKUP(($AJ19-$AI19-$AH19-$AG19-$AF19-$AE19*(1+FN$3))/$AJ19,Уголь_коэфф!$A:$B,2,1),(FM19-0.05)))</f>
        <v>0.98</v>
      </c>
      <c r="FO19" s="102">
        <f>MIN(1,MAX(VLOOKUP(($AJ19-$AI19-$AH19-$AG19-$AF19-$AE19*(1+FO$3))/$AJ19,Уголь_коэфф!$A:$B,2,1),(FN19-0.05)))</f>
        <v>0.98</v>
      </c>
      <c r="FP19" s="102">
        <f>MIN(1,MAX(VLOOKUP(($AJ19-$AI19-$AH19-$AG19-$AF19-$AE19*(1+FP$3))/$AJ19,Уголь_коэфф!$A:$B,2,1),(FO19-0.05)))</f>
        <v>0.98</v>
      </c>
      <c r="FQ19" s="102">
        <f>MIN(1,MAX(VLOOKUP(($AJ19-$AI19-$AH19-$AG19-$AF19-$AE19*(1+FQ$3))/$AJ19,Уголь_коэфф!$A:$B,2,1),(FP19-0.05)))</f>
        <v>0.97499999999999998</v>
      </c>
      <c r="FR19" s="102">
        <f>MIN(1,MAX(VLOOKUP(($AJ19-$AI19-$AH19-$AG19-$AF19-$AE19*(1+FR$3))/$AJ19,Уголь_коэфф!$A:$B,2,1),(FQ19-0.05)))</f>
        <v>0.97499999999999998</v>
      </c>
      <c r="FS19" s="102">
        <f>MIN(1,MAX(VLOOKUP(($AJ19-$AI19-$AH19-$AG19-$AF19-$AE19*(1+FS$3))/$AJ19,Уголь_коэфф!$A:$B,2,1),(FR19-0.05)))</f>
        <v>0.97499999999999998</v>
      </c>
      <c r="FT19" s="102">
        <f>MIN(1,MAX(VLOOKUP(($AJ19-$AI19-$AH19-$AG19-$AF19-$AE19*(1+FT$3))/$AJ19,Уголь_коэфф!$A:$B,2,1),(FS19-0.05)))</f>
        <v>0.97499999999999998</v>
      </c>
      <c r="FU19" s="102">
        <f>MIN(1,MAX(VLOOKUP(($AJ19-$AI19-$AH19-$AG19-$AF19-$AE19*(1+FU$3))/$AJ19,Уголь_коэфф!$A:$B,2,1),(FT19-0.05)))</f>
        <v>0.97</v>
      </c>
      <c r="FV19" s="102">
        <f>MIN(1,MAX(VLOOKUP(($AJ19-$AI19-$AH19-$AG19-$AF19-$AE19*(1+FV$3))/$AJ19,Уголь_коэфф!$A:$B,2,1),(FU19-0.05)))</f>
        <v>0.97</v>
      </c>
      <c r="FW19" s="102">
        <f>MIN(1,MAX(VLOOKUP(($AJ19-$AI19-$AH19-$AG19-$AF19-$AE19*(1+FW$3))/$AJ19,Уголь_коэфф!$A:$B,2,1),(FV19-0.05)))</f>
        <v>0.97</v>
      </c>
      <c r="FX19" s="102">
        <f>MIN(1,MAX(VLOOKUP(($AJ19-$AI19-$AH19-$AG19-$AF19-$AE19*(1+FX$3))/$AJ19,Уголь_коэфф!$A:$B,2,1),(FW19-0.05)))</f>
        <v>0.97</v>
      </c>
      <c r="FY19" s="102">
        <f>MIN(1,MAX(VLOOKUP(($AJ19-$AI19-$AH19-$AG19-$AF19-$AE19*(1+FY$3))/$AJ19,Уголь_коэфф!$A:$B,2,1),(FX19-0.05)))</f>
        <v>0.96499999999999997</v>
      </c>
      <c r="FZ19" s="102">
        <f>MIN(1,MAX(VLOOKUP(($AJ19-$AI19-$AH19-$AG19-$AF19-$AE19*(1+FZ$3))/$AJ19,Уголь_коэфф!$A:$B,2,1),(FY19-0.05)))</f>
        <v>0.96499999999999997</v>
      </c>
      <c r="GA19" s="102">
        <f>MIN(1,MAX(VLOOKUP(($AJ19-$AI19-$AH19-$AG19-$AF19-$AE19*(1+GA$3))/$AJ19,Уголь_коэфф!$A:$B,2,1),(FZ19-0.05)))</f>
        <v>0.96499999999999997</v>
      </c>
      <c r="GB19" s="102">
        <f>MIN(1,MAX(VLOOKUP(($AJ19-$AI19-$AH19-$AG19-$AF19-$AE19*(1+GB$3))/$AJ19,Уголь_коэфф!$A:$B,2,1),(GA19-0.05)))</f>
        <v>0.96499999999999997</v>
      </c>
      <c r="GC19" s="102">
        <f>MIN(1,MAX(VLOOKUP(($AJ19-$AI19-$AH19-$AG19-$AF19-$AE19*(1+GC$3))/$AJ19,Уголь_коэфф!$A:$B,2,1),(GB19-0.05)))</f>
        <v>0.96499999999999997</v>
      </c>
      <c r="GD19" s="102">
        <f>MIN(1,MAX(VLOOKUP(($AJ19-$AI19-$AH19-$AG19-$AF19-$AE19*(1+GD$3))/$AJ19,Уголь_коэфф!$A:$B,2,1),(GC19-0.05)))</f>
        <v>0.96</v>
      </c>
      <c r="GE19" s="102">
        <f>MIN(1,MAX(VLOOKUP(($AJ19-$AI19-$AH19-$AG19-$AF19-$AE19*(1+GE$3))/$AJ19,Уголь_коэфф!$A:$B,2,1),(GD19-0.05)))</f>
        <v>0.96</v>
      </c>
      <c r="GF19" s="102">
        <f>MIN(1,MAX(VLOOKUP(($AJ19-$AI19-$AH19-$AG19-$AF19-$AE19*(1+GF$3))/$AJ19,Уголь_коэфф!$A:$B,2,1),(GE19-0.05)))</f>
        <v>0.96</v>
      </c>
      <c r="GG19" s="102">
        <f>MIN(1,MAX(VLOOKUP(($AJ19-$AI19-$AH19-$AG19-$AF19-$AE19*(1+GG$3))/$AJ19,Уголь_коэфф!$A:$B,2,1),(GF19-0.05)))</f>
        <v>0.96</v>
      </c>
      <c r="GH19" s="102">
        <f>MIN(1,MAX(VLOOKUP(($AJ19-$AI19-$AH19-$AG19-$AF19-$AE19*(1+GH$3))/$AJ19,Уголь_коэфф!$A:$B,2,1),(GG19-0.05)))</f>
        <v>0.95499999999999996</v>
      </c>
      <c r="GI19" s="102">
        <f>MIN(1,MAX(VLOOKUP(($AJ19-$AI19-$AH19-$AG19-$AF19-$AE19*(1+GI$3))/$AJ19,Уголь_коэфф!$A:$B,2,1),(GH19-0.05)))</f>
        <v>0.95499999999999996</v>
      </c>
      <c r="GJ19" s="102">
        <f>MIN(1,MAX(VLOOKUP(($AJ19-$AI19-$AH19-$AG19-$AF19-$AE19*(1+GJ$3))/$AJ19,Уголь_коэфф!$A:$B,2,1),(GI19-0.05)))</f>
        <v>0.95499999999999996</v>
      </c>
      <c r="GK19" s="102">
        <f>MIN(1,MAX(VLOOKUP(($AJ19-$AI19-$AH19-$AG19-$AF19-$AE19*(1+GK$3))/$AJ19,Уголь_коэфф!$A:$B,2,1),(GJ19-0.05)))</f>
        <v>0.95499999999999996</v>
      </c>
      <c r="GL19" s="102">
        <f>MIN(1,MAX(VLOOKUP(($AJ19-$AI19-$AH19-$AG19-$AF19-$AE19*(1+GL$3))/$AJ19,Уголь_коэфф!$A:$B,2,1),(GK19-0.05)))</f>
        <v>0.95499999999999996</v>
      </c>
      <c r="GM19" s="102">
        <f>MIN(1,MAX(VLOOKUP(($AJ19-$AI19-$AH19-$AG19-$AF19-$AE19*(1+GM$3))/$AJ19,Уголь_коэфф!$A:$B,2,1),(GL19-0.05)))</f>
        <v>0.95</v>
      </c>
      <c r="GN19" s="102">
        <f>MIN(1,MAX(VLOOKUP(($AJ19-$AI19-$AH19-$AG19-$AF19-$AE19*(1+GN$3))/$AJ19,Уголь_коэфф!$A:$B,2,1),(GM19-0.05)))</f>
        <v>0.95</v>
      </c>
      <c r="GO19" s="102">
        <f>MIN(1,MAX(VLOOKUP(($AJ19-$AI19-$AH19-$AG19-$AF19-$AE19*(1+GO$3))/$AJ19,Уголь_коэфф!$A:$B,2,1),(GN19-0.05)))</f>
        <v>0.95</v>
      </c>
      <c r="GP19" s="102">
        <f>MIN(1,MAX(VLOOKUP(($AJ19-$AI19-$AH19-$AG19-$AF19-$AE19*(1+GP$3))/$AJ19,Уголь_коэфф!$A:$B,2,1),(GO19-0.05)))</f>
        <v>0.95</v>
      </c>
      <c r="GQ19" s="102">
        <f>MIN(1,MAX(VLOOKUP(($AJ19-$AI19-$AH19-$AG19-$AF19-$AE19*(1+GQ$3))/$AJ19,Уголь_коэфф!$A:$B,2,1),(GP19-0.05)))</f>
        <v>0.94499999999999995</v>
      </c>
      <c r="GR19" s="102">
        <f>MIN(1,MAX(VLOOKUP(($AJ19-$AI19-$AH19-$AG19-$AF19-$AE19*(1+GR$3))/$AJ19,Уголь_коэфф!$A:$B,2,1),(GQ19-0.05)))</f>
        <v>0.94499999999999995</v>
      </c>
      <c r="GS19" s="102">
        <f>MIN(1,MAX(VLOOKUP(($AJ19-$AI19-$AH19-$AG19-$AF19-$AE19*(1+GS$3))/$AJ19,Уголь_коэфф!$A:$B,2,1),(GR19-0.05)))</f>
        <v>0.94499999999999995</v>
      </c>
      <c r="GT19" s="102">
        <f>MIN(1,MAX(VLOOKUP(($AJ19-$AI19-$AH19-$AG19-$AF19-$AE19*(1+GT$3))/$AJ19,Уголь_коэфф!$A:$B,2,1),(GS19-0.05)))</f>
        <v>0.94499999999999995</v>
      </c>
      <c r="GU19" s="102">
        <f>MIN(1,MAX(VLOOKUP(($AJ19-$AI19-$AH19-$AG19-$AF19-$AE19*(1+GU$3))/$AJ19,Уголь_коэфф!$A:$B,2,1),(GT19-0.05)))</f>
        <v>0.94499999999999995</v>
      </c>
      <c r="GV19" s="102">
        <f>MIN(1,MAX(VLOOKUP(($AJ19-$AI19-$AH19-$AG19-$AF19-$AE19*(1+GV$3))/$AJ19,Уголь_коэфф!$A:$B,2,1),(GU19-0.05)))</f>
        <v>0.94</v>
      </c>
      <c r="GW19" s="102">
        <f>MIN(1,MAX(VLOOKUP(($AJ19-$AI19-$AH19-$AG19-$AF19-$AE19*(1+GW$3))/$AJ19,Уголь_коэфф!$A:$B,2,1),(GV19-0.05)))</f>
        <v>0.94</v>
      </c>
      <c r="GX19" s="102">
        <f>MIN(1,MAX(VLOOKUP(($AJ19-$AI19-$AH19-$AG19-$AF19-$AE19*(1+GX$3))/$AJ19,Уголь_коэфф!$A:$B,2,1),(GW19-0.05)))</f>
        <v>0.94</v>
      </c>
      <c r="GY19" s="102">
        <f>MIN(1,MAX(VLOOKUP(($AJ19-$AI19-$AH19-$AG19-$AF19-$AE19*(1+GY$3))/$AJ19,Уголь_коэфф!$A:$B,2,1),(GX19-0.05)))</f>
        <v>0.94</v>
      </c>
      <c r="GZ19" s="102">
        <f>MIN(1,MAX(VLOOKUP(($AJ19-$AI19-$AH19-$AG19-$AF19-$AE19*(1+GZ$3))/$AJ19,Уголь_коэфф!$A:$B,2,1),(GY19-0.05)))</f>
        <v>0.93500000000000005</v>
      </c>
      <c r="HA19" s="102">
        <f>MIN(1,MAX(VLOOKUP(($AJ19-$AI19-$AH19-$AG19-$AF19-$AE19*(1+HA$3))/$AJ19,Уголь_коэфф!$A:$B,2,1),(GZ19-0.05)))</f>
        <v>0.93500000000000005</v>
      </c>
      <c r="HB19" s="102">
        <f>MIN(1,MAX(VLOOKUP(($AJ19-$AI19-$AH19-$AG19-$AF19-$AE19*(1+HB$3))/$AJ19,Уголь_коэфф!$A:$B,2,1),(HA19-0.05)))</f>
        <v>0.93500000000000005</v>
      </c>
      <c r="HC19" s="102">
        <f>MIN(1,MAX(VLOOKUP(($AJ19-$AI19-$AH19-$AG19-$AF19-$AE19*(1+HC$3))/$AJ19,Уголь_коэфф!$A:$B,2,1),(HB19-0.05)))</f>
        <v>0.93500000000000005</v>
      </c>
      <c r="HD19" s="102">
        <f>MIN(1,MAX(VLOOKUP(($AJ19-$AI19-$AH19-$AG19-$AF19-$AE19*(1+HD$3))/$AJ19,Уголь_коэфф!$A:$B,2,1),(HC19-0.05)))</f>
        <v>0.93</v>
      </c>
      <c r="HE19" s="102">
        <f>MIN(1,MAX(VLOOKUP(($AJ19-$AI19-$AH19-$AG19-$AF19-$AE19*(1+HE$3))/$AJ19,Уголь_коэфф!$A:$B,2,1),(HD19-0.05)))</f>
        <v>0.93</v>
      </c>
      <c r="HF19" s="102">
        <f>MIN(1,MAX(VLOOKUP(($AJ19-$AI19-$AH19-$AG19-$AF19-$AE19*(1+HF$3))/$AJ19,Уголь_коэфф!$A:$B,2,1),(HE19-0.05)))</f>
        <v>0.93</v>
      </c>
      <c r="HG19" s="102">
        <f>MIN(1,MAX(VLOOKUP(($AJ19-$AI19-$AH19-$AG19-$AF19-$AE19*(1+HG$3))/$AJ19,Уголь_коэфф!$A:$B,2,1),(HF19-0.05)))</f>
        <v>0.93</v>
      </c>
      <c r="HH19" s="102">
        <f>MIN(1,MAX(VLOOKUP(($AJ19-$AI19-$AH19-$AG19-$AF19-$AE19*(1+HH$3))/$AJ19,Уголь_коэфф!$A:$B,2,1),(HG19-0.05)))</f>
        <v>0.93</v>
      </c>
      <c r="HI19" s="102">
        <f>MIN(1,MAX(VLOOKUP(($AJ19-$AI19-$AH19-$AG19-$AF19-$AE19*(1+HI$3))/$AJ19,Уголь_коэфф!$A:$B,2,1),(HH19-0.05)))</f>
        <v>0.92500000000000004</v>
      </c>
      <c r="HJ19" s="102">
        <f>MIN(1,MAX(VLOOKUP(($AJ19-$AI19-$AH19-$AG19-$AF19-$AE19*(1+HJ$3))/$AJ19,Уголь_коэфф!$A:$B,2,1),(HI19-0.05)))</f>
        <v>0.92500000000000004</v>
      </c>
      <c r="HK19" s="102">
        <f>MIN(1,MAX(VLOOKUP(($AJ19-$AI19-$AH19-$AG19-$AF19-$AE19*(1+HK$3))/$AJ19,Уголь_коэфф!$A:$B,2,1),(HJ19-0.05)))</f>
        <v>0.92500000000000004</v>
      </c>
      <c r="HL19" s="102">
        <f>MIN(1,MAX(VLOOKUP(($AJ19-$AI19-$AH19-$AG19-$AF19-$AE19*(1+HL$3))/$AJ19,Уголь_коэфф!$A:$B,2,1),(HK19-0.05)))</f>
        <v>0.92500000000000004</v>
      </c>
      <c r="HM19" s="102">
        <f>MIN(1,MAX(VLOOKUP(($AJ19-$AI19-$AH19-$AG19-$AF19-$AE19*(1+HM$3))/$AJ19,Уголь_коэфф!$A:$B,2,1),(HL19-0.05)))</f>
        <v>0.92</v>
      </c>
      <c r="HN19" s="102">
        <f>MIN(1,MAX(VLOOKUP(($AJ19-$AI19-$AH19-$AG19-$AF19-$AE19*(1+HN$3))/$AJ19,Уголь_коэфф!$A:$B,2,1),(HM19-0.05)))</f>
        <v>0.92</v>
      </c>
      <c r="HO19" s="102">
        <f>MIN(1,MAX(VLOOKUP(($AJ19-$AI19-$AH19-$AG19-$AF19-$AE19*(1+HO$3))/$AJ19,Уголь_коэфф!$A:$B,2,1),(HN19-0.05)))</f>
        <v>0.92</v>
      </c>
      <c r="HP19" s="102">
        <f>MIN(1,MAX(VLOOKUP(($AJ19-$AI19-$AH19-$AG19-$AF19-$AE19*(1+HP$3))/$AJ19,Уголь_коэфф!$A:$B,2,1),(HO19-0.05)))</f>
        <v>0.92</v>
      </c>
      <c r="HQ19" s="102">
        <f>MIN(1,MAX(VLOOKUP(($AJ19-$AI19-$AH19-$AG19-$AF19-$AE19*(1+HQ$3))/$AJ19,Уголь_коэфф!$A:$B,2,1),(HP19-0.05)))</f>
        <v>0.92</v>
      </c>
      <c r="HR19" s="102">
        <f>MIN(1,MAX(VLOOKUP(($AJ19-$AI19-$AH19-$AG19-$AF19-$AE19*(1+HR$3))/$AJ19,Уголь_коэфф!$A:$B,2,1),(HQ19-0.05)))</f>
        <v>0.91400000000000003</v>
      </c>
      <c r="HS19" s="102">
        <f>MIN(1,MAX(VLOOKUP(($AJ19-$AI19-$AH19-$AG19-$AF19-$AE19*(1+HS$3))/$AJ19,Уголь_коэфф!$A:$B,2,1),(HR19-0.05)))</f>
        <v>0.91400000000000003</v>
      </c>
      <c r="HT19" s="102">
        <f>MIN(1,MAX(VLOOKUP(($AJ19-$AI19-$AH19-$AG19-$AF19-$AE19*(1+HT$3))/$AJ19,Уголь_коэфф!$A:$B,2,1),(HS19-0.05)))</f>
        <v>0.91400000000000003</v>
      </c>
      <c r="HU19" s="102">
        <f>MIN(1,MAX(VLOOKUP(($AJ19-$AI19-$AH19-$AG19-$AF19-$AE19*(1+HU$3))/$AJ19,Уголь_коэфф!$A:$B,2,1),(HT19-0.05)))</f>
        <v>0.91400000000000003</v>
      </c>
      <c r="HV19" s="102">
        <f>MIN(1,MAX(VLOOKUP(($AJ19-$AI19-$AH19-$AG19-$AF19-$AE19*(1+HV$3))/$AJ19,Уголь_коэфф!$A:$B,2,1),(HU19-0.05)))</f>
        <v>0.90800000000000003</v>
      </c>
      <c r="HW19" s="102">
        <f>MIN(1,MAX(VLOOKUP(($AJ19-$AI19-$AH19-$AG19-$AF19-$AE19*(1+HW$3))/$AJ19,Уголь_коэфф!$A:$B,2,1),(HV19-0.05)))</f>
        <v>0.90800000000000003</v>
      </c>
      <c r="HX19" s="102">
        <f>MIN(1,MAX(VLOOKUP(($AJ19-$AI19-$AH19-$AG19-$AF19-$AE19*(1+HX$3))/$AJ19,Уголь_коэфф!$A:$B,2,1),(HW19-0.05)))</f>
        <v>0.90800000000000003</v>
      </c>
      <c r="HY19" s="102">
        <f>MIN(1,MAX(VLOOKUP(($AJ19-$AI19-$AH19-$AG19-$AF19-$AE19*(1+HY$3))/$AJ19,Уголь_коэфф!$A:$B,2,1),(HX19-0.05)))</f>
        <v>0.90800000000000003</v>
      </c>
      <c r="HZ19" s="102">
        <f>MIN(1,MAX(VLOOKUP(($AJ19-$AI19-$AH19-$AG19-$AF19-$AE19*(1+HZ$3))/$AJ19,Уголь_коэфф!$A:$B,2,1),(HY19-0.05)))</f>
        <v>0.90200000000000002</v>
      </c>
      <c r="IA19" s="102">
        <f>MIN(1,MAX(VLOOKUP(($AJ19-$AI19-$AH19-$AG19-$AF19-$AE19*(1+IA$3))/$AJ19,Уголь_коэфф!$A:$B,2,1),(HZ19-0.05)))</f>
        <v>0.90200000000000002</v>
      </c>
      <c r="IB19" s="102">
        <f>MIN(1,MAX(VLOOKUP(($AJ19-$AI19-$AH19-$AG19-$AF19-$AE19*(1+IB$3))/$AJ19,Уголь_коэфф!$A:$B,2,1),(IA19-0.05)))</f>
        <v>0.90200000000000002</v>
      </c>
      <c r="IC19" s="102">
        <f>MIN(1,MAX(VLOOKUP(($AJ19-$AI19-$AH19-$AG19-$AF19-$AE19*(1+IC$3))/$AJ19,Уголь_коэфф!$A:$B,2,1),(IB19-0.05)))</f>
        <v>0.90200000000000002</v>
      </c>
      <c r="ID19" s="102">
        <f>MIN(1,MAX(VLOOKUP(($AJ19-$AI19-$AH19-$AG19-$AF19-$AE19*(1+ID$3))/$AJ19,Уголь_коэфф!$A:$B,2,1),(IC19-0.05)))</f>
        <v>0.90200000000000002</v>
      </c>
      <c r="IE19" s="102">
        <f>MIN(1,MAX(VLOOKUP(($AJ19-$AI19-$AH19-$AG19-$AF19-$AE19*(1+IE$3))/$AJ19,Уголь_коэфф!$A:$B,2,1),(ID19-0.05)))</f>
        <v>0.89600000000000002</v>
      </c>
      <c r="IF19" s="102">
        <f>MIN(1,MAX(VLOOKUP(($AJ19-$AI19-$AH19-$AG19-$AF19-$AE19*(1+IF$3))/$AJ19,Уголь_коэфф!$A:$B,2,1),(IE19-0.05)))</f>
        <v>0.89600000000000002</v>
      </c>
      <c r="IG19" s="102">
        <f>MIN(1,MAX(VLOOKUP(($AJ19-$AI19-$AH19-$AG19-$AF19-$AE19*(1+IG$3))/$AJ19,Уголь_коэфф!$A:$B,2,1),(IF19-0.05)))</f>
        <v>0.89600000000000002</v>
      </c>
      <c r="IH19" s="102">
        <f>MIN(1,MAX(VLOOKUP(($AJ19-$AI19-$AH19-$AG19-$AF19-$AE19*(1+IH$3))/$AJ19,Уголь_коэфф!$A:$B,2,1),(IG19-0.05)))</f>
        <v>0.89600000000000002</v>
      </c>
      <c r="II19" s="102">
        <f>MIN(1,MAX(VLOOKUP(($AJ19-$AI19-$AH19-$AG19-$AF19-$AE19*(1+II$3))/$AJ19,Уголь_коэфф!$A:$B,2,1),(IH19-0.05)))</f>
        <v>0.89</v>
      </c>
      <c r="IJ19" s="102">
        <f>MIN(1,MAX(VLOOKUP(($AJ19-$AI19-$AH19-$AG19-$AF19-$AE19*(1+IJ$3))/$AJ19,Уголь_коэфф!$A:$B,2,1),(II19-0.05)))</f>
        <v>0.89</v>
      </c>
      <c r="IK19" s="102">
        <f>MIN(1,MAX(VLOOKUP(($AJ19-$AI19-$AH19-$AG19-$AF19-$AE19*(1+IK$3))/$AJ19,Уголь_коэфф!$A:$B,2,1),(IJ19-0.05)))</f>
        <v>0.89</v>
      </c>
      <c r="IL19" s="102">
        <f>MIN(1,MAX(VLOOKUP(($AJ19-$AI19-$AH19-$AG19-$AF19-$AE19*(1+IL$3))/$AJ19,Уголь_коэфф!$A:$B,2,1),(IK19-0.05)))</f>
        <v>0.89</v>
      </c>
      <c r="IM19" s="102">
        <f>MIN(1,MAX(VLOOKUP(($AJ19-$AI19-$AH19-$AG19-$AF19-$AE19*(1+IM$3))/$AJ19,Уголь_коэфф!$A:$B,2,1),(IL19-0.05)))</f>
        <v>0.89</v>
      </c>
      <c r="IN19" s="102">
        <f>MIN(1,MAX(VLOOKUP(($AJ19-$AI19-$AH19-$AG19-$AF19-$AE19*(1+IN$3))/$AJ19,Уголь_коэфф!$A:$B,2,1),(IM19-0.05)))</f>
        <v>0.88400000000000001</v>
      </c>
      <c r="IO19" s="102">
        <f>MIN(1,MAX(VLOOKUP(($AJ19-$AI19-$AH19-$AG19-$AF19-$AE19*(1+IO$3))/$AJ19,Уголь_коэфф!$A:$B,2,1),(IN19-0.05)))</f>
        <v>0.88400000000000001</v>
      </c>
      <c r="IP19" s="102">
        <f>MIN(1,MAX(VLOOKUP(($AJ19-$AI19-$AH19-$AG19-$AF19-$AE19*(1+IP$3))/$AJ19,Уголь_коэфф!$A:$B,2,1),(IO19-0.05)))</f>
        <v>0.88400000000000001</v>
      </c>
      <c r="IQ19" s="102">
        <f>MIN(1,MAX(VLOOKUP(($AJ19-$AI19-$AH19-$AG19-$AF19-$AE19*(1+IQ$3))/$AJ19,Уголь_коэфф!$A:$B,2,1),(IP19-0.05)))</f>
        <v>0.88400000000000001</v>
      </c>
      <c r="IR19" s="102">
        <f>MIN(1,MAX(VLOOKUP(($AJ19-$AI19-$AH19-$AG19-$AF19-$AE19*(1+IR$3))/$AJ19,Уголь_коэфф!$A:$B,2,1),(IQ19-0.05)))</f>
        <v>0.878</v>
      </c>
      <c r="IS19" s="102">
        <f t="shared" si="20"/>
        <v>0.97499999999999998</v>
      </c>
      <c r="IT19" s="102">
        <f t="shared" si="7"/>
        <v>0.97499999999999998</v>
      </c>
      <c r="IU19" s="110"/>
    </row>
    <row r="20" spans="1:255" ht="29.15" customHeight="1">
      <c r="A20" t="s">
        <v>239</v>
      </c>
      <c r="B20" s="36">
        <v>1</v>
      </c>
      <c r="C20" s="34" t="s">
        <v>16</v>
      </c>
      <c r="D20" s="1">
        <v>16112</v>
      </c>
      <c r="E20" s="1" t="s">
        <v>28</v>
      </c>
      <c r="F20" s="34" t="s">
        <v>18</v>
      </c>
      <c r="G20" s="1" t="s">
        <v>107</v>
      </c>
      <c r="H20" s="1" t="s">
        <v>47</v>
      </c>
      <c r="I20" s="1" t="s">
        <v>108</v>
      </c>
      <c r="J20" s="1" t="s">
        <v>49</v>
      </c>
      <c r="K20" s="1">
        <v>3414</v>
      </c>
      <c r="L20" s="1" t="s">
        <v>22</v>
      </c>
      <c r="M20" s="1" t="s">
        <v>23</v>
      </c>
      <c r="N20" s="1" t="s">
        <v>24</v>
      </c>
      <c r="O20" s="1" t="s">
        <v>25</v>
      </c>
      <c r="P20" s="4">
        <v>55565060</v>
      </c>
      <c r="Q20" s="4" t="s">
        <v>109</v>
      </c>
      <c r="R20" s="1" t="s">
        <v>110</v>
      </c>
      <c r="S20" s="49">
        <v>49324</v>
      </c>
      <c r="T20" s="45">
        <v>168392405</v>
      </c>
      <c r="U20" s="45">
        <v>709</v>
      </c>
      <c r="V20" s="45"/>
      <c r="W20" s="51">
        <v>108707726</v>
      </c>
      <c r="X20" s="104">
        <v>69</v>
      </c>
      <c r="Y20" s="104" t="s">
        <v>161</v>
      </c>
      <c r="Z20" s="107">
        <v>14</v>
      </c>
      <c r="AA20" s="107">
        <v>14</v>
      </c>
      <c r="AB20" s="107">
        <v>4</v>
      </c>
      <c r="AC20" s="88">
        <v>1941.75</v>
      </c>
      <c r="AD20" s="88">
        <v>866.40999999999985</v>
      </c>
      <c r="AE20" s="88">
        <f>AC20+AD20</f>
        <v>2808.16</v>
      </c>
      <c r="AF20" s="89">
        <f>'Цены,перевалка,аренда'!$C$27*SUM(Уголь_эластика_экспорт!Z20+Уголь_эластика_экспорт!AA20+Уголь_эластика_экспорт!AB20)/Уголь_эластика_экспорт!X20</f>
        <v>324.63768115942031</v>
      </c>
      <c r="AG20" s="90"/>
      <c r="AH20" s="47"/>
      <c r="AI20" s="91">
        <v>1637</v>
      </c>
      <c r="AJ20" s="92">
        <f>SUMIF('Цены,перевалка,аренда'!$A$5:$A$17,Уголь_эластика_экспорт!A20,'Цены,перевалка,аренда'!$D$5:$D$17)</f>
        <v>8546.2160000000003</v>
      </c>
      <c r="AK20" s="47">
        <f>AJ20/'Цены,перевалка,аренда'!$C$1</f>
        <v>112.00000000000001</v>
      </c>
      <c r="AL20" s="47">
        <f t="shared" si="9"/>
        <v>3132.7976811594203</v>
      </c>
      <c r="AM20" s="47">
        <f t="shared" si="10"/>
        <v>5413.4183188405805</v>
      </c>
      <c r="AN20" s="47">
        <f t="shared" si="11"/>
        <v>4769.7976811594199</v>
      </c>
      <c r="AO20" s="93">
        <f t="shared" si="12"/>
        <v>0.44188191813085231</v>
      </c>
      <c r="AP20" s="94">
        <f t="shared" si="13"/>
        <v>0.36657132012102434</v>
      </c>
      <c r="AQ20" s="94">
        <f t="shared" si="5"/>
        <v>0.32858518904740996</v>
      </c>
      <c r="AR20" s="94">
        <f t="shared" si="6"/>
        <v>0.8963745143480587</v>
      </c>
      <c r="AS20" s="167">
        <f t="shared" si="14"/>
        <v>1</v>
      </c>
      <c r="AT20" s="173">
        <f t="shared" si="15"/>
        <v>49324</v>
      </c>
      <c r="AU20" s="98">
        <f>16/17</f>
        <v>0.94117647058823528</v>
      </c>
      <c r="AV20" s="93">
        <f t="shared" si="16"/>
        <v>0.40245169544516307</v>
      </c>
      <c r="AW20" s="94">
        <f t="shared" si="17"/>
        <v>0.40600154280671358</v>
      </c>
      <c r="AX20" s="94">
        <f t="shared" si="18"/>
        <v>0.36801541173309921</v>
      </c>
      <c r="AY20" s="94">
        <f t="shared" si="19"/>
        <v>0.90643845633931852</v>
      </c>
      <c r="AZ20" s="102">
        <f>MIN(IF($AU20=100%,1,1+VLOOKUP(($AJ20-$AI20-$AH20-$AG20-$AF20-$AE20*(1+AZ$3))/$AJ20,Уголь_коэфф!$A:$B,2,1)-VLOOKUP($AO20,Уголь_коэфф!$A:$B,2,1)),1+(1-$AU20))</f>
        <v>1.0560000000000003</v>
      </c>
      <c r="BA20" s="102">
        <f>MIN(IF($AU20=100%,1,1+VLOOKUP(($AJ20-$AI20-$AH20-$AG20-$AF20-$AE20*(1+BA$3))/$AJ20,Уголь_коэфф!$A:$B,2,1)-VLOOKUP($AO20,Уголь_коэфф!$A:$B,2,1)),1+(1-$AU20))</f>
        <v>1.0560000000000003</v>
      </c>
      <c r="BB20" s="102">
        <f>MIN(IF($AU20=100%,1,1+VLOOKUP(($AJ20-$AI20-$AH20-$AG20-$AF20-$AE20*(1+BB$3))/$AJ20,Уголь_коэфф!$A:$B,2,1)-VLOOKUP($AO20,Уголь_коэфф!$A:$B,2,1)),1+(1-$AU20))</f>
        <v>1.0560000000000003</v>
      </c>
      <c r="BC20" s="102">
        <f>MIN(IF($AU20=100%,1,1+VLOOKUP(($AJ20-$AI20-$AH20-$AG20-$AF20-$AE20*(1+BC$3))/$AJ20,Уголь_коэфф!$A:$B,2,1)-VLOOKUP($AO20,Уголь_коэфф!$A:$B,2,1)),1+(1-$AU20))</f>
        <v>1.0560000000000003</v>
      </c>
      <c r="BD20" s="102">
        <f>MIN(IF($AU20=100%,1,1+VLOOKUP(($AJ20-$AI20-$AH20-$AG20-$AF20-$AE20*(1+BD$3))/$AJ20,Уголь_коэфф!$A:$B,2,1)-VLOOKUP($AO20,Уголь_коэфф!$A:$B,2,1)),1+(1-$AU20))</f>
        <v>1.0560000000000003</v>
      </c>
      <c r="BE20" s="102">
        <f>MIN(IF($AU20=100%,1,1+VLOOKUP(($AJ20-$AI20-$AH20-$AG20-$AF20-$AE20*(1+BE$3))/$AJ20,Уголь_коэфф!$A:$B,2,1)-VLOOKUP($AO20,Уголь_коэфф!$A:$B,2,1)),1+(1-$AU20))</f>
        <v>1.0560000000000003</v>
      </c>
      <c r="BF20" s="102">
        <f>MIN(IF($AU20=100%,1,1+VLOOKUP(($AJ20-$AI20-$AH20-$AG20-$AF20-$AE20*(1+BF$3))/$AJ20,Уголь_коэфф!$A:$B,2,1)-VLOOKUP($AO20,Уголь_коэфф!$A:$B,2,1)),1+(1-$AU20))</f>
        <v>1.0560000000000003</v>
      </c>
      <c r="BG20" s="102">
        <f>MIN(IF($AU20=100%,1,1+VLOOKUP(($AJ20-$AI20-$AH20-$AG20-$AF20-$AE20*(1+BG$3))/$AJ20,Уголь_коэфф!$A:$B,2,1)-VLOOKUP($AO20,Уголь_коэфф!$A:$B,2,1)),1+(1-$AU20))</f>
        <v>1.0560000000000003</v>
      </c>
      <c r="BH20" s="102">
        <f>MIN(IF($AU20=100%,1,1+VLOOKUP(($AJ20-$AI20-$AH20-$AG20-$AF20-$AE20*(1+BH$3))/$AJ20,Уголь_коэфф!$A:$B,2,1)-VLOOKUP($AO20,Уголь_коэфф!$A:$B,2,1)),1+(1-$AU20))</f>
        <v>1.0560000000000003</v>
      </c>
      <c r="BI20" s="102">
        <f>MIN(IF($AU20=100%,1,1+VLOOKUP(($AJ20-$AI20-$AH20-$AG20-$AF20-$AE20*(1+BI$3))/$AJ20,Уголь_коэфф!$A:$B,2,1)-VLOOKUP($AO20,Уголь_коэфф!$A:$B,2,1)),1+(1-$AU20))</f>
        <v>1.0560000000000003</v>
      </c>
      <c r="BJ20" s="102">
        <f>MIN(IF($AU20=100%,1,1+VLOOKUP(($AJ20-$AI20-$AH20-$AG20-$AF20-$AE20*(1+BJ$3))/$AJ20,Уголь_коэфф!$A:$B,2,1)-VLOOKUP($AO20,Уголь_коэфф!$A:$B,2,1)),1+(1-$AU20))</f>
        <v>1.0560000000000003</v>
      </c>
      <c r="BK20" s="102">
        <f>MIN(IF($AU20=100%,1,1+VLOOKUP(($AJ20-$AI20-$AH20-$AG20-$AF20-$AE20*(1+BK$3))/$AJ20,Уголь_коэфф!$A:$B,2,1)-VLOOKUP($AO20,Уголь_коэфф!$A:$B,2,1)),1+(1-$AU20))</f>
        <v>1.0560000000000003</v>
      </c>
      <c r="BL20" s="102">
        <f>MIN(IF($AU20=100%,1,1+VLOOKUP(($AJ20-$AI20-$AH20-$AG20-$AF20-$AE20*(1+BL$3))/$AJ20,Уголь_коэфф!$A:$B,2,1)-VLOOKUP($AO20,Уголь_коэфф!$A:$B,2,1)),1+(1-$AU20))</f>
        <v>1.0560000000000003</v>
      </c>
      <c r="BM20" s="102">
        <f>MIN(IF($AU20=100%,1,1+VLOOKUP(($AJ20-$AI20-$AH20-$AG20-$AF20-$AE20*(1+BM$3))/$AJ20,Уголь_коэфф!$A:$B,2,1)-VLOOKUP($AO20,Уголь_коэфф!$A:$B,2,1)),1+(1-$AU20))</f>
        <v>1.0560000000000003</v>
      </c>
      <c r="BN20" s="102">
        <f>MIN(IF($AU20=100%,1,1+VLOOKUP(($AJ20-$AI20-$AH20-$AG20-$AF20-$AE20*(1+BN$3))/$AJ20,Уголь_коэфф!$A:$B,2,1)-VLOOKUP($AO20,Уголь_коэфф!$A:$B,2,1)),1+(1-$AU20))</f>
        <v>1.0560000000000003</v>
      </c>
      <c r="BO20" s="102">
        <f>MIN(IF($AU20=100%,1,1+VLOOKUP(($AJ20-$AI20-$AH20-$AG20-$AF20-$AE20*(1+BO$3))/$AJ20,Уголь_коэфф!$A:$B,2,1)-VLOOKUP($AO20,Уголь_коэфф!$A:$B,2,1)),1+(1-$AU20))</f>
        <v>1.0560000000000003</v>
      </c>
      <c r="BP20" s="102">
        <f>MIN(IF($AU20=100%,1,1+VLOOKUP(($AJ20-$AI20-$AH20-$AG20-$AF20-$AE20*(1+BP$3))/$AJ20,Уголь_коэфф!$A:$B,2,1)-VLOOKUP($AO20,Уголь_коэфф!$A:$B,2,1)),1+(1-$AU20))</f>
        <v>1.0560000000000003</v>
      </c>
      <c r="BQ20" s="102">
        <f>MIN(IF($AU20=100%,1,1+VLOOKUP(($AJ20-$AI20-$AH20-$AG20-$AF20-$AE20*(1+BQ$3))/$AJ20,Уголь_коэфф!$A:$B,2,1)-VLOOKUP($AO20,Уголь_коэфф!$A:$B,2,1)),1+(1-$AU20))</f>
        <v>1.0560000000000003</v>
      </c>
      <c r="BR20" s="102">
        <f>MIN(IF($AU20=100%,1,1+VLOOKUP(($AJ20-$AI20-$AH20-$AG20-$AF20-$AE20*(1+BR$3))/$AJ20,Уголь_коэфф!$A:$B,2,1)-VLOOKUP($AO20,Уголь_коэфф!$A:$B,2,1)),1+(1-$AU20))</f>
        <v>1.0560000000000003</v>
      </c>
      <c r="BS20" s="102">
        <f>MIN(IF($AU20=100%,1,1+VLOOKUP(($AJ20-$AI20-$AH20-$AG20-$AF20-$AE20*(1+BS$3))/$AJ20,Уголь_коэфф!$A:$B,2,1)-VLOOKUP($AO20,Уголь_коэфф!$A:$B,2,1)),1+(1-$AU20))</f>
        <v>1.0560000000000003</v>
      </c>
      <c r="BT20" s="102">
        <f>MIN(IF($AU20=100%,1,1+VLOOKUP(($AJ20-$AI20-$AH20-$AG20-$AF20-$AE20*(1+BT$3))/$AJ20,Уголь_коэфф!$A:$B,2,1)-VLOOKUP($AO20,Уголь_коэфф!$A:$B,2,1)),1+(1-$AU20))</f>
        <v>1.0560000000000003</v>
      </c>
      <c r="BU20" s="102">
        <f>MIN(IF($AU20=100%,1,1+VLOOKUP(($AJ20-$AI20-$AH20-$AG20-$AF20-$AE20*(1+BU$3))/$AJ20,Уголь_коэфф!$A:$B,2,1)-VLOOKUP($AO20,Уголь_коэфф!$A:$B,2,1)),1+(1-$AU20))</f>
        <v>1.0560000000000003</v>
      </c>
      <c r="BV20" s="102">
        <f>MIN(IF($AU20=100%,1,1+VLOOKUP(($AJ20-$AI20-$AH20-$AG20-$AF20-$AE20*(1+BV$3))/$AJ20,Уголь_коэфф!$A:$B,2,1)-VLOOKUP($AO20,Уголь_коэфф!$A:$B,2,1)),1+(1-$AU20))</f>
        <v>1.0560000000000003</v>
      </c>
      <c r="BW20" s="102">
        <f>MIN(IF($AU20=100%,1,1+VLOOKUP(($AJ20-$AI20-$AH20-$AG20-$AF20-$AE20*(1+BW$3))/$AJ20,Уголь_коэфф!$A:$B,2,1)-VLOOKUP($AO20,Уголь_коэфф!$A:$B,2,1)),1+(1-$AU20))</f>
        <v>1.0560000000000003</v>
      </c>
      <c r="BX20" s="102">
        <f>MIN(IF($AU20=100%,1,1+VLOOKUP(($AJ20-$AI20-$AH20-$AG20-$AF20-$AE20*(1+BX$3))/$AJ20,Уголь_коэфф!$A:$B,2,1)-VLOOKUP($AO20,Уголь_коэфф!$A:$B,2,1)),1+(1-$AU20))</f>
        <v>1.0560000000000003</v>
      </c>
      <c r="BY20" s="102">
        <f>MIN(IF($AU20=100%,1,1+VLOOKUP(($AJ20-$AI20-$AH20-$AG20-$AF20-$AE20*(1+BY$3))/$AJ20,Уголь_коэфф!$A:$B,2,1)-VLOOKUP($AO20,Уголь_коэфф!$A:$B,2,1)),1+(1-$AU20))</f>
        <v>1.0560000000000003</v>
      </c>
      <c r="BZ20" s="102">
        <f>MIN(IF($AU20=100%,1,1+VLOOKUP(($AJ20-$AI20-$AH20-$AG20-$AF20-$AE20*(1+BZ$3))/$AJ20,Уголь_коэфф!$A:$B,2,1)-VLOOKUP($AO20,Уголь_коэфф!$A:$B,2,1)),1+(1-$AU20))</f>
        <v>1.0560000000000003</v>
      </c>
      <c r="CA20" s="102">
        <f>MIN(IF($AU20=100%,1,1+VLOOKUP(($AJ20-$AI20-$AH20-$AG20-$AF20-$AE20*(1+CA$3))/$AJ20,Уголь_коэфф!$A:$B,2,1)-VLOOKUP($AO20,Уголь_коэфф!$A:$B,2,1)),1+(1-$AU20))</f>
        <v>1.0560000000000003</v>
      </c>
      <c r="CB20" s="102">
        <f>MIN(IF($AU20=100%,1,1+VLOOKUP(($AJ20-$AI20-$AH20-$AG20-$AF20-$AE20*(1+CB$3))/$AJ20,Уголь_коэфф!$A:$B,2,1)-VLOOKUP($AO20,Уголь_коэфф!$A:$B,2,1)),1+(1-$AU20))</f>
        <v>1.0560000000000003</v>
      </c>
      <c r="CC20" s="102">
        <f>MIN(IF($AU20=100%,1,1+VLOOKUP(($AJ20-$AI20-$AH20-$AG20-$AF20-$AE20*(1+CC$3))/$AJ20,Уголь_коэфф!$A:$B,2,1)-VLOOKUP($AO20,Уголь_коэфф!$A:$B,2,1)),1+(1-$AU20))</f>
        <v>1.0560000000000003</v>
      </c>
      <c r="CD20" s="102">
        <f>MIN(IF($AU20=100%,1,1+VLOOKUP(($AJ20-$AI20-$AH20-$AG20-$AF20-$AE20*(1+CD$3))/$AJ20,Уголь_коэфф!$A:$B,2,1)-VLOOKUP($AO20,Уголь_коэфф!$A:$B,2,1)),1+(1-$AU20))</f>
        <v>1.0560000000000003</v>
      </c>
      <c r="CE20" s="102">
        <f>MIN(IF($AU20=100%,1,1+VLOOKUP(($AJ20-$AI20-$AH20-$AG20-$AF20-$AE20*(1+CE$3))/$AJ20,Уголь_коэфф!$A:$B,2,1)-VLOOKUP($AO20,Уголь_коэфф!$A:$B,2,1)),1+(1-$AU20))</f>
        <v>1.0560000000000003</v>
      </c>
      <c r="CF20" s="102">
        <f>MIN(IF($AU20=100%,1,1+VLOOKUP(($AJ20-$AI20-$AH20-$AG20-$AF20-$AE20*(1+CF$3))/$AJ20,Уголь_коэфф!$A:$B,2,1)-VLOOKUP($AO20,Уголь_коэфф!$A:$B,2,1)),1+(1-$AU20))</f>
        <v>1.0560000000000003</v>
      </c>
      <c r="CG20" s="102">
        <f>MIN(IF($AU20=100%,1,1+VLOOKUP(($AJ20-$AI20-$AH20-$AG20-$AF20-$AE20*(1+CG$3))/$AJ20,Уголь_коэфф!$A:$B,2,1)-VLOOKUP($AO20,Уголь_коэфф!$A:$B,2,1)),1+(1-$AU20))</f>
        <v>1.0560000000000003</v>
      </c>
      <c r="CH20" s="102">
        <f>MIN(IF($AU20=100%,1,1+VLOOKUP(($AJ20-$AI20-$AH20-$AG20-$AF20-$AE20*(1+CH$3))/$AJ20,Уголь_коэфф!$A:$B,2,1)-VLOOKUP($AO20,Уголь_коэфф!$A:$B,2,1)),1+(1-$AU20))</f>
        <v>1.0560000000000003</v>
      </c>
      <c r="CI20" s="102">
        <f>MIN(IF($AU20=100%,1,1+VLOOKUP(($AJ20-$AI20-$AH20-$AG20-$AF20-$AE20*(1+CI$3))/$AJ20,Уголь_коэфф!$A:$B,2,1)-VLOOKUP($AO20,Уголь_коэфф!$A:$B,2,1)),1+(1-$AU20))</f>
        <v>1.0560000000000003</v>
      </c>
      <c r="CJ20" s="102">
        <f>MIN(IF($AU20=100%,1,1+VLOOKUP(($AJ20-$AI20-$AH20-$AG20-$AF20-$AE20*(1+CJ$3))/$AJ20,Уголь_коэфф!$A:$B,2,1)-VLOOKUP($AO20,Уголь_коэфф!$A:$B,2,1)),1+(1-$AU20))</f>
        <v>1.0560000000000003</v>
      </c>
      <c r="CK20" s="102">
        <f>MIN(IF($AU20=100%,1,1+VLOOKUP(($AJ20-$AI20-$AH20-$AG20-$AF20-$AE20*(1+CK$3))/$AJ20,Уголь_коэфф!$A:$B,2,1)-VLOOKUP($AO20,Уголь_коэфф!$A:$B,2,1)),1+(1-$AU20))</f>
        <v>1.0560000000000003</v>
      </c>
      <c r="CL20" s="102">
        <f>MIN(IF($AU20=100%,1,1+VLOOKUP(($AJ20-$AI20-$AH20-$AG20-$AF20-$AE20*(1+CL$3))/$AJ20,Уголь_коэфф!$A:$B,2,1)-VLOOKUP($AO20,Уголь_коэфф!$A:$B,2,1)),1+(1-$AU20))</f>
        <v>1.0560000000000003</v>
      </c>
      <c r="CM20" s="102">
        <f>MIN(IF($AU20=100%,1,1+VLOOKUP(($AJ20-$AI20-$AH20-$AG20-$AF20-$AE20*(1+CM$3))/$AJ20,Уголь_коэфф!$A:$B,2,1)-VLOOKUP($AO20,Уголь_коэфф!$A:$B,2,1)),1+(1-$AU20))</f>
        <v>1.0560000000000003</v>
      </c>
      <c r="CN20" s="102">
        <f>MIN(IF($AU20=100%,1,1+VLOOKUP(($AJ20-$AI20-$AH20-$AG20-$AF20-$AE20*(1+CN$3))/$AJ20,Уголь_коэфф!$A:$B,2,1)-VLOOKUP($AO20,Уголь_коэфф!$A:$B,2,1)),1+(1-$AU20))</f>
        <v>1.0560000000000003</v>
      </c>
      <c r="CO20" s="102">
        <f>MIN(IF($AU20=100%,1,1+VLOOKUP(($AJ20-$AI20-$AH20-$AG20-$AF20-$AE20*(1+CO$3))/$AJ20,Уголь_коэфф!$A:$B,2,1)-VLOOKUP($AO20,Уголь_коэфф!$A:$B,2,1)),1+(1-$AU20))</f>
        <v>1.0560000000000003</v>
      </c>
      <c r="CP20" s="102">
        <f>MIN(IF($AU20=100%,1,1+VLOOKUP(($AJ20-$AI20-$AH20-$AG20-$AF20-$AE20*(1+CP$3))/$AJ20,Уголь_коэфф!$A:$B,2,1)-VLOOKUP($AO20,Уголь_коэфф!$A:$B,2,1)),1+(1-$AU20))</f>
        <v>1.0560000000000003</v>
      </c>
      <c r="CQ20" s="102">
        <f>MIN(IF($AU20=100%,1,1+VLOOKUP(($AJ20-$AI20-$AH20-$AG20-$AF20-$AE20*(1+CQ$3))/$AJ20,Уголь_коэфф!$A:$B,2,1)-VLOOKUP($AO20,Уголь_коэфф!$A:$B,2,1)),1+(1-$AU20))</f>
        <v>1.0560000000000003</v>
      </c>
      <c r="CR20" s="102">
        <f>MIN(IF($AU20=100%,1,1+VLOOKUP(($AJ20-$AI20-$AH20-$AG20-$AF20-$AE20*(1+CR$3))/$AJ20,Уголь_коэфф!$A:$B,2,1)-VLOOKUP($AO20,Уголь_коэфф!$A:$B,2,1)),1+(1-$AU20))</f>
        <v>1.0560000000000003</v>
      </c>
      <c r="CS20" s="102">
        <f>MIN(IF($AU20=100%,1,1+VLOOKUP(($AJ20-$AI20-$AH20-$AG20-$AF20-$AE20*(1+CS$3))/$AJ20,Уголь_коэфф!$A:$B,2,1)-VLOOKUP($AO20,Уголь_коэфф!$A:$B,2,1)),1+(1-$AU20))</f>
        <v>1.0560000000000003</v>
      </c>
      <c r="CT20" s="102">
        <f>MIN(IF($AU20=100%,1,1+VLOOKUP(($AJ20-$AI20-$AH20-$AG20-$AF20-$AE20*(1+CT$3))/$AJ20,Уголь_коэфф!$A:$B,2,1)-VLOOKUP($AO20,Уголь_коэфф!$A:$B,2,1)),1+(1-$AU20))</f>
        <v>1.0560000000000003</v>
      </c>
      <c r="CU20" s="102">
        <f>MIN(IF($AU20=100%,1,1+VLOOKUP(($AJ20-$AI20-$AH20-$AG20-$AF20-$AE20*(1+CU$3))/$AJ20,Уголь_коэфф!$A:$B,2,1)-VLOOKUP($AO20,Уголь_коэфф!$A:$B,2,1)),1+(1-$AU20))</f>
        <v>1.0560000000000003</v>
      </c>
      <c r="CV20" s="102">
        <f>MIN(IF($AU20=100%,1,1+VLOOKUP(($AJ20-$AI20-$AH20-$AG20-$AF20-$AE20*(1+CV$3))/$AJ20,Уголь_коэфф!$A:$B,2,1)-VLOOKUP($AO20,Уголь_коэфф!$A:$B,2,1)),1+(1-$AU20))</f>
        <v>1.0560000000000003</v>
      </c>
      <c r="CW20" s="102">
        <f>MIN(IF($AU20=100%,1,1+VLOOKUP(($AJ20-$AI20-$AH20-$AG20-$AF20-$AE20*(1+CW$3))/$AJ20,Уголь_коэфф!$A:$B,2,1)-VLOOKUP($AO20,Уголь_коэфф!$A:$B,2,1)),1+(1-$AU20))</f>
        <v>1.0560000000000003</v>
      </c>
      <c r="CX20" s="102">
        <f>MIN(IF($AU20=100%,1,1+VLOOKUP(($AJ20-$AI20-$AH20-$AG20-$AF20-$AE20*(1+CX$3))/$AJ20,Уголь_коэфф!$A:$B,2,1)-VLOOKUP($AO20,Уголь_коэфф!$A:$B,2,1)),1+(1-$AU20))</f>
        <v>1.0560000000000003</v>
      </c>
      <c r="CY20" s="102">
        <f>MIN(IF($AU20=100%,1,1+VLOOKUP(($AJ20-$AI20-$AH20-$AG20-$AF20-$AE20*(1+CY$3))/$AJ20,Уголь_коэфф!$A:$B,2,1)-VLOOKUP($AO20,Уголь_коэфф!$A:$B,2,1)),1+(1-$AU20))</f>
        <v>1.0560000000000003</v>
      </c>
      <c r="CZ20" s="102">
        <f>MIN(IF($AU20=100%,1,1+VLOOKUP(($AJ20-$AI20-$AH20-$AG20-$AF20-$AE20*(1+CZ$3))/$AJ20,Уголь_коэфф!$A:$B,2,1)-VLOOKUP($AO20,Уголь_коэфф!$A:$B,2,1)),1+(1-$AU20))</f>
        <v>1.0560000000000003</v>
      </c>
      <c r="DA20" s="102">
        <f>MIN(IF($AU20=100%,1,1+VLOOKUP(($AJ20-$AI20-$AH20-$AG20-$AF20-$AE20*(1+DA$3))/$AJ20,Уголь_коэфф!$A:$B,2,1)-VLOOKUP($AO20,Уголь_коэфф!$A:$B,2,1)),1+(1-$AU20))</f>
        <v>1.0480000000000003</v>
      </c>
      <c r="DB20" s="102">
        <f>MIN(IF($AU20=100%,1,1+VLOOKUP(($AJ20-$AI20-$AH20-$AG20-$AF20-$AE20*(1+DB$3))/$AJ20,Уголь_коэфф!$A:$B,2,1)-VLOOKUP($AO20,Уголь_коэфф!$A:$B,2,1)),1+(1-$AU20))</f>
        <v>1.0480000000000003</v>
      </c>
      <c r="DC20" s="102">
        <f>MIN(IF($AU20=100%,1,1+VLOOKUP(($AJ20-$AI20-$AH20-$AG20-$AF20-$AE20*(1+DC$3))/$AJ20,Уголь_коэфф!$A:$B,2,1)-VLOOKUP($AO20,Уголь_коэфф!$A:$B,2,1)),1+(1-$AU20))</f>
        <v>1.0480000000000003</v>
      </c>
      <c r="DD20" s="102">
        <f>MIN(IF($AU20=100%,1,1+VLOOKUP(($AJ20-$AI20-$AH20-$AG20-$AF20-$AE20*(1+DD$3))/$AJ20,Уголь_коэфф!$A:$B,2,1)-VLOOKUP($AO20,Уголь_коэфф!$A:$B,2,1)),1+(1-$AU20))</f>
        <v>1.0480000000000003</v>
      </c>
      <c r="DE20" s="102">
        <f>MIN(IF($AU20=100%,1,1+VLOOKUP(($AJ20-$AI20-$AH20-$AG20-$AF20-$AE20*(1+DE$3))/$AJ20,Уголь_коэфф!$A:$B,2,1)-VLOOKUP($AO20,Уголь_коэфф!$A:$B,2,1)),1+(1-$AU20))</f>
        <v>1.0480000000000003</v>
      </c>
      <c r="DF20" s="102">
        <f>MIN(IF($AU20=100%,1,1+VLOOKUP(($AJ20-$AI20-$AH20-$AG20-$AF20-$AE20*(1+DF$3))/$AJ20,Уголь_коэфф!$A:$B,2,1)-VLOOKUP($AO20,Уголь_коэфф!$A:$B,2,1)),1+(1-$AU20))</f>
        <v>1.0480000000000003</v>
      </c>
      <c r="DG20" s="102">
        <f>MIN(IF($AU20=100%,1,1+VLOOKUP(($AJ20-$AI20-$AH20-$AG20-$AF20-$AE20*(1+DG$3))/$AJ20,Уголь_коэфф!$A:$B,2,1)-VLOOKUP($AO20,Уголь_коэфф!$A:$B,2,1)),1+(1-$AU20))</f>
        <v>1.0480000000000003</v>
      </c>
      <c r="DH20" s="102">
        <f>MIN(IF($AU20=100%,1,1+VLOOKUP(($AJ20-$AI20-$AH20-$AG20-$AF20-$AE20*(1+DH$3))/$AJ20,Уголь_коэфф!$A:$B,2,1)-VLOOKUP($AO20,Уголь_коэфф!$A:$B,2,1)),1+(1-$AU20))</f>
        <v>1.0480000000000003</v>
      </c>
      <c r="DI20" s="102">
        <f>MIN(IF($AU20=100%,1,1+VLOOKUP(($AJ20-$AI20-$AH20-$AG20-$AF20-$AE20*(1+DI$3))/$AJ20,Уголь_коэфф!$A:$B,2,1)-VLOOKUP($AO20,Уголь_коэфф!$A:$B,2,1)),1+(1-$AU20))</f>
        <v>1.0480000000000003</v>
      </c>
      <c r="DJ20" s="102">
        <f>MIN(IF($AU20=100%,1,1+VLOOKUP(($AJ20-$AI20-$AH20-$AG20-$AF20-$AE20*(1+DJ$3))/$AJ20,Уголь_коэфф!$A:$B,2,1)-VLOOKUP($AO20,Уголь_коэфф!$A:$B,2,1)),1+(1-$AU20))</f>
        <v>1.0480000000000003</v>
      </c>
      <c r="DK20" s="102">
        <f>MIN(IF($AU20=100%,1,1+VLOOKUP(($AJ20-$AI20-$AH20-$AG20-$AF20-$AE20*(1+DK$3))/$AJ20,Уголь_коэфф!$A:$B,2,1)-VLOOKUP($AO20,Уголь_коэфф!$A:$B,2,1)),1+(1-$AU20))</f>
        <v>1.0480000000000003</v>
      </c>
      <c r="DL20" s="102">
        <f>MIN(IF($AU20=100%,1,1+VLOOKUP(($AJ20-$AI20-$AH20-$AG20-$AF20-$AE20*(1+DL$3))/$AJ20,Уголь_коэфф!$A:$B,2,1)-VLOOKUP($AO20,Уголь_коэфф!$A:$B,2,1)),1+(1-$AU20))</f>
        <v>1.0480000000000003</v>
      </c>
      <c r="DM20" s="102">
        <f>MIN(IF($AU20=100%,1,1+VLOOKUP(($AJ20-$AI20-$AH20-$AG20-$AF20-$AE20*(1+DM$3))/$AJ20,Уголь_коэфф!$A:$B,2,1)-VLOOKUP($AO20,Уголь_коэфф!$A:$B,2,1)),1+(1-$AU20))</f>
        <v>1.0400000000000003</v>
      </c>
      <c r="DN20" s="102">
        <f>MIN(IF($AU20=100%,1,1+VLOOKUP(($AJ20-$AI20-$AH20-$AG20-$AF20-$AE20*(1+DN$3))/$AJ20,Уголь_коэфф!$A:$B,2,1)-VLOOKUP($AO20,Уголь_коэфф!$A:$B,2,1)),1+(1-$AU20))</f>
        <v>1.0400000000000003</v>
      </c>
      <c r="DO20" s="102">
        <f>MIN(IF($AU20=100%,1,1+VLOOKUP(($AJ20-$AI20-$AH20-$AG20-$AF20-$AE20*(1+DO$3))/$AJ20,Уголь_коэфф!$A:$B,2,1)-VLOOKUP($AO20,Уголь_коэфф!$A:$B,2,1)),1+(1-$AU20))</f>
        <v>1.0400000000000003</v>
      </c>
      <c r="DP20" s="102">
        <f>MIN(IF($AU20=100%,1,1+VLOOKUP(($AJ20-$AI20-$AH20-$AG20-$AF20-$AE20*(1+DP$3))/$AJ20,Уголь_коэфф!$A:$B,2,1)-VLOOKUP($AO20,Уголь_коэфф!$A:$B,2,1)),1+(1-$AU20))</f>
        <v>1.0400000000000003</v>
      </c>
      <c r="DQ20" s="102">
        <f>MIN(IF($AU20=100%,1,1+VLOOKUP(($AJ20-$AI20-$AH20-$AG20-$AF20-$AE20*(1+DQ$3))/$AJ20,Уголь_коэфф!$A:$B,2,1)-VLOOKUP($AO20,Уголь_коэфф!$A:$B,2,1)),1+(1-$AU20))</f>
        <v>1.0400000000000003</v>
      </c>
      <c r="DR20" s="102">
        <f>MIN(IF($AU20=100%,1,1+VLOOKUP(($AJ20-$AI20-$AH20-$AG20-$AF20-$AE20*(1+DR$3))/$AJ20,Уголь_коэфф!$A:$B,2,1)-VLOOKUP($AO20,Уголь_коэфф!$A:$B,2,1)),1+(1-$AU20))</f>
        <v>1.0400000000000003</v>
      </c>
      <c r="DS20" s="102">
        <f>MIN(IF($AU20=100%,1,1+VLOOKUP(($AJ20-$AI20-$AH20-$AG20-$AF20-$AE20*(1+DS$3))/$AJ20,Уголь_коэфф!$A:$B,2,1)-VLOOKUP($AO20,Уголь_коэфф!$A:$B,2,1)),1+(1-$AU20))</f>
        <v>1.0320000000000003</v>
      </c>
      <c r="DT20" s="102">
        <f>MIN(IF($AU20=100%,1,1+VLOOKUP(($AJ20-$AI20-$AH20-$AG20-$AF20-$AE20*(1+DT$3))/$AJ20,Уголь_коэфф!$A:$B,2,1)-VLOOKUP($AO20,Уголь_коэфф!$A:$B,2,1)),1+(1-$AU20))</f>
        <v>1.0320000000000003</v>
      </c>
      <c r="DU20" s="102">
        <f>MIN(IF($AU20=100%,1,1+VLOOKUP(($AJ20-$AI20-$AH20-$AG20-$AF20-$AE20*(1+DU$3))/$AJ20,Уголь_коэфф!$A:$B,2,1)-VLOOKUP($AO20,Уголь_коэфф!$A:$B,2,1)),1+(1-$AU20))</f>
        <v>1.0320000000000003</v>
      </c>
      <c r="DV20" s="102">
        <f>MIN(IF($AU20=100%,1,1+VLOOKUP(($AJ20-$AI20-$AH20-$AG20-$AF20-$AE20*(1+DV$3))/$AJ20,Уголь_коэфф!$A:$B,2,1)-VLOOKUP($AO20,Уголь_коэфф!$A:$B,2,1)),1+(1-$AU20))</f>
        <v>1.0320000000000003</v>
      </c>
      <c r="DW20" s="102">
        <f>MIN(IF($AU20=100%,1,1+VLOOKUP(($AJ20-$AI20-$AH20-$AG20-$AF20-$AE20*(1+DW$3))/$AJ20,Уголь_коэфф!$A:$B,2,1)-VLOOKUP($AO20,Уголь_коэфф!$A:$B,2,1)),1+(1-$AU20))</f>
        <v>1.0320000000000003</v>
      </c>
      <c r="DX20" s="102">
        <f>MIN(IF($AU20=100%,1,1+VLOOKUP(($AJ20-$AI20-$AH20-$AG20-$AF20-$AE20*(1+DX$3))/$AJ20,Уголь_коэфф!$A:$B,2,1)-VLOOKUP($AO20,Уголь_коэфф!$A:$B,2,1)),1+(1-$AU20))</f>
        <v>1.0320000000000003</v>
      </c>
      <c r="DY20" s="102">
        <f>MIN(IF($AU20=100%,1,1+VLOOKUP(($AJ20-$AI20-$AH20-$AG20-$AF20-$AE20*(1+DY$3))/$AJ20,Уголь_коэфф!$A:$B,2,1)-VLOOKUP($AO20,Уголь_коэфф!$A:$B,2,1)),1+(1-$AU20))</f>
        <v>1.0240000000000002</v>
      </c>
      <c r="DZ20" s="102">
        <f>MIN(IF($AU20=100%,1,1+VLOOKUP(($AJ20-$AI20-$AH20-$AG20-$AF20-$AE20*(1+DZ$3))/$AJ20,Уголь_коэфф!$A:$B,2,1)-VLOOKUP($AO20,Уголь_коэфф!$A:$B,2,1)),1+(1-$AU20))</f>
        <v>1.0240000000000002</v>
      </c>
      <c r="EA20" s="102">
        <f>MIN(IF($AU20=100%,1,1+VLOOKUP(($AJ20-$AI20-$AH20-$AG20-$AF20-$AE20*(1+EA$3))/$AJ20,Уголь_коэфф!$A:$B,2,1)-VLOOKUP($AO20,Уголь_коэфф!$A:$B,2,1)),1+(1-$AU20))</f>
        <v>1.0240000000000002</v>
      </c>
      <c r="EB20" s="102">
        <f>MIN(IF($AU20=100%,1,1+VLOOKUP(($AJ20-$AI20-$AH20-$AG20-$AF20-$AE20*(1+EB$3))/$AJ20,Уголь_коэфф!$A:$B,2,1)-VLOOKUP($AO20,Уголь_коэфф!$A:$B,2,1)),1+(1-$AU20))</f>
        <v>1.0240000000000002</v>
      </c>
      <c r="EC20" s="102">
        <f>MIN(IF($AU20=100%,1,1+VLOOKUP(($AJ20-$AI20-$AH20-$AG20-$AF20-$AE20*(1+EC$3))/$AJ20,Уголь_коэфф!$A:$B,2,1)-VLOOKUP($AO20,Уголь_коэфф!$A:$B,2,1)),1+(1-$AU20))</f>
        <v>1.0240000000000002</v>
      </c>
      <c r="ED20" s="102">
        <f>MIN(IF($AU20=100%,1,1+VLOOKUP(($AJ20-$AI20-$AH20-$AG20-$AF20-$AE20*(1+ED$3))/$AJ20,Уголь_коэфф!$A:$B,2,1)-VLOOKUP($AO20,Уголь_коэфф!$A:$B,2,1)),1+(1-$AU20))</f>
        <v>1.0240000000000002</v>
      </c>
      <c r="EE20" s="102">
        <f>MIN(IF($AU20=100%,1,1+VLOOKUP(($AJ20-$AI20-$AH20-$AG20-$AF20-$AE20*(1+EE$3))/$AJ20,Уголь_коэфф!$A:$B,2,1)-VLOOKUP($AO20,Уголь_коэфф!$A:$B,2,1)),1+(1-$AU20))</f>
        <v>1.0160000000000002</v>
      </c>
      <c r="EF20" s="102">
        <f>MIN(IF($AU20=100%,1,1+VLOOKUP(($AJ20-$AI20-$AH20-$AG20-$AF20-$AE20*(1+EF$3))/$AJ20,Уголь_коэфф!$A:$B,2,1)-VLOOKUP($AO20,Уголь_коэфф!$A:$B,2,1)),1+(1-$AU20))</f>
        <v>1.0160000000000002</v>
      </c>
      <c r="EG20" s="102">
        <f>MIN(IF($AU20=100%,1,1+VLOOKUP(($AJ20-$AI20-$AH20-$AG20-$AF20-$AE20*(1+EG$3))/$AJ20,Уголь_коэфф!$A:$B,2,1)-VLOOKUP($AO20,Уголь_коэфф!$A:$B,2,1)),1+(1-$AU20))</f>
        <v>1.0160000000000002</v>
      </c>
      <c r="EH20" s="102">
        <f>MIN(IF($AU20=100%,1,1+VLOOKUP(($AJ20-$AI20-$AH20-$AG20-$AF20-$AE20*(1+EH$3))/$AJ20,Уголь_коэфф!$A:$B,2,1)-VLOOKUP($AO20,Уголь_коэфф!$A:$B,2,1)),1+(1-$AU20))</f>
        <v>1.0160000000000002</v>
      </c>
      <c r="EI20" s="102">
        <f>MIN(IF($AU20=100%,1,1+VLOOKUP(($AJ20-$AI20-$AH20-$AG20-$AF20-$AE20*(1+EI$3))/$AJ20,Уголь_коэфф!$A:$B,2,1)-VLOOKUP($AO20,Уголь_коэфф!$A:$B,2,1)),1+(1-$AU20))</f>
        <v>1.0160000000000002</v>
      </c>
      <c r="EJ20" s="102">
        <f>MIN(IF($AU20=100%,1,1+VLOOKUP(($AJ20-$AI20-$AH20-$AG20-$AF20-$AE20*(1+EJ$3))/$AJ20,Уголь_коэфф!$A:$B,2,1)-VLOOKUP($AO20,Уголь_коэфф!$A:$B,2,1)),1+(1-$AU20))</f>
        <v>1.0160000000000002</v>
      </c>
      <c r="EK20" s="102">
        <f>MIN(IF($AU20=100%,1,1+VLOOKUP(($AJ20-$AI20-$AH20-$AG20-$AF20-$AE20*(1+EK$3))/$AJ20,Уголь_коэфф!$A:$B,2,1)-VLOOKUP($AO20,Уголь_коэфф!$A:$B,2,1)),1+(1-$AU20))</f>
        <v>1.0080000000000002</v>
      </c>
      <c r="EL20" s="102">
        <f>MIN(IF($AU20=100%,1,1+VLOOKUP(($AJ20-$AI20-$AH20-$AG20-$AF20-$AE20*(1+EL$3))/$AJ20,Уголь_коэфф!$A:$B,2,1)-VLOOKUP($AO20,Уголь_коэфф!$A:$B,2,1)),1+(1-$AU20))</f>
        <v>1.0080000000000002</v>
      </c>
      <c r="EM20" s="102">
        <f>MIN(IF($AU20=100%,1,1+VLOOKUP(($AJ20-$AI20-$AH20-$AG20-$AF20-$AE20*(1+EM$3))/$AJ20,Уголь_коэфф!$A:$B,2,1)-VLOOKUP($AO20,Уголь_коэфф!$A:$B,2,1)),1+(1-$AU20))</f>
        <v>1.0080000000000002</v>
      </c>
      <c r="EN20" s="102">
        <f>MIN(IF($AU20=100%,1,1+VLOOKUP(($AJ20-$AI20-$AH20-$AG20-$AF20-$AE20*(1+EN$3))/$AJ20,Уголь_коэфф!$A:$B,2,1)-VLOOKUP($AO20,Уголь_коэфф!$A:$B,2,1)),1+(1-$AU20))</f>
        <v>1.0080000000000002</v>
      </c>
      <c r="EO20" s="102">
        <f>MIN(IF($AU20=100%,1,1+VLOOKUP(($AJ20-$AI20-$AH20-$AG20-$AF20-$AE20*(1+EO$3))/$AJ20,Уголь_коэфф!$A:$B,2,1)-VLOOKUP($AO20,Уголь_коэфф!$A:$B,2,1)),1+(1-$AU20))</f>
        <v>1.0080000000000002</v>
      </c>
      <c r="EP20" s="102">
        <f>MIN(IF($AU20=100%,1,1+VLOOKUP(($AJ20-$AI20-$AH20-$AG20-$AF20-$AE20*(1+EP$3))/$AJ20,Уголь_коэфф!$A:$B,2,1)-VLOOKUP($AO20,Уголь_коэфф!$A:$B,2,1)),1+(1-$AU20))</f>
        <v>1.0080000000000002</v>
      </c>
      <c r="EQ20" s="102">
        <f>MIN(IF($AU20=100%,1,1+VLOOKUP(($AJ20-$AI20-$AH20-$AG20-$AF20-$AE20*(1+EQ$3))/$AJ20,Уголь_коэфф!$A:$B,2,1)-VLOOKUP($AO20,Уголь_коэфф!$A:$B,2,1)),1+(1-$AU20))</f>
        <v>1.0080000000000002</v>
      </c>
      <c r="ER20" s="102">
        <f>MIN(IF($AU20=100%,1,1+VLOOKUP(($AJ20-$AI20-$AH20-$AG20-$AF20-$AE20*(1+ER$3))/$AJ20,Уголь_коэфф!$A:$B,2,1)-VLOOKUP($AO20,Уголь_коэфф!$A:$B,2,1)),1+(1-$AU20))</f>
        <v>1.0000000000000002</v>
      </c>
      <c r="ES20" s="102">
        <f>MIN(IF($AU20=100%,1,1+VLOOKUP(($AJ20-$AI20-$AH20-$AG20-$AF20-$AE20*(1+ES$3))/$AJ20,Уголь_коэфф!$A:$B,2,1)-VLOOKUP($AO20,Уголь_коэфф!$A:$B,2,1)),1+(1-$AU20))</f>
        <v>1.0000000000000002</v>
      </c>
      <c r="ET20" s="102">
        <f>MIN(IF($AU20=100%,1,1+VLOOKUP(($AJ20-$AI20-$AH20-$AG20-$AF20-$AE20*(1+ET$3))/$AJ20,Уголь_коэфф!$A:$B,2,1)-VLOOKUP($AO20,Уголь_коэфф!$A:$B,2,1)),1+(1-$AU20))</f>
        <v>1.0000000000000002</v>
      </c>
      <c r="EU20" s="102">
        <f>MIN(IF($AU20=100%,1,1+VLOOKUP(($AJ20-$AI20-$AH20-$AG20-$AF20-$AE20*(1+EU$3))/$AJ20,Уголь_коэфф!$A:$B,2,1)-VLOOKUP($AO20,Уголь_коэфф!$A:$B,2,1)),1+(1-$AU20))</f>
        <v>1.0000000000000002</v>
      </c>
      <c r="EV20" s="103">
        <v>1</v>
      </c>
      <c r="EW20" s="102">
        <f>MIN(1,MAX(VLOOKUP(($AJ20-$AI20-$AH20-$AG20-$AF20-$AE20*(1+EW$3))/$AJ20,Уголь_коэфф!$A:$B,2,1),(EV20-0.05)))</f>
        <v>1</v>
      </c>
      <c r="EX20" s="102">
        <f>MIN(1,MAX(VLOOKUP(($AJ20-$AI20-$AH20-$AG20-$AF20-$AE20*(1+EX$3))/$AJ20,Уголь_коэфф!$A:$B,2,1),(EW20-0.05)))</f>
        <v>1</v>
      </c>
      <c r="EY20" s="102">
        <f>MIN(1,MAX(VLOOKUP(($AJ20-$AI20-$AH20-$AG20-$AF20-$AE20*(1+EY$3))/$AJ20,Уголь_коэфф!$A:$B,2,1),(EX20-0.05)))</f>
        <v>1</v>
      </c>
      <c r="EZ20" s="102">
        <f>MIN(1,MAX(VLOOKUP(($AJ20-$AI20-$AH20-$AG20-$AF20-$AE20*(1+EZ$3))/$AJ20,Уголь_коэфф!$A:$B,2,1),(EY20-0.05)))</f>
        <v>1</v>
      </c>
      <c r="FA20" s="102">
        <f>MIN(1,MAX(VLOOKUP(($AJ20-$AI20-$AH20-$AG20-$AF20-$AE20*(1+FA$3))/$AJ20,Уголь_коэфф!$A:$B,2,1),(EZ20-0.05)))</f>
        <v>1</v>
      </c>
      <c r="FB20" s="102">
        <f>MIN(1,MAX(VLOOKUP(($AJ20-$AI20-$AH20-$AG20-$AF20-$AE20*(1+FB$3))/$AJ20,Уголь_коэфф!$A:$B,2,1),(FA20-0.05)))</f>
        <v>1</v>
      </c>
      <c r="FC20" s="102">
        <f>MIN(1,MAX(VLOOKUP(($AJ20-$AI20-$AH20-$AG20-$AF20-$AE20*(1+FC$3))/$AJ20,Уголь_коэфф!$A:$B,2,1),(FB20-0.05)))</f>
        <v>1</v>
      </c>
      <c r="FD20" s="102">
        <f>MIN(1,MAX(VLOOKUP(($AJ20-$AI20-$AH20-$AG20-$AF20-$AE20*(1+FD$3))/$AJ20,Уголь_коэфф!$A:$B,2,1),(FC20-0.05)))</f>
        <v>1</v>
      </c>
      <c r="FE20" s="102">
        <f>MIN(1,MAX(VLOOKUP(($AJ20-$AI20-$AH20-$AG20-$AF20-$AE20*(1+FE$3))/$AJ20,Уголь_коэфф!$A:$B,2,1),(FD20-0.05)))</f>
        <v>1</v>
      </c>
      <c r="FF20" s="102">
        <f>MIN(1,MAX(VLOOKUP(($AJ20-$AI20-$AH20-$AG20-$AF20-$AE20*(1+FF$3))/$AJ20,Уголь_коэфф!$A:$B,2,1),(FE20-0.05)))</f>
        <v>1</v>
      </c>
      <c r="FG20" s="102">
        <f>MIN(1,MAX(VLOOKUP(($AJ20-$AI20-$AH20-$AG20-$AF20-$AE20*(1+FG$3))/$AJ20,Уголь_коэфф!$A:$B,2,1),(FF20-0.05)))</f>
        <v>1</v>
      </c>
      <c r="FH20" s="102">
        <f>MIN(1,MAX(VLOOKUP(($AJ20-$AI20-$AH20-$AG20-$AF20-$AE20*(1+FH$3))/$AJ20,Уголь_коэфф!$A:$B,2,1),(FG20-0.05)))</f>
        <v>1</v>
      </c>
      <c r="FI20" s="102">
        <f>MIN(1,MAX(VLOOKUP(($AJ20-$AI20-$AH20-$AG20-$AF20-$AE20*(1+FI$3))/$AJ20,Уголь_коэфф!$A:$B,2,1),(FH20-0.05)))</f>
        <v>1</v>
      </c>
      <c r="FJ20" s="102">
        <f>MIN(1,MAX(VLOOKUP(($AJ20-$AI20-$AH20-$AG20-$AF20-$AE20*(1+FJ$3))/$AJ20,Уголь_коэфф!$A:$B,2,1),(FI20-0.05)))</f>
        <v>1</v>
      </c>
      <c r="FK20" s="102">
        <f>MIN(1,MAX(VLOOKUP(($AJ20-$AI20-$AH20-$AG20-$AF20-$AE20*(1+FK$3))/$AJ20,Уголь_коэфф!$A:$B,2,1),(FJ20-0.05)))</f>
        <v>1</v>
      </c>
      <c r="FL20" s="102">
        <f>MIN(1,MAX(VLOOKUP(($AJ20-$AI20-$AH20-$AG20-$AF20-$AE20*(1+FL$3))/$AJ20,Уголь_коэфф!$A:$B,2,1),(FK20-0.05)))</f>
        <v>1</v>
      </c>
      <c r="FM20" s="102">
        <f>MIN(1,MAX(VLOOKUP(($AJ20-$AI20-$AH20-$AG20-$AF20-$AE20*(1+FM$3))/$AJ20,Уголь_коэфф!$A:$B,2,1),(FL20-0.05)))</f>
        <v>1</v>
      </c>
      <c r="FN20" s="102">
        <f>MIN(1,MAX(VLOOKUP(($AJ20-$AI20-$AH20-$AG20-$AF20-$AE20*(1+FN$3))/$AJ20,Уголь_коэфф!$A:$B,2,1),(FM20-0.05)))</f>
        <v>1</v>
      </c>
      <c r="FO20" s="102">
        <f>MIN(1,MAX(VLOOKUP(($AJ20-$AI20-$AH20-$AG20-$AF20-$AE20*(1+FO$3))/$AJ20,Уголь_коэфф!$A:$B,2,1),(FN20-0.05)))</f>
        <v>1</v>
      </c>
      <c r="FP20" s="102">
        <f>MIN(1,MAX(VLOOKUP(($AJ20-$AI20-$AH20-$AG20-$AF20-$AE20*(1+FP$3))/$AJ20,Уголь_коэфф!$A:$B,2,1),(FO20-0.05)))</f>
        <v>1</v>
      </c>
      <c r="FQ20" s="102">
        <f>MIN(1,MAX(VLOOKUP(($AJ20-$AI20-$AH20-$AG20-$AF20-$AE20*(1+FQ$3))/$AJ20,Уголь_коэфф!$A:$B,2,1),(FP20-0.05)))</f>
        <v>1</v>
      </c>
      <c r="FR20" s="102">
        <f>MIN(1,MAX(VLOOKUP(($AJ20-$AI20-$AH20-$AG20-$AF20-$AE20*(1+FR$3))/$AJ20,Уголь_коэфф!$A:$B,2,1),(FQ20-0.05)))</f>
        <v>1</v>
      </c>
      <c r="FS20" s="102">
        <f>MIN(1,MAX(VLOOKUP(($AJ20-$AI20-$AH20-$AG20-$AF20-$AE20*(1+FS$3))/$AJ20,Уголь_коэфф!$A:$B,2,1),(FR20-0.05)))</f>
        <v>1</v>
      </c>
      <c r="FT20" s="102">
        <f>MIN(1,MAX(VLOOKUP(($AJ20-$AI20-$AH20-$AG20-$AF20-$AE20*(1+FT$3))/$AJ20,Уголь_коэфф!$A:$B,2,1),(FS20-0.05)))</f>
        <v>1</v>
      </c>
      <c r="FU20" s="102">
        <f>MIN(1,MAX(VLOOKUP(($AJ20-$AI20-$AH20-$AG20-$AF20-$AE20*(1+FU$3))/$AJ20,Уголь_коэфф!$A:$B,2,1),(FT20-0.05)))</f>
        <v>1</v>
      </c>
      <c r="FV20" s="102">
        <f>MIN(1,MAX(VLOOKUP(($AJ20-$AI20-$AH20-$AG20-$AF20-$AE20*(1+FV$3))/$AJ20,Уголь_коэфф!$A:$B,2,1),(FU20-0.05)))</f>
        <v>1</v>
      </c>
      <c r="FW20" s="102">
        <f>MIN(1,MAX(VLOOKUP(($AJ20-$AI20-$AH20-$AG20-$AF20-$AE20*(1+FW$3))/$AJ20,Уголь_коэфф!$A:$B,2,1),(FV20-0.05)))</f>
        <v>1</v>
      </c>
      <c r="FX20" s="102">
        <f>MIN(1,MAX(VLOOKUP(($AJ20-$AI20-$AH20-$AG20-$AF20-$AE20*(1+FX$3))/$AJ20,Уголь_коэфф!$A:$B,2,1),(FW20-0.05)))</f>
        <v>1</v>
      </c>
      <c r="FY20" s="102">
        <f>MIN(1,MAX(VLOOKUP(($AJ20-$AI20-$AH20-$AG20-$AF20-$AE20*(1+FY$3))/$AJ20,Уголь_коэфф!$A:$B,2,1),(FX20-0.05)))</f>
        <v>1</v>
      </c>
      <c r="FZ20" s="102">
        <f>MIN(1,MAX(VLOOKUP(($AJ20-$AI20-$AH20-$AG20-$AF20-$AE20*(1+FZ$3))/$AJ20,Уголь_коэфф!$A:$B,2,1),(FY20-0.05)))</f>
        <v>1</v>
      </c>
      <c r="GA20" s="102">
        <f>MIN(1,MAX(VLOOKUP(($AJ20-$AI20-$AH20-$AG20-$AF20-$AE20*(1+GA$3))/$AJ20,Уголь_коэфф!$A:$B,2,1),(FZ20-0.05)))</f>
        <v>1</v>
      </c>
      <c r="GB20" s="102">
        <f>MIN(1,MAX(VLOOKUP(($AJ20-$AI20-$AH20-$AG20-$AF20-$AE20*(1+GB$3))/$AJ20,Уголь_коэфф!$A:$B,2,1),(GA20-0.05)))</f>
        <v>1</v>
      </c>
      <c r="GC20" s="102">
        <f>MIN(1,MAX(VLOOKUP(($AJ20-$AI20-$AH20-$AG20-$AF20-$AE20*(1+GC$3))/$AJ20,Уголь_коэфф!$A:$B,2,1),(GB20-0.05)))</f>
        <v>1</v>
      </c>
      <c r="GD20" s="102">
        <f>MIN(1,MAX(VLOOKUP(($AJ20-$AI20-$AH20-$AG20-$AF20-$AE20*(1+GD$3))/$AJ20,Уголь_коэфф!$A:$B,2,1),(GC20-0.05)))</f>
        <v>1</v>
      </c>
      <c r="GE20" s="102">
        <f>MIN(1,MAX(VLOOKUP(($AJ20-$AI20-$AH20-$AG20-$AF20-$AE20*(1+GE$3))/$AJ20,Уголь_коэфф!$A:$B,2,1),(GD20-0.05)))</f>
        <v>1</v>
      </c>
      <c r="GF20" s="102">
        <f>MIN(1,MAX(VLOOKUP(($AJ20-$AI20-$AH20-$AG20-$AF20-$AE20*(1+GF$3))/$AJ20,Уголь_коэфф!$A:$B,2,1),(GE20-0.05)))</f>
        <v>1</v>
      </c>
      <c r="GG20" s="102">
        <f>MIN(1,MAX(VLOOKUP(($AJ20-$AI20-$AH20-$AG20-$AF20-$AE20*(1+GG$3))/$AJ20,Уголь_коэфф!$A:$B,2,1),(GF20-0.05)))</f>
        <v>1</v>
      </c>
      <c r="GH20" s="102">
        <f>MIN(1,MAX(VLOOKUP(($AJ20-$AI20-$AH20-$AG20-$AF20-$AE20*(1+GH$3))/$AJ20,Уголь_коэфф!$A:$B,2,1),(GG20-0.05)))</f>
        <v>1</v>
      </c>
      <c r="GI20" s="102">
        <f>MIN(1,MAX(VLOOKUP(($AJ20-$AI20-$AH20-$AG20-$AF20-$AE20*(1+GI$3))/$AJ20,Уголь_коэфф!$A:$B,2,1),(GH20-0.05)))</f>
        <v>1</v>
      </c>
      <c r="GJ20" s="102">
        <f>MIN(1,MAX(VLOOKUP(($AJ20-$AI20-$AH20-$AG20-$AF20-$AE20*(1+GJ$3))/$AJ20,Уголь_коэфф!$A:$B,2,1),(GI20-0.05)))</f>
        <v>1</v>
      </c>
      <c r="GK20" s="102">
        <f>MIN(1,MAX(VLOOKUP(($AJ20-$AI20-$AH20-$AG20-$AF20-$AE20*(1+GK$3))/$AJ20,Уголь_коэфф!$A:$B,2,1),(GJ20-0.05)))</f>
        <v>1</v>
      </c>
      <c r="GL20" s="102">
        <f>MIN(1,MAX(VLOOKUP(($AJ20-$AI20-$AH20-$AG20-$AF20-$AE20*(1+GL$3))/$AJ20,Уголь_коэфф!$A:$B,2,1),(GK20-0.05)))</f>
        <v>1</v>
      </c>
      <c r="GM20" s="102">
        <f>MIN(1,MAX(VLOOKUP(($AJ20-$AI20-$AH20-$AG20-$AF20-$AE20*(1+GM$3))/$AJ20,Уголь_коэфф!$A:$B,2,1),(GL20-0.05)))</f>
        <v>1</v>
      </c>
      <c r="GN20" s="102">
        <f>MIN(1,MAX(VLOOKUP(($AJ20-$AI20-$AH20-$AG20-$AF20-$AE20*(1+GN$3))/$AJ20,Уголь_коэфф!$A:$B,2,1),(GM20-0.05)))</f>
        <v>1</v>
      </c>
      <c r="GO20" s="102">
        <f>MIN(1,MAX(VLOOKUP(($AJ20-$AI20-$AH20-$AG20-$AF20-$AE20*(1+GO$3))/$AJ20,Уголь_коэфф!$A:$B,2,1),(GN20-0.05)))</f>
        <v>1</v>
      </c>
      <c r="GP20" s="102">
        <f>MIN(1,MAX(VLOOKUP(($AJ20-$AI20-$AH20-$AG20-$AF20-$AE20*(1+GP$3))/$AJ20,Уголь_коэфф!$A:$B,2,1),(GO20-0.05)))</f>
        <v>1</v>
      </c>
      <c r="GQ20" s="102">
        <f>MIN(1,MAX(VLOOKUP(($AJ20-$AI20-$AH20-$AG20-$AF20-$AE20*(1+GQ$3))/$AJ20,Уголь_коэфф!$A:$B,2,1),(GP20-0.05)))</f>
        <v>1</v>
      </c>
      <c r="GR20" s="102">
        <f>MIN(1,MAX(VLOOKUP(($AJ20-$AI20-$AH20-$AG20-$AF20-$AE20*(1+GR$3))/$AJ20,Уголь_коэфф!$A:$B,2,1),(GQ20-0.05)))</f>
        <v>1</v>
      </c>
      <c r="GS20" s="102">
        <f>MIN(1,MAX(VLOOKUP(($AJ20-$AI20-$AH20-$AG20-$AF20-$AE20*(1+GS$3))/$AJ20,Уголь_коэфф!$A:$B,2,1),(GR20-0.05)))</f>
        <v>1</v>
      </c>
      <c r="GT20" s="102">
        <f>MIN(1,MAX(VLOOKUP(($AJ20-$AI20-$AH20-$AG20-$AF20-$AE20*(1+GT$3))/$AJ20,Уголь_коэфф!$A:$B,2,1),(GS20-0.05)))</f>
        <v>1</v>
      </c>
      <c r="GU20" s="102">
        <f>MIN(1,MAX(VLOOKUP(($AJ20-$AI20-$AH20-$AG20-$AF20-$AE20*(1+GU$3))/$AJ20,Уголь_коэфф!$A:$B,2,1),(GT20-0.05)))</f>
        <v>1</v>
      </c>
      <c r="GV20" s="102">
        <f>MIN(1,MAX(VLOOKUP(($AJ20-$AI20-$AH20-$AG20-$AF20-$AE20*(1+GV$3))/$AJ20,Уголь_коэфф!$A:$B,2,1),(GU20-0.05)))</f>
        <v>1</v>
      </c>
      <c r="GW20" s="102">
        <f>MIN(1,MAX(VLOOKUP(($AJ20-$AI20-$AH20-$AG20-$AF20-$AE20*(1+GW$3))/$AJ20,Уголь_коэфф!$A:$B,2,1),(GV20-0.05)))</f>
        <v>1</v>
      </c>
      <c r="GX20" s="102">
        <f>MIN(1,MAX(VLOOKUP(($AJ20-$AI20-$AH20-$AG20-$AF20-$AE20*(1+GX$3))/$AJ20,Уголь_коэфф!$A:$B,2,1),(GW20-0.05)))</f>
        <v>1</v>
      </c>
      <c r="GY20" s="102">
        <f>MIN(1,MAX(VLOOKUP(($AJ20-$AI20-$AH20-$AG20-$AF20-$AE20*(1+GY$3))/$AJ20,Уголь_коэфф!$A:$B,2,1),(GX20-0.05)))</f>
        <v>1</v>
      </c>
      <c r="GZ20" s="102">
        <f>MIN(1,MAX(VLOOKUP(($AJ20-$AI20-$AH20-$AG20-$AF20-$AE20*(1+GZ$3))/$AJ20,Уголь_коэфф!$A:$B,2,1),(GY20-0.05)))</f>
        <v>1</v>
      </c>
      <c r="HA20" s="102">
        <f>MIN(1,MAX(VLOOKUP(($AJ20-$AI20-$AH20-$AG20-$AF20-$AE20*(1+HA$3))/$AJ20,Уголь_коэфф!$A:$B,2,1),(GZ20-0.05)))</f>
        <v>1</v>
      </c>
      <c r="HB20" s="102">
        <f>MIN(1,MAX(VLOOKUP(($AJ20-$AI20-$AH20-$AG20-$AF20-$AE20*(1+HB$3))/$AJ20,Уголь_коэфф!$A:$B,2,1),(HA20-0.05)))</f>
        <v>1</v>
      </c>
      <c r="HC20" s="102">
        <f>MIN(1,MAX(VLOOKUP(($AJ20-$AI20-$AH20-$AG20-$AF20-$AE20*(1+HC$3))/$AJ20,Уголь_коэфф!$A:$B,2,1),(HB20-0.05)))</f>
        <v>1</v>
      </c>
      <c r="HD20" s="102">
        <f>MIN(1,MAX(VLOOKUP(($AJ20-$AI20-$AH20-$AG20-$AF20-$AE20*(1+HD$3))/$AJ20,Уголь_коэфф!$A:$B,2,1),(HC20-0.05)))</f>
        <v>1</v>
      </c>
      <c r="HE20" s="102">
        <f>MIN(1,MAX(VLOOKUP(($AJ20-$AI20-$AH20-$AG20-$AF20-$AE20*(1+HE$3))/$AJ20,Уголь_коэфф!$A:$B,2,1),(HD20-0.05)))</f>
        <v>1</v>
      </c>
      <c r="HF20" s="102">
        <f>MIN(1,MAX(VLOOKUP(($AJ20-$AI20-$AH20-$AG20-$AF20-$AE20*(1+HF$3))/$AJ20,Уголь_коэфф!$A:$B,2,1),(HE20-0.05)))</f>
        <v>1</v>
      </c>
      <c r="HG20" s="102">
        <f>MIN(1,MAX(VLOOKUP(($AJ20-$AI20-$AH20-$AG20-$AF20-$AE20*(1+HG$3))/$AJ20,Уголь_коэфф!$A:$B,2,1),(HF20-0.05)))</f>
        <v>1</v>
      </c>
      <c r="HH20" s="102">
        <f>MIN(1,MAX(VLOOKUP(($AJ20-$AI20-$AH20-$AG20-$AF20-$AE20*(1+HH$3))/$AJ20,Уголь_коэфф!$A:$B,2,1),(HG20-0.05)))</f>
        <v>1</v>
      </c>
      <c r="HI20" s="102">
        <f>MIN(1,MAX(VLOOKUP(($AJ20-$AI20-$AH20-$AG20-$AF20-$AE20*(1+HI$3))/$AJ20,Уголь_коэфф!$A:$B,2,1),(HH20-0.05)))</f>
        <v>1</v>
      </c>
      <c r="HJ20" s="102">
        <f>MIN(1,MAX(VLOOKUP(($AJ20-$AI20-$AH20-$AG20-$AF20-$AE20*(1+HJ$3))/$AJ20,Уголь_коэфф!$A:$B,2,1),(HI20-0.05)))</f>
        <v>1</v>
      </c>
      <c r="HK20" s="102">
        <f>MIN(1,MAX(VLOOKUP(($AJ20-$AI20-$AH20-$AG20-$AF20-$AE20*(1+HK$3))/$AJ20,Уголь_коэфф!$A:$B,2,1),(HJ20-0.05)))</f>
        <v>1</v>
      </c>
      <c r="HL20" s="102">
        <f>MIN(1,MAX(VLOOKUP(($AJ20-$AI20-$AH20-$AG20-$AF20-$AE20*(1+HL$3))/$AJ20,Уголь_коэфф!$A:$B,2,1),(HK20-0.05)))</f>
        <v>1</v>
      </c>
      <c r="HM20" s="102">
        <f>MIN(1,MAX(VLOOKUP(($AJ20-$AI20-$AH20-$AG20-$AF20-$AE20*(1+HM$3))/$AJ20,Уголь_коэфф!$A:$B,2,1),(HL20-0.05)))</f>
        <v>1</v>
      </c>
      <c r="HN20" s="102">
        <f>MIN(1,MAX(VLOOKUP(($AJ20-$AI20-$AH20-$AG20-$AF20-$AE20*(1+HN$3))/$AJ20,Уголь_коэфф!$A:$B,2,1),(HM20-0.05)))</f>
        <v>1</v>
      </c>
      <c r="HO20" s="102">
        <f>MIN(1,MAX(VLOOKUP(($AJ20-$AI20-$AH20-$AG20-$AF20-$AE20*(1+HO$3))/$AJ20,Уголь_коэфф!$A:$B,2,1),(HN20-0.05)))</f>
        <v>1</v>
      </c>
      <c r="HP20" s="102">
        <f>MIN(1,MAX(VLOOKUP(($AJ20-$AI20-$AH20-$AG20-$AF20-$AE20*(1+HP$3))/$AJ20,Уголь_коэфф!$A:$B,2,1),(HO20-0.05)))</f>
        <v>1</v>
      </c>
      <c r="HQ20" s="102">
        <f>MIN(1,MAX(VLOOKUP(($AJ20-$AI20-$AH20-$AG20-$AF20-$AE20*(1+HQ$3))/$AJ20,Уголь_коэфф!$A:$B,2,1),(HP20-0.05)))</f>
        <v>1</v>
      </c>
      <c r="HR20" s="102">
        <f>MIN(1,MAX(VLOOKUP(($AJ20-$AI20-$AH20-$AG20-$AF20-$AE20*(1+HR$3))/$AJ20,Уголь_коэфф!$A:$B,2,1),(HQ20-0.05)))</f>
        <v>1</v>
      </c>
      <c r="HS20" s="102">
        <f>MIN(1,MAX(VLOOKUP(($AJ20-$AI20-$AH20-$AG20-$AF20-$AE20*(1+HS$3))/$AJ20,Уголь_коэфф!$A:$B,2,1),(HR20-0.05)))</f>
        <v>1</v>
      </c>
      <c r="HT20" s="102">
        <f>MIN(1,MAX(VLOOKUP(($AJ20-$AI20-$AH20-$AG20-$AF20-$AE20*(1+HT$3))/$AJ20,Уголь_коэфф!$A:$B,2,1),(HS20-0.05)))</f>
        <v>1</v>
      </c>
      <c r="HU20" s="102">
        <f>MIN(1,MAX(VLOOKUP(($AJ20-$AI20-$AH20-$AG20-$AF20-$AE20*(1+HU$3))/$AJ20,Уголь_коэфф!$A:$B,2,1),(HT20-0.05)))</f>
        <v>1</v>
      </c>
      <c r="HV20" s="102">
        <f>MIN(1,MAX(VLOOKUP(($AJ20-$AI20-$AH20-$AG20-$AF20-$AE20*(1+HV$3))/$AJ20,Уголь_коэфф!$A:$B,2,1),(HU20-0.05)))</f>
        <v>1</v>
      </c>
      <c r="HW20" s="102">
        <f>MIN(1,MAX(VLOOKUP(($AJ20-$AI20-$AH20-$AG20-$AF20-$AE20*(1+HW$3))/$AJ20,Уголь_коэфф!$A:$B,2,1),(HV20-0.05)))</f>
        <v>1</v>
      </c>
      <c r="HX20" s="102">
        <f>MIN(1,MAX(VLOOKUP(($AJ20-$AI20-$AH20-$AG20-$AF20-$AE20*(1+HX$3))/$AJ20,Уголь_коэфф!$A:$B,2,1),(HW20-0.05)))</f>
        <v>1</v>
      </c>
      <c r="HY20" s="102">
        <f>MIN(1,MAX(VLOOKUP(($AJ20-$AI20-$AH20-$AG20-$AF20-$AE20*(1+HY$3))/$AJ20,Уголь_коэфф!$A:$B,2,1),(HX20-0.05)))</f>
        <v>1</v>
      </c>
      <c r="HZ20" s="102">
        <f>MIN(1,MAX(VLOOKUP(($AJ20-$AI20-$AH20-$AG20-$AF20-$AE20*(1+HZ$3))/$AJ20,Уголь_коэфф!$A:$B,2,1),(HY20-0.05)))</f>
        <v>1</v>
      </c>
      <c r="IA20" s="102">
        <f>MIN(1,MAX(VLOOKUP(($AJ20-$AI20-$AH20-$AG20-$AF20-$AE20*(1+IA$3))/$AJ20,Уголь_коэфф!$A:$B,2,1),(HZ20-0.05)))</f>
        <v>1</v>
      </c>
      <c r="IB20" s="102">
        <f>MIN(1,MAX(VLOOKUP(($AJ20-$AI20-$AH20-$AG20-$AF20-$AE20*(1+IB$3))/$AJ20,Уголь_коэфф!$A:$B,2,1),(IA20-0.05)))</f>
        <v>1</v>
      </c>
      <c r="IC20" s="102">
        <f>MIN(1,MAX(VLOOKUP(($AJ20-$AI20-$AH20-$AG20-$AF20-$AE20*(1+IC$3))/$AJ20,Уголь_коэфф!$A:$B,2,1),(IB20-0.05)))</f>
        <v>1</v>
      </c>
      <c r="ID20" s="102">
        <f>MIN(1,MAX(VLOOKUP(($AJ20-$AI20-$AH20-$AG20-$AF20-$AE20*(1+ID$3))/$AJ20,Уголь_коэфф!$A:$B,2,1),(IC20-0.05)))</f>
        <v>1</v>
      </c>
      <c r="IE20" s="102">
        <f>MIN(1,MAX(VLOOKUP(($AJ20-$AI20-$AH20-$AG20-$AF20-$AE20*(1+IE$3))/$AJ20,Уголь_коэфф!$A:$B,2,1),(ID20-0.05)))</f>
        <v>1</v>
      </c>
      <c r="IF20" s="102">
        <f>MIN(1,MAX(VLOOKUP(($AJ20-$AI20-$AH20-$AG20-$AF20-$AE20*(1+IF$3))/$AJ20,Уголь_коэфф!$A:$B,2,1),(IE20-0.05)))</f>
        <v>1</v>
      </c>
      <c r="IG20" s="102">
        <f>MIN(1,MAX(VLOOKUP(($AJ20-$AI20-$AH20-$AG20-$AF20-$AE20*(1+IG$3))/$AJ20,Уголь_коэфф!$A:$B,2,1),(IF20-0.05)))</f>
        <v>1</v>
      </c>
      <c r="IH20" s="102">
        <f>MIN(1,MAX(VLOOKUP(($AJ20-$AI20-$AH20-$AG20-$AF20-$AE20*(1+IH$3))/$AJ20,Уголь_коэфф!$A:$B,2,1),(IG20-0.05)))</f>
        <v>1</v>
      </c>
      <c r="II20" s="102">
        <f>MIN(1,MAX(VLOOKUP(($AJ20-$AI20-$AH20-$AG20-$AF20-$AE20*(1+II$3))/$AJ20,Уголь_коэфф!$A:$B,2,1),(IH20-0.05)))</f>
        <v>1</v>
      </c>
      <c r="IJ20" s="102">
        <f>MIN(1,MAX(VLOOKUP(($AJ20-$AI20-$AH20-$AG20-$AF20-$AE20*(1+IJ$3))/$AJ20,Уголь_коэфф!$A:$B,2,1),(II20-0.05)))</f>
        <v>1</v>
      </c>
      <c r="IK20" s="102">
        <f>MIN(1,MAX(VLOOKUP(($AJ20-$AI20-$AH20-$AG20-$AF20-$AE20*(1+IK$3))/$AJ20,Уголь_коэфф!$A:$B,2,1),(IJ20-0.05)))</f>
        <v>1</v>
      </c>
      <c r="IL20" s="102">
        <f>MIN(1,MAX(VLOOKUP(($AJ20-$AI20-$AH20-$AG20-$AF20-$AE20*(1+IL$3))/$AJ20,Уголь_коэфф!$A:$B,2,1),(IK20-0.05)))</f>
        <v>1</v>
      </c>
      <c r="IM20" s="102">
        <f>MIN(1,MAX(VLOOKUP(($AJ20-$AI20-$AH20-$AG20-$AF20-$AE20*(1+IM$3))/$AJ20,Уголь_коэфф!$A:$B,2,1),(IL20-0.05)))</f>
        <v>1</v>
      </c>
      <c r="IN20" s="102">
        <f>MIN(1,MAX(VLOOKUP(($AJ20-$AI20-$AH20-$AG20-$AF20-$AE20*(1+IN$3))/$AJ20,Уголь_коэфф!$A:$B,2,1),(IM20-0.05)))</f>
        <v>1</v>
      </c>
      <c r="IO20" s="102">
        <f>MIN(1,MAX(VLOOKUP(($AJ20-$AI20-$AH20-$AG20-$AF20-$AE20*(1+IO$3))/$AJ20,Уголь_коэфф!$A:$B,2,1),(IN20-0.05)))</f>
        <v>1</v>
      </c>
      <c r="IP20" s="102">
        <f>MIN(1,MAX(VLOOKUP(($AJ20-$AI20-$AH20-$AG20-$AF20-$AE20*(1+IP$3))/$AJ20,Уголь_коэфф!$A:$B,2,1),(IO20-0.05)))</f>
        <v>1</v>
      </c>
      <c r="IQ20" s="102">
        <f>MIN(1,MAX(VLOOKUP(($AJ20-$AI20-$AH20-$AG20-$AF20-$AE20*(1+IQ$3))/$AJ20,Уголь_коэфф!$A:$B,2,1),(IP20-0.05)))</f>
        <v>1</v>
      </c>
      <c r="IR20" s="102">
        <f>MIN(1,MAX(VLOOKUP(($AJ20-$AI20-$AH20-$AG20-$AF20-$AE20*(1+IR$3))/$AJ20,Уголь_коэфф!$A:$B,2,1),(IQ20-0.05)))</f>
        <v>1</v>
      </c>
      <c r="IS20" s="102">
        <f t="shared" si="20"/>
        <v>1</v>
      </c>
      <c r="IT20" s="102">
        <f t="shared" si="7"/>
        <v>1</v>
      </c>
      <c r="IU20" s="110"/>
    </row>
    <row r="21" spans="1:255" ht="14.6" customHeight="1">
      <c r="A21" t="s">
        <v>239</v>
      </c>
      <c r="B21" s="141">
        <v>1</v>
      </c>
      <c r="C21" s="142" t="s">
        <v>16</v>
      </c>
      <c r="D21" s="143">
        <v>16118</v>
      </c>
      <c r="E21" s="143" t="s">
        <v>65</v>
      </c>
      <c r="F21" s="142" t="s">
        <v>18</v>
      </c>
      <c r="G21" s="142" t="s">
        <v>45</v>
      </c>
      <c r="H21" s="143" t="s">
        <v>19</v>
      </c>
      <c r="I21" s="143" t="s">
        <v>113</v>
      </c>
      <c r="J21" s="143" t="s">
        <v>114</v>
      </c>
      <c r="K21" s="143">
        <v>5804</v>
      </c>
      <c r="L21" s="143" t="s">
        <v>22</v>
      </c>
      <c r="M21" s="143" t="s">
        <v>23</v>
      </c>
      <c r="N21" s="143" t="s">
        <v>24</v>
      </c>
      <c r="O21" s="143" t="s">
        <v>25</v>
      </c>
      <c r="P21" s="144">
        <v>160212</v>
      </c>
      <c r="Q21" s="144" t="s">
        <v>115</v>
      </c>
      <c r="R21" s="143" t="s">
        <v>116</v>
      </c>
      <c r="S21" s="147">
        <v>1133165</v>
      </c>
      <c r="T21" s="145">
        <v>6576368768</v>
      </c>
      <c r="U21" s="145">
        <v>15452</v>
      </c>
      <c r="V21" s="145"/>
      <c r="W21" s="148">
        <v>2258203125</v>
      </c>
      <c r="X21" s="104">
        <v>75</v>
      </c>
      <c r="Y21" s="104" t="s">
        <v>163</v>
      </c>
      <c r="Z21" s="107">
        <v>12</v>
      </c>
      <c r="AA21" s="107">
        <v>13</v>
      </c>
      <c r="AB21" s="107">
        <v>4</v>
      </c>
      <c r="AC21" s="88">
        <v>2152.64</v>
      </c>
      <c r="AD21" s="88">
        <v>1013.71</v>
      </c>
      <c r="AE21" s="88">
        <f t="shared" ref="AE21:AE23" si="26">AC21+AD21</f>
        <v>3166.35</v>
      </c>
      <c r="AF21" s="89">
        <f>'Цены,перевалка,аренда'!$C$26*SUM(Уголь_эластика_экспорт!Z21+Уголь_эластика_экспорт!AA21+Уголь_эластика_экспорт!AB21)/Уголь_эластика_экспорт!X21</f>
        <v>386.66666666666669</v>
      </c>
      <c r="AG21" s="90">
        <f>SUMIF('Цены,перевалка,аренда'!$A$20:$A$22,Уголь_эластика_экспорт!$O21,'Цены,перевалка,аренда'!$D$20:$D$22)</f>
        <v>763.05499999999995</v>
      </c>
      <c r="AH21" s="47"/>
      <c r="AI21" s="91">
        <v>4817</v>
      </c>
      <c r="AJ21" s="92">
        <f>SUMIF('Цены,перевалка,аренда'!$A$5:$A$17,Уголь_эластика_экспорт!A21,'Цены,перевалка,аренда'!$D$5:$D$17)</f>
        <v>8546.2160000000003</v>
      </c>
      <c r="AK21" s="47">
        <f>AJ21/'Цены,перевалка,аренда'!$C$1</f>
        <v>112.00000000000001</v>
      </c>
      <c r="AL21" s="47">
        <f t="shared" si="9"/>
        <v>4316.0716666666667</v>
      </c>
      <c r="AM21" s="47">
        <f t="shared" si="10"/>
        <v>4230.1443333333336</v>
      </c>
      <c r="AN21" s="47">
        <f t="shared" si="11"/>
        <v>9133.0716666666667</v>
      </c>
      <c r="AO21" s="93">
        <f t="shared" si="12"/>
        <v>-6.8668480490858913E-2</v>
      </c>
      <c r="AP21" s="94">
        <f t="shared" si="13"/>
        <v>0.50502721516360771</v>
      </c>
      <c r="AQ21" s="94">
        <f t="shared" si="5"/>
        <v>0.370497305474142</v>
      </c>
      <c r="AR21" s="94">
        <f t="shared" si="6"/>
        <v>0.73361849490450992</v>
      </c>
      <c r="AS21" s="167">
        <f t="shared" si="14"/>
        <v>0.95</v>
      </c>
      <c r="AT21" s="173">
        <f t="shared" si="15"/>
        <v>1076506.75</v>
      </c>
      <c r="AU21" s="97">
        <f>15/17</f>
        <v>0.88235294117647056</v>
      </c>
      <c r="AV21" s="93">
        <f t="shared" si="16"/>
        <v>-0.1131281571477559</v>
      </c>
      <c r="AW21" s="94">
        <f t="shared" si="17"/>
        <v>0.54948689182050481</v>
      </c>
      <c r="AX21" s="94">
        <f t="shared" si="18"/>
        <v>0.4149569821310391</v>
      </c>
      <c r="AY21" s="94">
        <f t="shared" si="19"/>
        <v>0.75517175806732217</v>
      </c>
      <c r="AZ21" s="102">
        <f>MIN(IF($AU21=100%,1,1+VLOOKUP(($AJ21-$AI21-$AH21-$AG21-$AF21-$AE21*(1+AZ$3))/$AJ21,Уголь_коэфф!$A:$B,2,1)-VLOOKUP($AO21,Уголь_коэфф!$A:$B,2,1)),1+(1-$AU21))</f>
        <v>1.0699999999999998</v>
      </c>
      <c r="BA21" s="102">
        <f>MIN(IF($AU21=100%,1,1+VLOOKUP(($AJ21-$AI21-$AH21-$AG21-$AF21-$AE21*(1+BA$3))/$AJ21,Уголь_коэфф!$A:$B,2,1)-VLOOKUP($AO21,Уголь_коэфф!$A:$B,2,1)),1+(1-$AU21))</f>
        <v>1.0699999999999998</v>
      </c>
      <c r="BB21" s="102">
        <f>MIN(IF($AU21=100%,1,1+VLOOKUP(($AJ21-$AI21-$AH21-$AG21-$AF21-$AE21*(1+BB$3))/$AJ21,Уголь_коэфф!$A:$B,2,1)-VLOOKUP($AO21,Уголь_коэфф!$A:$B,2,1)),1+(1-$AU21))</f>
        <v>1.0699999999999998</v>
      </c>
      <c r="BC21" s="102">
        <f>MIN(IF($AU21=100%,1,1+VLOOKUP(($AJ21-$AI21-$AH21-$AG21-$AF21-$AE21*(1+BC$3))/$AJ21,Уголь_коэфф!$A:$B,2,1)-VLOOKUP($AO21,Уголь_коэфф!$A:$B,2,1)),1+(1-$AU21))</f>
        <v>1.0699999999999998</v>
      </c>
      <c r="BD21" s="102">
        <f>MIN(IF($AU21=100%,1,1+VLOOKUP(($AJ21-$AI21-$AH21-$AG21-$AF21-$AE21*(1+BD$3))/$AJ21,Уголь_коэфф!$A:$B,2,1)-VLOOKUP($AO21,Уголь_коэфф!$A:$B,2,1)),1+(1-$AU21))</f>
        <v>1.0649999999999999</v>
      </c>
      <c r="BE21" s="102">
        <f>MIN(IF($AU21=100%,1,1+VLOOKUP(($AJ21-$AI21-$AH21-$AG21-$AF21-$AE21*(1+BE$3))/$AJ21,Уголь_коэфф!$A:$B,2,1)-VLOOKUP($AO21,Уголь_коэфф!$A:$B,2,1)),1+(1-$AU21))</f>
        <v>1.0649999999999999</v>
      </c>
      <c r="BF21" s="102">
        <f>MIN(IF($AU21=100%,1,1+VLOOKUP(($AJ21-$AI21-$AH21-$AG21-$AF21-$AE21*(1+BF$3))/$AJ21,Уголь_коэфф!$A:$B,2,1)-VLOOKUP($AO21,Уголь_коэфф!$A:$B,2,1)),1+(1-$AU21))</f>
        <v>1.0649999999999999</v>
      </c>
      <c r="BG21" s="102">
        <f>MIN(IF($AU21=100%,1,1+VLOOKUP(($AJ21-$AI21-$AH21-$AG21-$AF21-$AE21*(1+BG$3))/$AJ21,Уголь_коэфф!$A:$B,2,1)-VLOOKUP($AO21,Уголь_коэфф!$A:$B,2,1)),1+(1-$AU21))</f>
        <v>1.0649999999999999</v>
      </c>
      <c r="BH21" s="102">
        <f>MIN(IF($AU21=100%,1,1+VLOOKUP(($AJ21-$AI21-$AH21-$AG21-$AF21-$AE21*(1+BH$3))/$AJ21,Уголь_коэфф!$A:$B,2,1)-VLOOKUP($AO21,Уголь_коэфф!$A:$B,2,1)),1+(1-$AU21))</f>
        <v>1.0649999999999999</v>
      </c>
      <c r="BI21" s="102">
        <f>MIN(IF($AU21=100%,1,1+VLOOKUP(($AJ21-$AI21-$AH21-$AG21-$AF21-$AE21*(1+BI$3))/$AJ21,Уголь_коэфф!$A:$B,2,1)-VLOOKUP($AO21,Уголь_коэфф!$A:$B,2,1)),1+(1-$AU21))</f>
        <v>1.06</v>
      </c>
      <c r="BJ21" s="102">
        <f>MIN(IF($AU21=100%,1,1+VLOOKUP(($AJ21-$AI21-$AH21-$AG21-$AF21-$AE21*(1+BJ$3))/$AJ21,Уголь_коэфф!$A:$B,2,1)-VLOOKUP($AO21,Уголь_коэфф!$A:$B,2,1)),1+(1-$AU21))</f>
        <v>1.06</v>
      </c>
      <c r="BK21" s="102">
        <f>MIN(IF($AU21=100%,1,1+VLOOKUP(($AJ21-$AI21-$AH21-$AG21-$AF21-$AE21*(1+BK$3))/$AJ21,Уголь_коэфф!$A:$B,2,1)-VLOOKUP($AO21,Уголь_коэфф!$A:$B,2,1)),1+(1-$AU21))</f>
        <v>1.06</v>
      </c>
      <c r="BL21" s="102">
        <f>MIN(IF($AU21=100%,1,1+VLOOKUP(($AJ21-$AI21-$AH21-$AG21-$AF21-$AE21*(1+BL$3))/$AJ21,Уголь_коэфф!$A:$B,2,1)-VLOOKUP($AO21,Уголь_коэфф!$A:$B,2,1)),1+(1-$AU21))</f>
        <v>1.06</v>
      </c>
      <c r="BM21" s="102">
        <f>MIN(IF($AU21=100%,1,1+VLOOKUP(($AJ21-$AI21-$AH21-$AG21-$AF21-$AE21*(1+BM$3))/$AJ21,Уголь_коэфф!$A:$B,2,1)-VLOOKUP($AO21,Уголь_коэфф!$A:$B,2,1)),1+(1-$AU21))</f>
        <v>1.06</v>
      </c>
      <c r="BN21" s="102">
        <f>MIN(IF($AU21=100%,1,1+VLOOKUP(($AJ21-$AI21-$AH21-$AG21-$AF21-$AE21*(1+BN$3))/$AJ21,Уголь_коэфф!$A:$B,2,1)-VLOOKUP($AO21,Уголь_коэфф!$A:$B,2,1)),1+(1-$AU21))</f>
        <v>1.06</v>
      </c>
      <c r="BO21" s="102">
        <f>MIN(IF($AU21=100%,1,1+VLOOKUP(($AJ21-$AI21-$AH21-$AG21-$AF21-$AE21*(1+BO$3))/$AJ21,Уголь_коэфф!$A:$B,2,1)-VLOOKUP($AO21,Уголь_коэфф!$A:$B,2,1)),1+(1-$AU21))</f>
        <v>1.0550000000000002</v>
      </c>
      <c r="BP21" s="102">
        <f>MIN(IF($AU21=100%,1,1+VLOOKUP(($AJ21-$AI21-$AH21-$AG21-$AF21-$AE21*(1+BP$3))/$AJ21,Уголь_коэфф!$A:$B,2,1)-VLOOKUP($AO21,Уголь_коэфф!$A:$B,2,1)),1+(1-$AU21))</f>
        <v>1.0550000000000002</v>
      </c>
      <c r="BQ21" s="102">
        <f>MIN(IF($AU21=100%,1,1+VLOOKUP(($AJ21-$AI21-$AH21-$AG21-$AF21-$AE21*(1+BQ$3))/$AJ21,Уголь_коэфф!$A:$B,2,1)-VLOOKUP($AO21,Уголь_коэфф!$A:$B,2,1)),1+(1-$AU21))</f>
        <v>1.0550000000000002</v>
      </c>
      <c r="BR21" s="102">
        <f>MIN(IF($AU21=100%,1,1+VLOOKUP(($AJ21-$AI21-$AH21-$AG21-$AF21-$AE21*(1+BR$3))/$AJ21,Уголь_коэфф!$A:$B,2,1)-VLOOKUP($AO21,Уголь_коэфф!$A:$B,2,1)),1+(1-$AU21))</f>
        <v>1.0550000000000002</v>
      </c>
      <c r="BS21" s="102">
        <f>MIN(IF($AU21=100%,1,1+VLOOKUP(($AJ21-$AI21-$AH21-$AG21-$AF21-$AE21*(1+BS$3))/$AJ21,Уголь_коэфф!$A:$B,2,1)-VLOOKUP($AO21,Уголь_коэфф!$A:$B,2,1)),1+(1-$AU21))</f>
        <v>1.0550000000000002</v>
      </c>
      <c r="BT21" s="102">
        <f>MIN(IF($AU21=100%,1,1+VLOOKUP(($AJ21-$AI21-$AH21-$AG21-$AF21-$AE21*(1+BT$3))/$AJ21,Уголь_коэфф!$A:$B,2,1)-VLOOKUP($AO21,Уголь_коэфф!$A:$B,2,1)),1+(1-$AU21))</f>
        <v>1.0499999999999998</v>
      </c>
      <c r="BU21" s="102">
        <f>MIN(IF($AU21=100%,1,1+VLOOKUP(($AJ21-$AI21-$AH21-$AG21-$AF21-$AE21*(1+BU$3))/$AJ21,Уголь_коэфф!$A:$B,2,1)-VLOOKUP($AO21,Уголь_коэфф!$A:$B,2,1)),1+(1-$AU21))</f>
        <v>1.0499999999999998</v>
      </c>
      <c r="BV21" s="102">
        <f>MIN(IF($AU21=100%,1,1+VLOOKUP(($AJ21-$AI21-$AH21-$AG21-$AF21-$AE21*(1+BV$3))/$AJ21,Уголь_коэфф!$A:$B,2,1)-VLOOKUP($AO21,Уголь_коэфф!$A:$B,2,1)),1+(1-$AU21))</f>
        <v>1.0499999999999998</v>
      </c>
      <c r="BW21" s="102">
        <f>MIN(IF($AU21=100%,1,1+VLOOKUP(($AJ21-$AI21-$AH21-$AG21-$AF21-$AE21*(1+BW$3))/$AJ21,Уголь_коэфф!$A:$B,2,1)-VLOOKUP($AO21,Уголь_коэфф!$A:$B,2,1)),1+(1-$AU21))</f>
        <v>1.0499999999999998</v>
      </c>
      <c r="BX21" s="102">
        <f>MIN(IF($AU21=100%,1,1+VLOOKUP(($AJ21-$AI21-$AH21-$AG21-$AF21-$AE21*(1+BX$3))/$AJ21,Уголь_коэфф!$A:$B,2,1)-VLOOKUP($AO21,Уголь_коэфф!$A:$B,2,1)),1+(1-$AU21))</f>
        <v>1.0499999999999998</v>
      </c>
      <c r="BY21" s="102">
        <f>MIN(IF($AU21=100%,1,1+VLOOKUP(($AJ21-$AI21-$AH21-$AG21-$AF21-$AE21*(1+BY$3))/$AJ21,Уголь_коэфф!$A:$B,2,1)-VLOOKUP($AO21,Уголь_коэфф!$A:$B,2,1)),1+(1-$AU21))</f>
        <v>1.0499999999999998</v>
      </c>
      <c r="BZ21" s="102">
        <f>MIN(IF($AU21=100%,1,1+VLOOKUP(($AJ21-$AI21-$AH21-$AG21-$AF21-$AE21*(1+BZ$3))/$AJ21,Уголь_коэфф!$A:$B,2,1)-VLOOKUP($AO21,Уголь_коэфф!$A:$B,2,1)),1+(1-$AU21))</f>
        <v>1.0499999999999998</v>
      </c>
      <c r="CA21" s="102">
        <f>MIN(IF($AU21=100%,1,1+VLOOKUP(($AJ21-$AI21-$AH21-$AG21-$AF21-$AE21*(1+CA$3))/$AJ21,Уголь_коэфф!$A:$B,2,1)-VLOOKUP($AO21,Уголь_коэфф!$A:$B,2,1)),1+(1-$AU21))</f>
        <v>1.0499999999999998</v>
      </c>
      <c r="CB21" s="102">
        <f>MIN(IF($AU21=100%,1,1+VLOOKUP(($AJ21-$AI21-$AH21-$AG21-$AF21-$AE21*(1+CB$3))/$AJ21,Уголь_коэфф!$A:$B,2,1)-VLOOKUP($AO21,Уголь_коэфф!$A:$B,2,1)),1+(1-$AU21))</f>
        <v>1.0499999999999998</v>
      </c>
      <c r="CC21" s="102">
        <f>MIN(IF($AU21=100%,1,1+VLOOKUP(($AJ21-$AI21-$AH21-$AG21-$AF21-$AE21*(1+CC$3))/$AJ21,Уголь_коэфф!$A:$B,2,1)-VLOOKUP($AO21,Уголь_коэфф!$A:$B,2,1)),1+(1-$AU21))</f>
        <v>1.0499999999999998</v>
      </c>
      <c r="CD21" s="102">
        <f>MIN(IF($AU21=100%,1,1+VLOOKUP(($AJ21-$AI21-$AH21-$AG21-$AF21-$AE21*(1+CD$3))/$AJ21,Уголь_коэфф!$A:$B,2,1)-VLOOKUP($AO21,Уголь_коэфф!$A:$B,2,1)),1+(1-$AU21))</f>
        <v>1.0499999999999998</v>
      </c>
      <c r="CE21" s="102">
        <f>MIN(IF($AU21=100%,1,1+VLOOKUP(($AJ21-$AI21-$AH21-$AG21-$AF21-$AE21*(1+CE$3))/$AJ21,Уголь_коэфф!$A:$B,2,1)-VLOOKUP($AO21,Уголь_коэфф!$A:$B,2,1)),1+(1-$AU21))</f>
        <v>1.0499999999999998</v>
      </c>
      <c r="CF21" s="102">
        <f>MIN(IF($AU21=100%,1,1+VLOOKUP(($AJ21-$AI21-$AH21-$AG21-$AF21-$AE21*(1+CF$3))/$AJ21,Уголь_коэфф!$A:$B,2,1)-VLOOKUP($AO21,Уголь_коэфф!$A:$B,2,1)),1+(1-$AU21))</f>
        <v>1.0499999999999998</v>
      </c>
      <c r="CG21" s="102">
        <f>MIN(IF($AU21=100%,1,1+VLOOKUP(($AJ21-$AI21-$AH21-$AG21-$AF21-$AE21*(1+CG$3))/$AJ21,Уголь_коэфф!$A:$B,2,1)-VLOOKUP($AO21,Уголь_коэфф!$A:$B,2,1)),1+(1-$AU21))</f>
        <v>1.0499999999999998</v>
      </c>
      <c r="CH21" s="102">
        <f>MIN(IF($AU21=100%,1,1+VLOOKUP(($AJ21-$AI21-$AH21-$AG21-$AF21-$AE21*(1+CH$3))/$AJ21,Уголь_коэфф!$A:$B,2,1)-VLOOKUP($AO21,Уголь_коэфф!$A:$B,2,1)),1+(1-$AU21))</f>
        <v>1.0499999999999998</v>
      </c>
      <c r="CI21" s="102">
        <f>MIN(IF($AU21=100%,1,1+VLOOKUP(($AJ21-$AI21-$AH21-$AG21-$AF21-$AE21*(1+CI$3))/$AJ21,Уголь_коэфф!$A:$B,2,1)-VLOOKUP($AO21,Уголь_коэфф!$A:$B,2,1)),1+(1-$AU21))</f>
        <v>1.0499999999999998</v>
      </c>
      <c r="CJ21" s="102">
        <f>MIN(IF($AU21=100%,1,1+VLOOKUP(($AJ21-$AI21-$AH21-$AG21-$AF21-$AE21*(1+CJ$3))/$AJ21,Уголь_коэфф!$A:$B,2,1)-VLOOKUP($AO21,Уголь_коэфф!$A:$B,2,1)),1+(1-$AU21))</f>
        <v>1.0249999999999999</v>
      </c>
      <c r="CK21" s="102">
        <f>MIN(IF($AU21=100%,1,1+VLOOKUP(($AJ21-$AI21-$AH21-$AG21-$AF21-$AE21*(1+CK$3))/$AJ21,Уголь_коэфф!$A:$B,2,1)-VLOOKUP($AO21,Уголь_коэфф!$A:$B,2,1)),1+(1-$AU21))</f>
        <v>1.0249999999999999</v>
      </c>
      <c r="CL21" s="102">
        <f>MIN(IF($AU21=100%,1,1+VLOOKUP(($AJ21-$AI21-$AH21-$AG21-$AF21-$AE21*(1+CL$3))/$AJ21,Уголь_коэфф!$A:$B,2,1)-VLOOKUP($AO21,Уголь_коэфф!$A:$B,2,1)),1+(1-$AU21))</f>
        <v>1.0249999999999999</v>
      </c>
      <c r="CM21" s="102">
        <f>MIN(IF($AU21=100%,1,1+VLOOKUP(($AJ21-$AI21-$AH21-$AG21-$AF21-$AE21*(1+CM$3))/$AJ21,Уголь_коэфф!$A:$B,2,1)-VLOOKUP($AO21,Уголь_коэфф!$A:$B,2,1)),1+(1-$AU21))</f>
        <v>1.0249999999999999</v>
      </c>
      <c r="CN21" s="102">
        <f>MIN(IF($AU21=100%,1,1+VLOOKUP(($AJ21-$AI21-$AH21-$AG21-$AF21-$AE21*(1+CN$3))/$AJ21,Уголь_коэфф!$A:$B,2,1)-VLOOKUP($AO21,Уголь_коэфф!$A:$B,2,1)),1+(1-$AU21))</f>
        <v>1.0249999999999999</v>
      </c>
      <c r="CO21" s="102">
        <f>MIN(IF($AU21=100%,1,1+VLOOKUP(($AJ21-$AI21-$AH21-$AG21-$AF21-$AE21*(1+CO$3))/$AJ21,Уголь_коэфф!$A:$B,2,1)-VLOOKUP($AO21,Уголь_коэфф!$A:$B,2,1)),1+(1-$AU21))</f>
        <v>1.0249999999999999</v>
      </c>
      <c r="CP21" s="102">
        <f>MIN(IF($AU21=100%,1,1+VLOOKUP(($AJ21-$AI21-$AH21-$AG21-$AF21-$AE21*(1+CP$3))/$AJ21,Уголь_коэфф!$A:$B,2,1)-VLOOKUP($AO21,Уголь_коэфф!$A:$B,2,1)),1+(1-$AU21))</f>
        <v>1.0249999999999999</v>
      </c>
      <c r="CQ21" s="102">
        <f>MIN(IF($AU21=100%,1,1+VLOOKUP(($AJ21-$AI21-$AH21-$AG21-$AF21-$AE21*(1+CQ$3))/$AJ21,Уголь_коэфф!$A:$B,2,1)-VLOOKUP($AO21,Уголь_коэфф!$A:$B,2,1)),1+(1-$AU21))</f>
        <v>1.0249999999999999</v>
      </c>
      <c r="CR21" s="102">
        <f>MIN(IF($AU21=100%,1,1+VLOOKUP(($AJ21-$AI21-$AH21-$AG21-$AF21-$AE21*(1+CR$3))/$AJ21,Уголь_коэфф!$A:$B,2,1)-VLOOKUP($AO21,Уголь_коэфф!$A:$B,2,1)),1+(1-$AU21))</f>
        <v>1.0249999999999999</v>
      </c>
      <c r="CS21" s="102">
        <f>MIN(IF($AU21=100%,1,1+VLOOKUP(($AJ21-$AI21-$AH21-$AG21-$AF21-$AE21*(1+CS$3))/$AJ21,Уголь_коэфф!$A:$B,2,1)-VLOOKUP($AO21,Уголь_коэфф!$A:$B,2,1)),1+(1-$AU21))</f>
        <v>1.0249999999999999</v>
      </c>
      <c r="CT21" s="102">
        <f>MIN(IF($AU21=100%,1,1+VLOOKUP(($AJ21-$AI21-$AH21-$AG21-$AF21-$AE21*(1+CT$3))/$AJ21,Уголь_коэфф!$A:$B,2,1)-VLOOKUP($AO21,Уголь_коэфф!$A:$B,2,1)),1+(1-$AU21))</f>
        <v>1.0249999999999999</v>
      </c>
      <c r="CU21" s="102">
        <f>MIN(IF($AU21=100%,1,1+VLOOKUP(($AJ21-$AI21-$AH21-$AG21-$AF21-$AE21*(1+CU$3))/$AJ21,Уголь_коэфф!$A:$B,2,1)-VLOOKUP($AO21,Уголь_коэфф!$A:$B,2,1)),1+(1-$AU21))</f>
        <v>1.0249999999999999</v>
      </c>
      <c r="CV21" s="102">
        <f>MIN(IF($AU21=100%,1,1+VLOOKUP(($AJ21-$AI21-$AH21-$AG21-$AF21-$AE21*(1+CV$3))/$AJ21,Уголь_коэфф!$A:$B,2,1)-VLOOKUP($AO21,Уголь_коэфф!$A:$B,2,1)),1+(1-$AU21))</f>
        <v>1.0249999999999999</v>
      </c>
      <c r="CW21" s="102">
        <f>MIN(IF($AU21=100%,1,1+VLOOKUP(($AJ21-$AI21-$AH21-$AG21-$AF21-$AE21*(1+CW$3))/$AJ21,Уголь_коэфф!$A:$B,2,1)-VLOOKUP($AO21,Уголь_коэфф!$A:$B,2,1)),1+(1-$AU21))</f>
        <v>1.0249999999999999</v>
      </c>
      <c r="CX21" s="102">
        <f>MIN(IF($AU21=100%,1,1+VLOOKUP(($AJ21-$AI21-$AH21-$AG21-$AF21-$AE21*(1+CX$3))/$AJ21,Уголь_коэфф!$A:$B,2,1)-VLOOKUP($AO21,Уголь_коэфф!$A:$B,2,1)),1+(1-$AU21))</f>
        <v>1.0249999999999999</v>
      </c>
      <c r="CY21" s="102">
        <f>MIN(IF($AU21=100%,1,1+VLOOKUP(($AJ21-$AI21-$AH21-$AG21-$AF21-$AE21*(1+CY$3))/$AJ21,Уголь_коэфф!$A:$B,2,1)-VLOOKUP($AO21,Уголь_коэфф!$A:$B,2,1)),1+(1-$AU21))</f>
        <v>1.0249999999999999</v>
      </c>
      <c r="CZ21" s="102">
        <f>MIN(IF($AU21=100%,1,1+VLOOKUP(($AJ21-$AI21-$AH21-$AG21-$AF21-$AE21*(1+CZ$3))/$AJ21,Уголь_коэфф!$A:$B,2,1)-VLOOKUP($AO21,Уголь_коэфф!$A:$B,2,1)),1+(1-$AU21))</f>
        <v>1.0249999999999999</v>
      </c>
      <c r="DA21" s="102">
        <f>MIN(IF($AU21=100%,1,1+VLOOKUP(($AJ21-$AI21-$AH21-$AG21-$AF21-$AE21*(1+DA$3))/$AJ21,Уголь_коэфф!$A:$B,2,1)-VLOOKUP($AO21,Уголь_коэфф!$A:$B,2,1)),1+(1-$AU21))</f>
        <v>1.0249999999999999</v>
      </c>
      <c r="DB21" s="102">
        <f>MIN(IF($AU21=100%,1,1+VLOOKUP(($AJ21-$AI21-$AH21-$AG21-$AF21-$AE21*(1+DB$3))/$AJ21,Уголь_коэфф!$A:$B,2,1)-VLOOKUP($AO21,Уголь_коэфф!$A:$B,2,1)),1+(1-$AU21))</f>
        <v>1.0249999999999999</v>
      </c>
      <c r="DC21" s="102">
        <f>MIN(IF($AU21=100%,1,1+VLOOKUP(($AJ21-$AI21-$AH21-$AG21-$AF21-$AE21*(1+DC$3))/$AJ21,Уголь_коэфф!$A:$B,2,1)-VLOOKUP($AO21,Уголь_коэфф!$A:$B,2,1)),1+(1-$AU21))</f>
        <v>1.0249999999999999</v>
      </c>
      <c r="DD21" s="102">
        <f>MIN(IF($AU21=100%,1,1+VLOOKUP(($AJ21-$AI21-$AH21-$AG21-$AF21-$AE21*(1+DD$3))/$AJ21,Уголь_коэфф!$A:$B,2,1)-VLOOKUP($AO21,Уголь_коэфф!$A:$B,2,1)),1+(1-$AU21))</f>
        <v>1.0249999999999999</v>
      </c>
      <c r="DE21" s="102">
        <f>MIN(IF($AU21=100%,1,1+VLOOKUP(($AJ21-$AI21-$AH21-$AG21-$AF21-$AE21*(1+DE$3))/$AJ21,Уголь_коэфф!$A:$B,2,1)-VLOOKUP($AO21,Уголь_коэфф!$A:$B,2,1)),1+(1-$AU21))</f>
        <v>1.0249999999999999</v>
      </c>
      <c r="DF21" s="102">
        <f>MIN(IF($AU21=100%,1,1+VLOOKUP(($AJ21-$AI21-$AH21-$AG21-$AF21-$AE21*(1+DF$3))/$AJ21,Уголь_коэфф!$A:$B,2,1)-VLOOKUP($AO21,Уголь_коэфф!$A:$B,2,1)),1+(1-$AU21))</f>
        <v>1.0249999999999999</v>
      </c>
      <c r="DG21" s="102">
        <f>MIN(IF($AU21=100%,1,1+VLOOKUP(($AJ21-$AI21-$AH21-$AG21-$AF21-$AE21*(1+DG$3))/$AJ21,Уголь_коэфф!$A:$B,2,1)-VLOOKUP($AO21,Уголь_коэфф!$A:$B,2,1)),1+(1-$AU21))</f>
        <v>1.0249999999999999</v>
      </c>
      <c r="DH21" s="102">
        <f>MIN(IF($AU21=100%,1,1+VLOOKUP(($AJ21-$AI21-$AH21-$AG21-$AF21-$AE21*(1+DH$3))/$AJ21,Уголь_коэфф!$A:$B,2,1)-VLOOKUP($AO21,Уголь_коэфф!$A:$B,2,1)),1+(1-$AU21))</f>
        <v>1.0249999999999999</v>
      </c>
      <c r="DI21" s="102">
        <f>MIN(IF($AU21=100%,1,1+VLOOKUP(($AJ21-$AI21-$AH21-$AG21-$AF21-$AE21*(1+DI$3))/$AJ21,Уголь_коэфф!$A:$B,2,1)-VLOOKUP($AO21,Уголь_коэфф!$A:$B,2,1)),1+(1-$AU21))</f>
        <v>1.0249999999999999</v>
      </c>
      <c r="DJ21" s="102">
        <f>MIN(IF($AU21=100%,1,1+VLOOKUP(($AJ21-$AI21-$AH21-$AG21-$AF21-$AE21*(1+DJ$3))/$AJ21,Уголь_коэфф!$A:$B,2,1)-VLOOKUP($AO21,Уголь_коэфф!$A:$B,2,1)),1+(1-$AU21))</f>
        <v>1.0249999999999999</v>
      </c>
      <c r="DK21" s="102">
        <f>MIN(IF($AU21=100%,1,1+VLOOKUP(($AJ21-$AI21-$AH21-$AG21-$AF21-$AE21*(1+DK$3))/$AJ21,Уголь_коэфф!$A:$B,2,1)-VLOOKUP($AO21,Уголь_коэфф!$A:$B,2,1)),1+(1-$AU21))</f>
        <v>1.0249999999999999</v>
      </c>
      <c r="DL21" s="102">
        <f>MIN(IF($AU21=100%,1,1+VLOOKUP(($AJ21-$AI21-$AH21-$AG21-$AF21-$AE21*(1+DL$3))/$AJ21,Уголь_коэфф!$A:$B,2,1)-VLOOKUP($AO21,Уголь_коэфф!$A:$B,2,1)),1+(1-$AU21))</f>
        <v>1.0249999999999999</v>
      </c>
      <c r="DM21" s="102">
        <f>MIN(IF($AU21=100%,1,1+VLOOKUP(($AJ21-$AI21-$AH21-$AG21-$AF21-$AE21*(1+DM$3))/$AJ21,Уголь_коэфф!$A:$B,2,1)-VLOOKUP($AO21,Уголь_коэфф!$A:$B,2,1)),1+(1-$AU21))</f>
        <v>1.0249999999999999</v>
      </c>
      <c r="DN21" s="102">
        <f>MIN(IF($AU21=100%,1,1+VLOOKUP(($AJ21-$AI21-$AH21-$AG21-$AF21-$AE21*(1+DN$3))/$AJ21,Уголь_коэфф!$A:$B,2,1)-VLOOKUP($AO21,Уголь_коэфф!$A:$B,2,1)),1+(1-$AU21))</f>
        <v>1.0249999999999999</v>
      </c>
      <c r="DO21" s="102">
        <f>MIN(IF($AU21=100%,1,1+VLOOKUP(($AJ21-$AI21-$AH21-$AG21-$AF21-$AE21*(1+DO$3))/$AJ21,Уголь_коэфф!$A:$B,2,1)-VLOOKUP($AO21,Уголь_коэфф!$A:$B,2,1)),1+(1-$AU21))</f>
        <v>1.0249999999999999</v>
      </c>
      <c r="DP21" s="102">
        <f>MIN(IF($AU21=100%,1,1+VLOOKUP(($AJ21-$AI21-$AH21-$AG21-$AF21-$AE21*(1+DP$3))/$AJ21,Уголь_коэфф!$A:$B,2,1)-VLOOKUP($AO21,Уголь_коэфф!$A:$B,2,1)),1+(1-$AU21))</f>
        <v>1.0249999999999999</v>
      </c>
      <c r="DQ21" s="102">
        <f>MIN(IF($AU21=100%,1,1+VLOOKUP(($AJ21-$AI21-$AH21-$AG21-$AF21-$AE21*(1+DQ$3))/$AJ21,Уголь_коэфф!$A:$B,2,1)-VLOOKUP($AO21,Уголь_коэфф!$A:$B,2,1)),1+(1-$AU21))</f>
        <v>1.0249999999999999</v>
      </c>
      <c r="DR21" s="102">
        <f>MIN(IF($AU21=100%,1,1+VLOOKUP(($AJ21-$AI21-$AH21-$AG21-$AF21-$AE21*(1+DR$3))/$AJ21,Уголь_коэфф!$A:$B,2,1)-VLOOKUP($AO21,Уголь_коэфф!$A:$B,2,1)),1+(1-$AU21))</f>
        <v>1.0249999999999999</v>
      </c>
      <c r="DS21" s="102">
        <f>MIN(IF($AU21=100%,1,1+VLOOKUP(($AJ21-$AI21-$AH21-$AG21-$AF21-$AE21*(1+DS$3))/$AJ21,Уголь_коэфф!$A:$B,2,1)-VLOOKUP($AO21,Уголь_коэфф!$A:$B,2,1)),1+(1-$AU21))</f>
        <v>1.0249999999999999</v>
      </c>
      <c r="DT21" s="102">
        <f>MIN(IF($AU21=100%,1,1+VLOOKUP(($AJ21-$AI21-$AH21-$AG21-$AF21-$AE21*(1+DT$3))/$AJ21,Уголь_коэфф!$A:$B,2,1)-VLOOKUP($AO21,Уголь_коэфф!$A:$B,2,1)),1+(1-$AU21))</f>
        <v>1.0249999999999999</v>
      </c>
      <c r="DU21" s="102">
        <f>MIN(IF($AU21=100%,1,1+VLOOKUP(($AJ21-$AI21-$AH21-$AG21-$AF21-$AE21*(1+DU$3))/$AJ21,Уголь_коэфф!$A:$B,2,1)-VLOOKUP($AO21,Уголь_коэфф!$A:$B,2,1)),1+(1-$AU21))</f>
        <v>1.0249999999999999</v>
      </c>
      <c r="DV21" s="102">
        <f>MIN(IF($AU21=100%,1,1+VLOOKUP(($AJ21-$AI21-$AH21-$AG21-$AF21-$AE21*(1+DV$3))/$AJ21,Уголь_коэфф!$A:$B,2,1)-VLOOKUP($AO21,Уголь_коэфф!$A:$B,2,1)),1+(1-$AU21))</f>
        <v>1.02</v>
      </c>
      <c r="DW21" s="102">
        <f>MIN(IF($AU21=100%,1,1+VLOOKUP(($AJ21-$AI21-$AH21-$AG21-$AF21-$AE21*(1+DW$3))/$AJ21,Уголь_коэфф!$A:$B,2,1)-VLOOKUP($AO21,Уголь_коэфф!$A:$B,2,1)),1+(1-$AU21))</f>
        <v>1.02</v>
      </c>
      <c r="DX21" s="102">
        <f>MIN(IF($AU21=100%,1,1+VLOOKUP(($AJ21-$AI21-$AH21-$AG21-$AF21-$AE21*(1+DX$3))/$AJ21,Уголь_коэфф!$A:$B,2,1)-VLOOKUP($AO21,Уголь_коэфф!$A:$B,2,1)),1+(1-$AU21))</f>
        <v>1.02</v>
      </c>
      <c r="DY21" s="102">
        <f>MIN(IF($AU21=100%,1,1+VLOOKUP(($AJ21-$AI21-$AH21-$AG21-$AF21-$AE21*(1+DY$3))/$AJ21,Уголь_коэфф!$A:$B,2,1)-VLOOKUP($AO21,Уголь_коэфф!$A:$B,2,1)),1+(1-$AU21))</f>
        <v>1.02</v>
      </c>
      <c r="DZ21" s="102">
        <f>MIN(IF($AU21=100%,1,1+VLOOKUP(($AJ21-$AI21-$AH21-$AG21-$AF21-$AE21*(1+DZ$3))/$AJ21,Уголь_коэфф!$A:$B,2,1)-VLOOKUP($AO21,Уголь_коэфф!$A:$B,2,1)),1+(1-$AU21))</f>
        <v>1.02</v>
      </c>
      <c r="EA21" s="102">
        <f>MIN(IF($AU21=100%,1,1+VLOOKUP(($AJ21-$AI21-$AH21-$AG21-$AF21-$AE21*(1+EA$3))/$AJ21,Уголь_коэфф!$A:$B,2,1)-VLOOKUP($AO21,Уголь_коэфф!$A:$B,2,1)),1+(1-$AU21))</f>
        <v>1.02</v>
      </c>
      <c r="EB21" s="102">
        <f>MIN(IF($AU21=100%,1,1+VLOOKUP(($AJ21-$AI21-$AH21-$AG21-$AF21-$AE21*(1+EB$3))/$AJ21,Уголь_коэфф!$A:$B,2,1)-VLOOKUP($AO21,Уголь_коэфф!$A:$B,2,1)),1+(1-$AU21))</f>
        <v>1.0150000000000001</v>
      </c>
      <c r="EC21" s="102">
        <f>MIN(IF($AU21=100%,1,1+VLOOKUP(($AJ21-$AI21-$AH21-$AG21-$AF21-$AE21*(1+EC$3))/$AJ21,Уголь_коэфф!$A:$B,2,1)-VLOOKUP($AO21,Уголь_коэфф!$A:$B,2,1)),1+(1-$AU21))</f>
        <v>1.0150000000000001</v>
      </c>
      <c r="ED21" s="102">
        <f>MIN(IF($AU21=100%,1,1+VLOOKUP(($AJ21-$AI21-$AH21-$AG21-$AF21-$AE21*(1+ED$3))/$AJ21,Уголь_коэфф!$A:$B,2,1)-VLOOKUP($AO21,Уголь_коэфф!$A:$B,2,1)),1+(1-$AU21))</f>
        <v>1.0150000000000001</v>
      </c>
      <c r="EE21" s="102">
        <f>MIN(IF($AU21=100%,1,1+VLOOKUP(($AJ21-$AI21-$AH21-$AG21-$AF21-$AE21*(1+EE$3))/$AJ21,Уголь_коэфф!$A:$B,2,1)-VLOOKUP($AO21,Уголь_коэфф!$A:$B,2,1)),1+(1-$AU21))</f>
        <v>1.0150000000000001</v>
      </c>
      <c r="EF21" s="102">
        <f>MIN(IF($AU21=100%,1,1+VLOOKUP(($AJ21-$AI21-$AH21-$AG21-$AF21-$AE21*(1+EF$3))/$AJ21,Уголь_коэфф!$A:$B,2,1)-VLOOKUP($AO21,Уголь_коэфф!$A:$B,2,1)),1+(1-$AU21))</f>
        <v>1.0150000000000001</v>
      </c>
      <c r="EG21" s="102">
        <f>MIN(IF($AU21=100%,1,1+VLOOKUP(($AJ21-$AI21-$AH21-$AG21-$AF21-$AE21*(1+EG$3))/$AJ21,Уголь_коэфф!$A:$B,2,1)-VLOOKUP($AO21,Уголь_коэфф!$A:$B,2,1)),1+(1-$AU21))</f>
        <v>1.0099999999999998</v>
      </c>
      <c r="EH21" s="102">
        <f>MIN(IF($AU21=100%,1,1+VLOOKUP(($AJ21-$AI21-$AH21-$AG21-$AF21-$AE21*(1+EH$3))/$AJ21,Уголь_коэфф!$A:$B,2,1)-VLOOKUP($AO21,Уголь_коэфф!$A:$B,2,1)),1+(1-$AU21))</f>
        <v>1.0099999999999998</v>
      </c>
      <c r="EI21" s="102">
        <f>MIN(IF($AU21=100%,1,1+VLOOKUP(($AJ21-$AI21-$AH21-$AG21-$AF21-$AE21*(1+EI$3))/$AJ21,Уголь_коэфф!$A:$B,2,1)-VLOOKUP($AO21,Уголь_коэфф!$A:$B,2,1)),1+(1-$AU21))</f>
        <v>1.0099999999999998</v>
      </c>
      <c r="EJ21" s="102">
        <f>MIN(IF($AU21=100%,1,1+VLOOKUP(($AJ21-$AI21-$AH21-$AG21-$AF21-$AE21*(1+EJ$3))/$AJ21,Уголь_коэфф!$A:$B,2,1)-VLOOKUP($AO21,Уголь_коэфф!$A:$B,2,1)),1+(1-$AU21))</f>
        <v>1.0099999999999998</v>
      </c>
      <c r="EK21" s="102">
        <f>MIN(IF($AU21=100%,1,1+VLOOKUP(($AJ21-$AI21-$AH21-$AG21-$AF21-$AE21*(1+EK$3))/$AJ21,Уголь_коэфф!$A:$B,2,1)-VLOOKUP($AO21,Уголь_коэфф!$A:$B,2,1)),1+(1-$AU21))</f>
        <v>1.0099999999999998</v>
      </c>
      <c r="EL21" s="102">
        <f>MIN(IF($AU21=100%,1,1+VLOOKUP(($AJ21-$AI21-$AH21-$AG21-$AF21-$AE21*(1+EL$3))/$AJ21,Уголь_коэфф!$A:$B,2,1)-VLOOKUP($AO21,Уголь_коэфф!$A:$B,2,1)),1+(1-$AU21))</f>
        <v>1.0049999999999999</v>
      </c>
      <c r="EM21" s="102">
        <f>MIN(IF($AU21=100%,1,1+VLOOKUP(($AJ21-$AI21-$AH21-$AG21-$AF21-$AE21*(1+EM$3))/$AJ21,Уголь_коэфф!$A:$B,2,1)-VLOOKUP($AO21,Уголь_коэфф!$A:$B,2,1)),1+(1-$AU21))</f>
        <v>1.0049999999999999</v>
      </c>
      <c r="EN21" s="102">
        <f>MIN(IF($AU21=100%,1,1+VLOOKUP(($AJ21-$AI21-$AH21-$AG21-$AF21-$AE21*(1+EN$3))/$AJ21,Уголь_коэфф!$A:$B,2,1)-VLOOKUP($AO21,Уголь_коэфф!$A:$B,2,1)),1+(1-$AU21))</f>
        <v>1.0049999999999999</v>
      </c>
      <c r="EO21" s="102">
        <f>MIN(IF($AU21=100%,1,1+VLOOKUP(($AJ21-$AI21-$AH21-$AG21-$AF21-$AE21*(1+EO$3))/$AJ21,Уголь_коэфф!$A:$B,2,1)-VLOOKUP($AO21,Уголь_коэфф!$A:$B,2,1)),1+(1-$AU21))</f>
        <v>1.0049999999999999</v>
      </c>
      <c r="EP21" s="102">
        <f>MIN(IF($AU21=100%,1,1+VLOOKUP(($AJ21-$AI21-$AH21-$AG21-$AF21-$AE21*(1+EP$3))/$AJ21,Уголь_коэфф!$A:$B,2,1)-VLOOKUP($AO21,Уголь_коэфф!$A:$B,2,1)),1+(1-$AU21))</f>
        <v>1.0049999999999999</v>
      </c>
      <c r="EQ21" s="102">
        <f>MIN(IF($AU21=100%,1,1+VLOOKUP(($AJ21-$AI21-$AH21-$AG21-$AF21-$AE21*(1+EQ$3))/$AJ21,Уголь_коэфф!$A:$B,2,1)-VLOOKUP($AO21,Уголь_коэфф!$A:$B,2,1)),1+(1-$AU21))</f>
        <v>1.0049999999999999</v>
      </c>
      <c r="ER21" s="102">
        <f>MIN(IF($AU21=100%,1,1+VLOOKUP(($AJ21-$AI21-$AH21-$AG21-$AF21-$AE21*(1+ER$3))/$AJ21,Уголь_коэфф!$A:$B,2,1)-VLOOKUP($AO21,Уголь_коэфф!$A:$B,2,1)),1+(1-$AU21))</f>
        <v>1</v>
      </c>
      <c r="ES21" s="102">
        <f>MIN(IF($AU21=100%,1,1+VLOOKUP(($AJ21-$AI21-$AH21-$AG21-$AF21-$AE21*(1+ES$3))/$AJ21,Уголь_коэфф!$A:$B,2,1)-VLOOKUP($AO21,Уголь_коэфф!$A:$B,2,1)),1+(1-$AU21))</f>
        <v>1</v>
      </c>
      <c r="ET21" s="102">
        <f>MIN(IF($AU21=100%,1,1+VLOOKUP(($AJ21-$AI21-$AH21-$AG21-$AF21-$AE21*(1+ET$3))/$AJ21,Уголь_коэфф!$A:$B,2,1)-VLOOKUP($AO21,Уголь_коэфф!$A:$B,2,1)),1+(1-$AU21))</f>
        <v>1</v>
      </c>
      <c r="EU21" s="102">
        <f>MIN(IF($AU21=100%,1,1+VLOOKUP(($AJ21-$AI21-$AH21-$AG21-$AF21-$AE21*(1+EU$3))/$AJ21,Уголь_коэфф!$A:$B,2,1)-VLOOKUP($AO21,Уголь_коэфф!$A:$B,2,1)),1+(1-$AU21))</f>
        <v>1</v>
      </c>
      <c r="EV21" s="103">
        <v>1</v>
      </c>
      <c r="EW21" s="102">
        <f>MIN(1,MAX(VLOOKUP(($AJ21-$AI21-$AH21-$AG21-$AF21-$AE21*(1+EW$3))/$AJ21,Уголь_коэфф!$A:$B,2,1),(EV21-0.05)))</f>
        <v>0.97</v>
      </c>
      <c r="EX21" s="102">
        <f>MIN(1,MAX(VLOOKUP(($AJ21-$AI21-$AH21-$AG21-$AF21-$AE21*(1+EX$3))/$AJ21,Уголь_коэфф!$A:$B,2,1),(EW21-0.05)))</f>
        <v>0.97</v>
      </c>
      <c r="EY21" s="102">
        <f>MIN(1,MAX(VLOOKUP(($AJ21-$AI21-$AH21-$AG21-$AF21-$AE21*(1+EY$3))/$AJ21,Уголь_коэфф!$A:$B,2,1),(EX21-0.05)))</f>
        <v>0.97</v>
      </c>
      <c r="EZ21" s="102">
        <f>MIN(1,MAX(VLOOKUP(($AJ21-$AI21-$AH21-$AG21-$AF21-$AE21*(1+EZ$3))/$AJ21,Уголь_коэфф!$A:$B,2,1),(EY21-0.05)))</f>
        <v>0.97</v>
      </c>
      <c r="FA21" s="102">
        <f>MIN(1,MAX(VLOOKUP(($AJ21-$AI21-$AH21-$AG21-$AF21-$AE21*(1+FA$3))/$AJ21,Уголь_коэфф!$A:$B,2,1),(EZ21-0.05)))</f>
        <v>0.97</v>
      </c>
      <c r="FB21" s="102">
        <f>MIN(1,MAX(VLOOKUP(($AJ21-$AI21-$AH21-$AG21-$AF21-$AE21*(1+FB$3))/$AJ21,Уголь_коэфф!$A:$B,2,1),(FA21-0.05)))</f>
        <v>0.97</v>
      </c>
      <c r="FC21" s="102">
        <f>MIN(1,MAX(VLOOKUP(($AJ21-$AI21-$AH21-$AG21-$AF21-$AE21*(1+FC$3))/$AJ21,Уголь_коэфф!$A:$B,2,1),(FB21-0.05)))</f>
        <v>0.96499999999999997</v>
      </c>
      <c r="FD21" s="102">
        <f>MIN(1,MAX(VLOOKUP(($AJ21-$AI21-$AH21-$AG21-$AF21-$AE21*(1+FD$3))/$AJ21,Уголь_коэфф!$A:$B,2,1),(FC21-0.05)))</f>
        <v>0.96499999999999997</v>
      </c>
      <c r="FE21" s="102">
        <f>MIN(1,MAX(VLOOKUP(($AJ21-$AI21-$AH21-$AG21-$AF21-$AE21*(1+FE$3))/$AJ21,Уголь_коэфф!$A:$B,2,1),(FD21-0.05)))</f>
        <v>0.96499999999999997</v>
      </c>
      <c r="FF21" s="102">
        <f>MIN(1,MAX(VLOOKUP(($AJ21-$AI21-$AH21-$AG21-$AF21-$AE21*(1+FF$3))/$AJ21,Уголь_коэфф!$A:$B,2,1),(FE21-0.05)))</f>
        <v>0.96499999999999997</v>
      </c>
      <c r="FG21" s="102">
        <f>MIN(1,MAX(VLOOKUP(($AJ21-$AI21-$AH21-$AG21-$AF21-$AE21*(1+FG$3))/$AJ21,Уголь_коэфф!$A:$B,2,1),(FF21-0.05)))</f>
        <v>0.96499999999999997</v>
      </c>
      <c r="FH21" s="102">
        <f>MIN(1,MAX(VLOOKUP(($AJ21-$AI21-$AH21-$AG21-$AF21-$AE21*(1+FH$3))/$AJ21,Уголь_коэфф!$A:$B,2,1),(FG21-0.05)))</f>
        <v>0.96</v>
      </c>
      <c r="FI21" s="102">
        <f>MIN(1,MAX(VLOOKUP(($AJ21-$AI21-$AH21-$AG21-$AF21-$AE21*(1+FI$3))/$AJ21,Уголь_коэфф!$A:$B,2,1),(FH21-0.05)))</f>
        <v>0.96</v>
      </c>
      <c r="FJ21" s="102">
        <f>MIN(1,MAX(VLOOKUP(($AJ21-$AI21-$AH21-$AG21-$AF21-$AE21*(1+FJ$3))/$AJ21,Уголь_коэфф!$A:$B,2,1),(FI21-0.05)))</f>
        <v>0.96</v>
      </c>
      <c r="FK21" s="102">
        <f>MIN(1,MAX(VLOOKUP(($AJ21-$AI21-$AH21-$AG21-$AF21-$AE21*(1+FK$3))/$AJ21,Уголь_коэфф!$A:$B,2,1),(FJ21-0.05)))</f>
        <v>0.96</v>
      </c>
      <c r="FL21" s="102">
        <f>MIN(1,MAX(VLOOKUP(($AJ21-$AI21-$AH21-$AG21-$AF21-$AE21*(1+FL$3))/$AJ21,Уголь_коэфф!$A:$B,2,1),(FK21-0.05)))</f>
        <v>0.96</v>
      </c>
      <c r="FM21" s="102">
        <f>MIN(1,MAX(VLOOKUP(($AJ21-$AI21-$AH21-$AG21-$AF21-$AE21*(1+FM$3))/$AJ21,Уголь_коэфф!$A:$B,2,1),(FL21-0.05)))</f>
        <v>0.95499999999999996</v>
      </c>
      <c r="FN21" s="102">
        <f>MIN(1,MAX(VLOOKUP(($AJ21-$AI21-$AH21-$AG21-$AF21-$AE21*(1+FN$3))/$AJ21,Уголь_коэфф!$A:$B,2,1),(FM21-0.05)))</f>
        <v>0.95499999999999996</v>
      </c>
      <c r="FO21" s="102">
        <f>MIN(1,MAX(VLOOKUP(($AJ21-$AI21-$AH21-$AG21-$AF21-$AE21*(1+FO$3))/$AJ21,Уголь_коэфф!$A:$B,2,1),(FN21-0.05)))</f>
        <v>0.95499999999999996</v>
      </c>
      <c r="FP21" s="102">
        <f>MIN(1,MAX(VLOOKUP(($AJ21-$AI21-$AH21-$AG21-$AF21-$AE21*(1+FP$3))/$AJ21,Уголь_коэфф!$A:$B,2,1),(FO21-0.05)))</f>
        <v>0.95499999999999996</v>
      </c>
      <c r="FQ21" s="102">
        <f>MIN(1,MAX(VLOOKUP(($AJ21-$AI21-$AH21-$AG21-$AF21-$AE21*(1+FQ$3))/$AJ21,Уголь_коэфф!$A:$B,2,1),(FP21-0.05)))</f>
        <v>0.95499999999999996</v>
      </c>
      <c r="FR21" s="102">
        <f>MIN(1,MAX(VLOOKUP(($AJ21-$AI21-$AH21-$AG21-$AF21-$AE21*(1+FR$3))/$AJ21,Уголь_коэфф!$A:$B,2,1),(FQ21-0.05)))</f>
        <v>0.95499999999999996</v>
      </c>
      <c r="FS21" s="102">
        <f>MIN(1,MAX(VLOOKUP(($AJ21-$AI21-$AH21-$AG21-$AF21-$AE21*(1+FS$3))/$AJ21,Уголь_коэфф!$A:$B,2,1),(FR21-0.05)))</f>
        <v>0.95</v>
      </c>
      <c r="FT21" s="102">
        <f>MIN(1,MAX(VLOOKUP(($AJ21-$AI21-$AH21-$AG21-$AF21-$AE21*(1+FT$3))/$AJ21,Уголь_коэфф!$A:$B,2,1),(FS21-0.05)))</f>
        <v>0.95</v>
      </c>
      <c r="FU21" s="102">
        <f>MIN(1,MAX(VLOOKUP(($AJ21-$AI21-$AH21-$AG21-$AF21-$AE21*(1+FU$3))/$AJ21,Уголь_коэфф!$A:$B,2,1),(FT21-0.05)))</f>
        <v>0.95</v>
      </c>
      <c r="FV21" s="102">
        <f>MIN(1,MAX(VLOOKUP(($AJ21-$AI21-$AH21-$AG21-$AF21-$AE21*(1+FV$3))/$AJ21,Уголь_коэфф!$A:$B,2,1),(FU21-0.05)))</f>
        <v>0.95</v>
      </c>
      <c r="FW21" s="102">
        <f>MIN(1,MAX(VLOOKUP(($AJ21-$AI21-$AH21-$AG21-$AF21-$AE21*(1+FW$3))/$AJ21,Уголь_коэфф!$A:$B,2,1),(FV21-0.05)))</f>
        <v>0.95</v>
      </c>
      <c r="FX21" s="102">
        <f>MIN(1,MAX(VLOOKUP(($AJ21-$AI21-$AH21-$AG21-$AF21-$AE21*(1+FX$3))/$AJ21,Уголь_коэфф!$A:$B,2,1),(FW21-0.05)))</f>
        <v>0.94499999999999995</v>
      </c>
      <c r="FY21" s="102">
        <f>MIN(1,MAX(VLOOKUP(($AJ21-$AI21-$AH21-$AG21-$AF21-$AE21*(1+FY$3))/$AJ21,Уголь_коэфф!$A:$B,2,1),(FX21-0.05)))</f>
        <v>0.94499999999999995</v>
      </c>
      <c r="FZ21" s="102">
        <f>MIN(1,MAX(VLOOKUP(($AJ21-$AI21-$AH21-$AG21-$AF21-$AE21*(1+FZ$3))/$AJ21,Уголь_коэфф!$A:$B,2,1),(FY21-0.05)))</f>
        <v>0.94499999999999995</v>
      </c>
      <c r="GA21" s="102">
        <f>MIN(1,MAX(VLOOKUP(($AJ21-$AI21-$AH21-$AG21-$AF21-$AE21*(1+GA$3))/$AJ21,Уголь_коэфф!$A:$B,2,1),(FZ21-0.05)))</f>
        <v>0.94499999999999995</v>
      </c>
      <c r="GB21" s="102">
        <f>MIN(1,MAX(VLOOKUP(($AJ21-$AI21-$AH21-$AG21-$AF21-$AE21*(1+GB$3))/$AJ21,Уголь_коэфф!$A:$B,2,1),(GA21-0.05)))</f>
        <v>0.94499999999999995</v>
      </c>
      <c r="GC21" s="102">
        <f>MIN(1,MAX(VLOOKUP(($AJ21-$AI21-$AH21-$AG21-$AF21-$AE21*(1+GC$3))/$AJ21,Уголь_коэфф!$A:$B,2,1),(GB21-0.05)))</f>
        <v>0.94499999999999995</v>
      </c>
      <c r="GD21" s="102">
        <f>MIN(1,MAX(VLOOKUP(($AJ21-$AI21-$AH21-$AG21-$AF21-$AE21*(1+GD$3))/$AJ21,Уголь_коэфф!$A:$B,2,1),(GC21-0.05)))</f>
        <v>0.94</v>
      </c>
      <c r="GE21" s="102">
        <f>MIN(1,MAX(VLOOKUP(($AJ21-$AI21-$AH21-$AG21-$AF21-$AE21*(1+GE$3))/$AJ21,Уголь_коэфф!$A:$B,2,1),(GD21-0.05)))</f>
        <v>0.94</v>
      </c>
      <c r="GF21" s="102">
        <f>MIN(1,MAX(VLOOKUP(($AJ21-$AI21-$AH21-$AG21-$AF21-$AE21*(1+GF$3))/$AJ21,Уголь_коэфф!$A:$B,2,1),(GE21-0.05)))</f>
        <v>0.94</v>
      </c>
      <c r="GG21" s="102">
        <f>MIN(1,MAX(VLOOKUP(($AJ21-$AI21-$AH21-$AG21-$AF21-$AE21*(1+GG$3))/$AJ21,Уголь_коэфф!$A:$B,2,1),(GF21-0.05)))</f>
        <v>0.94</v>
      </c>
      <c r="GH21" s="102">
        <f>MIN(1,MAX(VLOOKUP(($AJ21-$AI21-$AH21-$AG21-$AF21-$AE21*(1+GH$3))/$AJ21,Уголь_коэфф!$A:$B,2,1),(GG21-0.05)))</f>
        <v>0.94</v>
      </c>
      <c r="GI21" s="102">
        <f>MIN(1,MAX(VLOOKUP(($AJ21-$AI21-$AH21-$AG21-$AF21-$AE21*(1+GI$3))/$AJ21,Уголь_коэфф!$A:$B,2,1),(GH21-0.05)))</f>
        <v>0.93500000000000005</v>
      </c>
      <c r="GJ21" s="102">
        <f>MIN(1,MAX(VLOOKUP(($AJ21-$AI21-$AH21-$AG21-$AF21-$AE21*(1+GJ$3))/$AJ21,Уголь_коэфф!$A:$B,2,1),(GI21-0.05)))</f>
        <v>0.93500000000000005</v>
      </c>
      <c r="GK21" s="102">
        <f>MIN(1,MAX(VLOOKUP(($AJ21-$AI21-$AH21-$AG21-$AF21-$AE21*(1+GK$3))/$AJ21,Уголь_коэфф!$A:$B,2,1),(GJ21-0.05)))</f>
        <v>0.93500000000000005</v>
      </c>
      <c r="GL21" s="102">
        <f>MIN(1,MAX(VLOOKUP(($AJ21-$AI21-$AH21-$AG21-$AF21-$AE21*(1+GL$3))/$AJ21,Уголь_коэфф!$A:$B,2,1),(GK21-0.05)))</f>
        <v>0.93500000000000005</v>
      </c>
      <c r="GM21" s="102">
        <f>MIN(1,MAX(VLOOKUP(($AJ21-$AI21-$AH21-$AG21-$AF21-$AE21*(1+GM$3))/$AJ21,Уголь_коэфф!$A:$B,2,1),(GL21-0.05)))</f>
        <v>0.93500000000000005</v>
      </c>
      <c r="GN21" s="102">
        <f>MIN(1,MAX(VLOOKUP(($AJ21-$AI21-$AH21-$AG21-$AF21-$AE21*(1+GN$3))/$AJ21,Уголь_коэфф!$A:$B,2,1),(GM21-0.05)))</f>
        <v>0.93</v>
      </c>
      <c r="GO21" s="102">
        <f>MIN(1,MAX(VLOOKUP(($AJ21-$AI21-$AH21-$AG21-$AF21-$AE21*(1+GO$3))/$AJ21,Уголь_коэфф!$A:$B,2,1),(GN21-0.05)))</f>
        <v>0.93</v>
      </c>
      <c r="GP21" s="102">
        <f>MIN(1,MAX(VLOOKUP(($AJ21-$AI21-$AH21-$AG21-$AF21-$AE21*(1+GP$3))/$AJ21,Уголь_коэфф!$A:$B,2,1),(GO21-0.05)))</f>
        <v>0.93</v>
      </c>
      <c r="GQ21" s="102">
        <f>MIN(1,MAX(VLOOKUP(($AJ21-$AI21-$AH21-$AG21-$AF21-$AE21*(1+GQ$3))/$AJ21,Уголь_коэфф!$A:$B,2,1),(GP21-0.05)))</f>
        <v>0.93</v>
      </c>
      <c r="GR21" s="102">
        <f>MIN(1,MAX(VLOOKUP(($AJ21-$AI21-$AH21-$AG21-$AF21-$AE21*(1+GR$3))/$AJ21,Уголь_коэфф!$A:$B,2,1),(GQ21-0.05)))</f>
        <v>0.93</v>
      </c>
      <c r="GS21" s="102">
        <f>MIN(1,MAX(VLOOKUP(($AJ21-$AI21-$AH21-$AG21-$AF21-$AE21*(1+GS$3))/$AJ21,Уголь_коэфф!$A:$B,2,1),(GR21-0.05)))</f>
        <v>0.93</v>
      </c>
      <c r="GT21" s="102">
        <f>MIN(1,MAX(VLOOKUP(($AJ21-$AI21-$AH21-$AG21-$AF21-$AE21*(1+GT$3))/$AJ21,Уголь_коэфф!$A:$B,2,1),(GS21-0.05)))</f>
        <v>0.92500000000000004</v>
      </c>
      <c r="GU21" s="102">
        <f>MIN(1,MAX(VLOOKUP(($AJ21-$AI21-$AH21-$AG21-$AF21-$AE21*(1+GU$3))/$AJ21,Уголь_коэфф!$A:$B,2,1),(GT21-0.05)))</f>
        <v>0.92500000000000004</v>
      </c>
      <c r="GV21" s="102">
        <f>MIN(1,MAX(VLOOKUP(($AJ21-$AI21-$AH21-$AG21-$AF21-$AE21*(1+GV$3))/$AJ21,Уголь_коэфф!$A:$B,2,1),(GU21-0.05)))</f>
        <v>0.92500000000000004</v>
      </c>
      <c r="GW21" s="102">
        <f>MIN(1,MAX(VLOOKUP(($AJ21-$AI21-$AH21-$AG21-$AF21-$AE21*(1+GW$3))/$AJ21,Уголь_коэфф!$A:$B,2,1),(GV21-0.05)))</f>
        <v>0.92500000000000004</v>
      </c>
      <c r="GX21" s="102">
        <f>MIN(1,MAX(VLOOKUP(($AJ21-$AI21-$AH21-$AG21-$AF21-$AE21*(1+GX$3))/$AJ21,Уголь_коэфф!$A:$B,2,1),(GW21-0.05)))</f>
        <v>0.92500000000000004</v>
      </c>
      <c r="GY21" s="102">
        <f>MIN(1,MAX(VLOOKUP(($AJ21-$AI21-$AH21-$AG21-$AF21-$AE21*(1+GY$3))/$AJ21,Уголь_коэфф!$A:$B,2,1),(GX21-0.05)))</f>
        <v>0.92</v>
      </c>
      <c r="GZ21" s="102">
        <f>MIN(1,MAX(VLOOKUP(($AJ21-$AI21-$AH21-$AG21-$AF21-$AE21*(1+GZ$3))/$AJ21,Уголь_коэфф!$A:$B,2,1),(GY21-0.05)))</f>
        <v>0.92</v>
      </c>
      <c r="HA21" s="102">
        <f>MIN(1,MAX(VLOOKUP(($AJ21-$AI21-$AH21-$AG21-$AF21-$AE21*(1+HA$3))/$AJ21,Уголь_коэфф!$A:$B,2,1),(GZ21-0.05)))</f>
        <v>0.92</v>
      </c>
      <c r="HB21" s="102">
        <f>MIN(1,MAX(VLOOKUP(($AJ21-$AI21-$AH21-$AG21-$AF21-$AE21*(1+HB$3))/$AJ21,Уголь_коэфф!$A:$B,2,1),(HA21-0.05)))</f>
        <v>0.92</v>
      </c>
      <c r="HC21" s="102">
        <f>MIN(1,MAX(VLOOKUP(($AJ21-$AI21-$AH21-$AG21-$AF21-$AE21*(1+HC$3))/$AJ21,Уголь_коэфф!$A:$B,2,1),(HB21-0.05)))</f>
        <v>0.92</v>
      </c>
      <c r="HD21" s="102">
        <f>MIN(1,MAX(VLOOKUP(($AJ21-$AI21-$AH21-$AG21-$AF21-$AE21*(1+HD$3))/$AJ21,Уголь_коэфф!$A:$B,2,1),(HC21-0.05)))</f>
        <v>0.92</v>
      </c>
      <c r="HE21" s="102">
        <f>MIN(1,MAX(VLOOKUP(($AJ21-$AI21-$AH21-$AG21-$AF21-$AE21*(1+HE$3))/$AJ21,Уголь_коэфф!$A:$B,2,1),(HD21-0.05)))</f>
        <v>0.91400000000000003</v>
      </c>
      <c r="HF21" s="102">
        <f>MIN(1,MAX(VLOOKUP(($AJ21-$AI21-$AH21-$AG21-$AF21-$AE21*(1+HF$3))/$AJ21,Уголь_коэфф!$A:$B,2,1),(HE21-0.05)))</f>
        <v>0.91400000000000003</v>
      </c>
      <c r="HG21" s="102">
        <f>MIN(1,MAX(VLOOKUP(($AJ21-$AI21-$AH21-$AG21-$AF21-$AE21*(1+HG$3))/$AJ21,Уголь_коэфф!$A:$B,2,1),(HF21-0.05)))</f>
        <v>0.91400000000000003</v>
      </c>
      <c r="HH21" s="102">
        <f>MIN(1,MAX(VLOOKUP(($AJ21-$AI21-$AH21-$AG21-$AF21-$AE21*(1+HH$3))/$AJ21,Уголь_коэфф!$A:$B,2,1),(HG21-0.05)))</f>
        <v>0.91400000000000003</v>
      </c>
      <c r="HI21" s="102">
        <f>MIN(1,MAX(VLOOKUP(($AJ21-$AI21-$AH21-$AG21-$AF21-$AE21*(1+HI$3))/$AJ21,Уголь_коэфф!$A:$B,2,1),(HH21-0.05)))</f>
        <v>0.91400000000000003</v>
      </c>
      <c r="HJ21" s="102">
        <f>MIN(1,MAX(VLOOKUP(($AJ21-$AI21-$AH21-$AG21-$AF21-$AE21*(1+HJ$3))/$AJ21,Уголь_коэфф!$A:$B,2,1),(HI21-0.05)))</f>
        <v>0.90800000000000003</v>
      </c>
      <c r="HK21" s="102">
        <f>MIN(1,MAX(VLOOKUP(($AJ21-$AI21-$AH21-$AG21-$AF21-$AE21*(1+HK$3))/$AJ21,Уголь_коэфф!$A:$B,2,1),(HJ21-0.05)))</f>
        <v>0.90800000000000003</v>
      </c>
      <c r="HL21" s="102">
        <f>MIN(1,MAX(VLOOKUP(($AJ21-$AI21-$AH21-$AG21-$AF21-$AE21*(1+HL$3))/$AJ21,Уголь_коэфф!$A:$B,2,1),(HK21-0.05)))</f>
        <v>0.90800000000000003</v>
      </c>
      <c r="HM21" s="102">
        <f>MIN(1,MAX(VLOOKUP(($AJ21-$AI21-$AH21-$AG21-$AF21-$AE21*(1+HM$3))/$AJ21,Уголь_коэфф!$A:$B,2,1),(HL21-0.05)))</f>
        <v>0.90800000000000003</v>
      </c>
      <c r="HN21" s="102">
        <f>MIN(1,MAX(VLOOKUP(($AJ21-$AI21-$AH21-$AG21-$AF21-$AE21*(1+HN$3))/$AJ21,Уголь_коэфф!$A:$B,2,1),(HM21-0.05)))</f>
        <v>0.90800000000000003</v>
      </c>
      <c r="HO21" s="102">
        <f>MIN(1,MAX(VLOOKUP(($AJ21-$AI21-$AH21-$AG21-$AF21-$AE21*(1+HO$3))/$AJ21,Уголь_коэфф!$A:$B,2,1),(HN21-0.05)))</f>
        <v>0.90200000000000002</v>
      </c>
      <c r="HP21" s="102">
        <f>MIN(1,MAX(VLOOKUP(($AJ21-$AI21-$AH21-$AG21-$AF21-$AE21*(1+HP$3))/$AJ21,Уголь_коэфф!$A:$B,2,1),(HO21-0.05)))</f>
        <v>0.90200000000000002</v>
      </c>
      <c r="HQ21" s="102">
        <f>MIN(1,MAX(VLOOKUP(($AJ21-$AI21-$AH21-$AG21-$AF21-$AE21*(1+HQ$3))/$AJ21,Уголь_коэфф!$A:$B,2,1),(HP21-0.05)))</f>
        <v>0.90200000000000002</v>
      </c>
      <c r="HR21" s="102">
        <f>MIN(1,MAX(VLOOKUP(($AJ21-$AI21-$AH21-$AG21-$AF21-$AE21*(1+HR$3))/$AJ21,Уголь_коэфф!$A:$B,2,1),(HQ21-0.05)))</f>
        <v>0.90200000000000002</v>
      </c>
      <c r="HS21" s="102">
        <f>MIN(1,MAX(VLOOKUP(($AJ21-$AI21-$AH21-$AG21-$AF21-$AE21*(1+HS$3))/$AJ21,Уголь_коэфф!$A:$B,2,1),(HR21-0.05)))</f>
        <v>0.90200000000000002</v>
      </c>
      <c r="HT21" s="102">
        <f>MIN(1,MAX(VLOOKUP(($AJ21-$AI21-$AH21-$AG21-$AF21-$AE21*(1+HT$3))/$AJ21,Уголь_коэфф!$A:$B,2,1),(HS21-0.05)))</f>
        <v>0.90200000000000002</v>
      </c>
      <c r="HU21" s="102">
        <f>MIN(1,MAX(VLOOKUP(($AJ21-$AI21-$AH21-$AG21-$AF21-$AE21*(1+HU$3))/$AJ21,Уголь_коэфф!$A:$B,2,1),(HT21-0.05)))</f>
        <v>0.89600000000000002</v>
      </c>
      <c r="HV21" s="102">
        <f>MIN(1,MAX(VLOOKUP(($AJ21-$AI21-$AH21-$AG21-$AF21-$AE21*(1+HV$3))/$AJ21,Уголь_коэфф!$A:$B,2,1),(HU21-0.05)))</f>
        <v>0.89600000000000002</v>
      </c>
      <c r="HW21" s="102">
        <f>MIN(1,MAX(VLOOKUP(($AJ21-$AI21-$AH21-$AG21-$AF21-$AE21*(1+HW$3))/$AJ21,Уголь_коэфф!$A:$B,2,1),(HV21-0.05)))</f>
        <v>0.89600000000000002</v>
      </c>
      <c r="HX21" s="102">
        <f>MIN(1,MAX(VLOOKUP(($AJ21-$AI21-$AH21-$AG21-$AF21-$AE21*(1+HX$3))/$AJ21,Уголь_коэфф!$A:$B,2,1),(HW21-0.05)))</f>
        <v>0.89600000000000002</v>
      </c>
      <c r="HY21" s="102">
        <f>MIN(1,MAX(VLOOKUP(($AJ21-$AI21-$AH21-$AG21-$AF21-$AE21*(1+HY$3))/$AJ21,Уголь_коэфф!$A:$B,2,1),(HX21-0.05)))</f>
        <v>0.89600000000000002</v>
      </c>
      <c r="HZ21" s="102">
        <f>MIN(1,MAX(VLOOKUP(($AJ21-$AI21-$AH21-$AG21-$AF21-$AE21*(1+HZ$3))/$AJ21,Уголь_коэфф!$A:$B,2,1),(HY21-0.05)))</f>
        <v>0.89</v>
      </c>
      <c r="IA21" s="102">
        <f>MIN(1,MAX(VLOOKUP(($AJ21-$AI21-$AH21-$AG21-$AF21-$AE21*(1+IA$3))/$AJ21,Уголь_коэфф!$A:$B,2,1),(HZ21-0.05)))</f>
        <v>0.89</v>
      </c>
      <c r="IB21" s="102">
        <f>MIN(1,MAX(VLOOKUP(($AJ21-$AI21-$AH21-$AG21-$AF21-$AE21*(1+IB$3))/$AJ21,Уголь_коэфф!$A:$B,2,1),(IA21-0.05)))</f>
        <v>0.89</v>
      </c>
      <c r="IC21" s="102">
        <f>MIN(1,MAX(VLOOKUP(($AJ21-$AI21-$AH21-$AG21-$AF21-$AE21*(1+IC$3))/$AJ21,Уголь_коэфф!$A:$B,2,1),(IB21-0.05)))</f>
        <v>0.89</v>
      </c>
      <c r="ID21" s="102">
        <f>MIN(1,MAX(VLOOKUP(($AJ21-$AI21-$AH21-$AG21-$AF21-$AE21*(1+ID$3))/$AJ21,Уголь_коэфф!$A:$B,2,1),(IC21-0.05)))</f>
        <v>0.89</v>
      </c>
      <c r="IE21" s="102">
        <f>MIN(1,MAX(VLOOKUP(($AJ21-$AI21-$AH21-$AG21-$AF21-$AE21*(1+IE$3))/$AJ21,Уголь_коэфф!$A:$B,2,1),(ID21-0.05)))</f>
        <v>0.89</v>
      </c>
      <c r="IF21" s="102">
        <f>MIN(1,MAX(VLOOKUP(($AJ21-$AI21-$AH21-$AG21-$AF21-$AE21*(1+IF$3))/$AJ21,Уголь_коэфф!$A:$B,2,1),(IE21-0.05)))</f>
        <v>0.88400000000000001</v>
      </c>
      <c r="IG21" s="102">
        <f>MIN(1,MAX(VLOOKUP(($AJ21-$AI21-$AH21-$AG21-$AF21-$AE21*(1+IG$3))/$AJ21,Уголь_коэфф!$A:$B,2,1),(IF21-0.05)))</f>
        <v>0.88400000000000001</v>
      </c>
      <c r="IH21" s="102">
        <f>MIN(1,MAX(VLOOKUP(($AJ21-$AI21-$AH21-$AG21-$AF21-$AE21*(1+IH$3))/$AJ21,Уголь_коэфф!$A:$B,2,1),(IG21-0.05)))</f>
        <v>0.88400000000000001</v>
      </c>
      <c r="II21" s="102">
        <f>MIN(1,MAX(VLOOKUP(($AJ21-$AI21-$AH21-$AG21-$AF21-$AE21*(1+II$3))/$AJ21,Уголь_коэфф!$A:$B,2,1),(IH21-0.05)))</f>
        <v>0.88400000000000001</v>
      </c>
      <c r="IJ21" s="102">
        <f>MIN(1,MAX(VLOOKUP(($AJ21-$AI21-$AH21-$AG21-$AF21-$AE21*(1+IJ$3))/$AJ21,Уголь_коэфф!$A:$B,2,1),(II21-0.05)))</f>
        <v>0.88400000000000001</v>
      </c>
      <c r="IK21" s="102">
        <f>MIN(1,MAX(VLOOKUP(($AJ21-$AI21-$AH21-$AG21-$AF21-$AE21*(1+IK$3))/$AJ21,Уголь_коэфф!$A:$B,2,1),(IJ21-0.05)))</f>
        <v>0.878</v>
      </c>
      <c r="IL21" s="102">
        <f>MIN(1,MAX(VLOOKUP(($AJ21-$AI21-$AH21-$AG21-$AF21-$AE21*(1+IL$3))/$AJ21,Уголь_коэфф!$A:$B,2,1),(IK21-0.05)))</f>
        <v>0.878</v>
      </c>
      <c r="IM21" s="102">
        <f>MIN(1,MAX(VLOOKUP(($AJ21-$AI21-$AH21-$AG21-$AF21-$AE21*(1+IM$3))/$AJ21,Уголь_коэфф!$A:$B,2,1),(IL21-0.05)))</f>
        <v>0.878</v>
      </c>
      <c r="IN21" s="102">
        <f>MIN(1,MAX(VLOOKUP(($AJ21-$AI21-$AH21-$AG21-$AF21-$AE21*(1+IN$3))/$AJ21,Уголь_коэфф!$A:$B,2,1),(IM21-0.05)))</f>
        <v>0.878</v>
      </c>
      <c r="IO21" s="102">
        <f>MIN(1,MAX(VLOOKUP(($AJ21-$AI21-$AH21-$AG21-$AF21-$AE21*(1+IO$3))/$AJ21,Уголь_коэфф!$A:$B,2,1),(IN21-0.05)))</f>
        <v>0.878</v>
      </c>
      <c r="IP21" s="102">
        <f>MIN(1,MAX(VLOOKUP(($AJ21-$AI21-$AH21-$AG21-$AF21-$AE21*(1+IP$3))/$AJ21,Уголь_коэфф!$A:$B,2,1),(IO21-0.05)))</f>
        <v>0.872</v>
      </c>
      <c r="IQ21" s="102">
        <f>MIN(1,MAX(VLOOKUP(($AJ21-$AI21-$AH21-$AG21-$AF21-$AE21*(1+IQ$3))/$AJ21,Уголь_коэфф!$A:$B,2,1),(IP21-0.05)))</f>
        <v>0.872</v>
      </c>
      <c r="IR21" s="102">
        <f>MIN(1,MAX(VLOOKUP(($AJ21-$AI21-$AH21-$AG21-$AF21-$AE21*(1+IR$3))/$AJ21,Уголь_коэфф!$A:$B,2,1),(IQ21-0.05)))</f>
        <v>0.872</v>
      </c>
      <c r="IS21" s="102">
        <f t="shared" si="20"/>
        <v>0.95</v>
      </c>
      <c r="IT21" s="102">
        <f t="shared" si="7"/>
        <v>0.95</v>
      </c>
      <c r="IU21" s="110"/>
    </row>
    <row r="22" spans="1:255" ht="14.6" customHeight="1">
      <c r="A22" t="s">
        <v>240</v>
      </c>
      <c r="B22" s="141">
        <v>1</v>
      </c>
      <c r="C22" s="142" t="s">
        <v>16</v>
      </c>
      <c r="D22" s="143">
        <v>16118</v>
      </c>
      <c r="E22" s="143" t="s">
        <v>65</v>
      </c>
      <c r="F22" s="142" t="s">
        <v>18</v>
      </c>
      <c r="G22" s="142" t="s">
        <v>45</v>
      </c>
      <c r="H22" s="143" t="s">
        <v>30</v>
      </c>
      <c r="I22" s="142" t="s">
        <v>113</v>
      </c>
      <c r="J22" s="143" t="s">
        <v>53</v>
      </c>
      <c r="K22" s="143">
        <v>4233</v>
      </c>
      <c r="L22" s="143" t="s">
        <v>22</v>
      </c>
      <c r="M22" s="143" t="s">
        <v>23</v>
      </c>
      <c r="N22" s="143" t="s">
        <v>24</v>
      </c>
      <c r="O22" s="143" t="s">
        <v>33</v>
      </c>
      <c r="P22" s="146">
        <v>160212</v>
      </c>
      <c r="Q22" s="144" t="s">
        <v>115</v>
      </c>
      <c r="R22" s="143" t="s">
        <v>116</v>
      </c>
      <c r="S22" s="147">
        <v>593128</v>
      </c>
      <c r="T22" s="145">
        <v>2511003743</v>
      </c>
      <c r="U22" s="145">
        <v>8372</v>
      </c>
      <c r="V22" s="145"/>
      <c r="W22" s="148">
        <v>1086193757</v>
      </c>
      <c r="X22" s="104">
        <v>75</v>
      </c>
      <c r="Y22" s="104" t="s">
        <v>163</v>
      </c>
      <c r="Z22" s="107">
        <v>11</v>
      </c>
      <c r="AA22" s="107">
        <v>12</v>
      </c>
      <c r="AB22" s="107">
        <v>4</v>
      </c>
      <c r="AC22" s="88">
        <v>1894.65</v>
      </c>
      <c r="AD22" s="88">
        <v>869.42000000000007</v>
      </c>
      <c r="AE22" s="88">
        <f t="shared" si="26"/>
        <v>2764.07</v>
      </c>
      <c r="AF22" s="89">
        <f>'Цены,перевалка,аренда'!$C$26*SUM(Уголь_эластика_экспорт!Z22+Уголь_эластика_экспорт!AA22+Уголь_эластика_экспорт!AB22)/Уголь_эластика_экспорт!X22</f>
        <v>360</v>
      </c>
      <c r="AG22" s="90">
        <f>SUMIF('Цены,перевалка,аренда'!$A$20:$A$22,Уголь_эластика_экспорт!$O22,'Цены,перевалка,аренда'!$D$20:$D$22)</f>
        <v>610.44399999999996</v>
      </c>
      <c r="AH22" s="47"/>
      <c r="AI22" s="91">
        <v>4817</v>
      </c>
      <c r="AJ22" s="92">
        <f>SUMIF('Цены,перевалка,аренда'!$A$5:$A$17,Уголь_эластика_экспорт!A22,'Цены,перевалка,аренда'!$D$5:$D$17)</f>
        <v>6485.9674999999997</v>
      </c>
      <c r="AK22" s="47">
        <f>AJ22/'Цены,перевалка,аренда'!$C$1</f>
        <v>85</v>
      </c>
      <c r="AL22" s="47">
        <f t="shared" si="9"/>
        <v>3734.5140000000001</v>
      </c>
      <c r="AM22" s="47">
        <f t="shared" si="10"/>
        <v>2751.4534999999996</v>
      </c>
      <c r="AN22" s="47">
        <f t="shared" si="11"/>
        <v>8551.5139999999992</v>
      </c>
      <c r="AO22" s="93">
        <f t="shared" si="12"/>
        <v>-0.31846389917926654</v>
      </c>
      <c r="AP22" s="94">
        <f t="shared" si="13"/>
        <v>0.57578364368924151</v>
      </c>
      <c r="AQ22" s="94">
        <f t="shared" si="5"/>
        <v>0.42616155569697201</v>
      </c>
      <c r="AR22" s="94">
        <f t="shared" si="6"/>
        <v>0.74014182300561737</v>
      </c>
      <c r="AS22" s="167">
        <f t="shared" si="14"/>
        <v>0.80100000000000005</v>
      </c>
      <c r="AT22" s="173">
        <f t="shared" si="15"/>
        <v>475095.52800000005</v>
      </c>
      <c r="AU22" s="97">
        <f t="shared" ref="AU22:AU23" si="27">15/17</f>
        <v>0.88235294117647056</v>
      </c>
      <c r="AV22" s="93">
        <f t="shared" si="16"/>
        <v>-0.36960328586290331</v>
      </c>
      <c r="AW22" s="94">
        <f t="shared" si="17"/>
        <v>0.62692303037287822</v>
      </c>
      <c r="AX22" s="94">
        <f t="shared" si="18"/>
        <v>0.47730094238060872</v>
      </c>
      <c r="AY22" s="94">
        <f t="shared" si="19"/>
        <v>0.76133898302750502</v>
      </c>
      <c r="AZ22" s="102">
        <f>MIN(IF($AU22=100%,1,1+VLOOKUP(($AJ22-$AI22-$AH22-$AG22-$AF22-$AE22*(1+AZ$3))/$AJ22,Уголь_коэфф!$A:$B,2,1)-VLOOKUP($AO22,Уголь_коэфф!$A:$B,2,1)),1+(1-$AU22))</f>
        <v>1.1176470588235294</v>
      </c>
      <c r="BA22" s="102">
        <f>MIN(IF($AU22=100%,1,1+VLOOKUP(($AJ22-$AI22-$AH22-$AG22-$AF22-$AE22*(1+BA$3))/$AJ22,Уголь_коэфф!$A:$B,2,1)-VLOOKUP($AO22,Уголь_коэфф!$A:$B,2,1)),1+(1-$AU22))</f>
        <v>1.1176470588235294</v>
      </c>
      <c r="BB22" s="102">
        <f>MIN(IF($AU22=100%,1,1+VLOOKUP(($AJ22-$AI22-$AH22-$AG22-$AF22-$AE22*(1+BB$3))/$AJ22,Уголь_коэфф!$A:$B,2,1)-VLOOKUP($AO22,Уголь_коэфф!$A:$B,2,1)),1+(1-$AU22))</f>
        <v>1.1176470588235294</v>
      </c>
      <c r="BC22" s="102">
        <f>MIN(IF($AU22=100%,1,1+VLOOKUP(($AJ22-$AI22-$AH22-$AG22-$AF22-$AE22*(1+BC$3))/$AJ22,Уголь_коэфф!$A:$B,2,1)-VLOOKUP($AO22,Уголь_коэфф!$A:$B,2,1)),1+(1-$AU22))</f>
        <v>1.1139999999999999</v>
      </c>
      <c r="BD22" s="102">
        <f>MIN(IF($AU22=100%,1,1+VLOOKUP(($AJ22-$AI22-$AH22-$AG22-$AF22-$AE22*(1+BD$3))/$AJ22,Уголь_коэфф!$A:$B,2,1)-VLOOKUP($AO22,Уголь_коэфф!$A:$B,2,1)),1+(1-$AU22))</f>
        <v>1.1139999999999999</v>
      </c>
      <c r="BE22" s="102">
        <f>MIN(IF($AU22=100%,1,1+VLOOKUP(($AJ22-$AI22-$AH22-$AG22-$AF22-$AE22*(1+BE$3))/$AJ22,Уголь_коэфф!$A:$B,2,1)-VLOOKUP($AO22,Уголь_коэфф!$A:$B,2,1)),1+(1-$AU22))</f>
        <v>1.1139999999999999</v>
      </c>
      <c r="BF22" s="102">
        <f>MIN(IF($AU22=100%,1,1+VLOOKUP(($AJ22-$AI22-$AH22-$AG22-$AF22-$AE22*(1+BF$3))/$AJ22,Уголь_коэфф!$A:$B,2,1)-VLOOKUP($AO22,Уголь_коэфф!$A:$B,2,1)),1+(1-$AU22))</f>
        <v>1.1139999999999999</v>
      </c>
      <c r="BG22" s="102">
        <f>MIN(IF($AU22=100%,1,1+VLOOKUP(($AJ22-$AI22-$AH22-$AG22-$AF22-$AE22*(1+BG$3))/$AJ22,Уголь_коэфф!$A:$B,2,1)-VLOOKUP($AO22,Уголь_коэфф!$A:$B,2,1)),1+(1-$AU22))</f>
        <v>1.109</v>
      </c>
      <c r="BH22" s="102">
        <f>MIN(IF($AU22=100%,1,1+VLOOKUP(($AJ22-$AI22-$AH22-$AG22-$AF22-$AE22*(1+BH$3))/$AJ22,Уголь_коэфф!$A:$B,2,1)-VLOOKUP($AO22,Уголь_коэфф!$A:$B,2,1)),1+(1-$AU22))</f>
        <v>1.109</v>
      </c>
      <c r="BI22" s="102">
        <f>MIN(IF($AU22=100%,1,1+VLOOKUP(($AJ22-$AI22-$AH22-$AG22-$AF22-$AE22*(1+BI$3))/$AJ22,Уголь_коэфф!$A:$B,2,1)-VLOOKUP($AO22,Уголь_коэфф!$A:$B,2,1)),1+(1-$AU22))</f>
        <v>1.109</v>
      </c>
      <c r="BJ22" s="102">
        <f>MIN(IF($AU22=100%,1,1+VLOOKUP(($AJ22-$AI22-$AH22-$AG22-$AF22-$AE22*(1+BJ$3))/$AJ22,Уголь_коэфф!$A:$B,2,1)-VLOOKUP($AO22,Уголь_коэфф!$A:$B,2,1)),1+(1-$AU22))</f>
        <v>1.109</v>
      </c>
      <c r="BK22" s="102">
        <f>MIN(IF($AU22=100%,1,1+VLOOKUP(($AJ22-$AI22-$AH22-$AG22-$AF22-$AE22*(1+BK$3))/$AJ22,Уголь_коэфф!$A:$B,2,1)-VLOOKUP($AO22,Уголь_коэфф!$A:$B,2,1)),1+(1-$AU22))</f>
        <v>1.109</v>
      </c>
      <c r="BL22" s="102">
        <f>MIN(IF($AU22=100%,1,1+VLOOKUP(($AJ22-$AI22-$AH22-$AG22-$AF22-$AE22*(1+BL$3))/$AJ22,Уголь_коэфф!$A:$B,2,1)-VLOOKUP($AO22,Уголь_коэфф!$A:$B,2,1)),1+(1-$AU22))</f>
        <v>1.1040000000000001</v>
      </c>
      <c r="BM22" s="102">
        <f>MIN(IF($AU22=100%,1,1+VLOOKUP(($AJ22-$AI22-$AH22-$AG22-$AF22-$AE22*(1+BM$3))/$AJ22,Уголь_коэфф!$A:$B,2,1)-VLOOKUP($AO22,Уголь_коэфф!$A:$B,2,1)),1+(1-$AU22))</f>
        <v>1.1040000000000001</v>
      </c>
      <c r="BN22" s="102">
        <f>MIN(IF($AU22=100%,1,1+VLOOKUP(($AJ22-$AI22-$AH22-$AG22-$AF22-$AE22*(1+BN$3))/$AJ22,Уголь_коэфф!$A:$B,2,1)-VLOOKUP($AO22,Уголь_коэфф!$A:$B,2,1)),1+(1-$AU22))</f>
        <v>1.1040000000000001</v>
      </c>
      <c r="BO22" s="102">
        <f>MIN(IF($AU22=100%,1,1+VLOOKUP(($AJ22-$AI22-$AH22-$AG22-$AF22-$AE22*(1+BO$3))/$AJ22,Уголь_коэфф!$A:$B,2,1)-VLOOKUP($AO22,Уголь_коэфф!$A:$B,2,1)),1+(1-$AU22))</f>
        <v>1.1040000000000001</v>
      </c>
      <c r="BP22" s="102">
        <f>MIN(IF($AU22=100%,1,1+VLOOKUP(($AJ22-$AI22-$AH22-$AG22-$AF22-$AE22*(1+BP$3))/$AJ22,Уголь_коэфф!$A:$B,2,1)-VLOOKUP($AO22,Уголь_коэфф!$A:$B,2,1)),1+(1-$AU22))</f>
        <v>1.1040000000000001</v>
      </c>
      <c r="BQ22" s="102">
        <f>MIN(IF($AU22=100%,1,1+VLOOKUP(($AJ22-$AI22-$AH22-$AG22-$AF22-$AE22*(1+BQ$3))/$AJ22,Уголь_коэфф!$A:$B,2,1)-VLOOKUP($AO22,Уголь_коэфф!$A:$B,2,1)),1+(1-$AU22))</f>
        <v>1.0990000000000002</v>
      </c>
      <c r="BR22" s="102">
        <f>MIN(IF($AU22=100%,1,1+VLOOKUP(($AJ22-$AI22-$AH22-$AG22-$AF22-$AE22*(1+BR$3))/$AJ22,Уголь_коэфф!$A:$B,2,1)-VLOOKUP($AO22,Уголь_коэфф!$A:$B,2,1)),1+(1-$AU22))</f>
        <v>1.0990000000000002</v>
      </c>
      <c r="BS22" s="102">
        <f>MIN(IF($AU22=100%,1,1+VLOOKUP(($AJ22-$AI22-$AH22-$AG22-$AF22-$AE22*(1+BS$3))/$AJ22,Уголь_коэфф!$A:$B,2,1)-VLOOKUP($AO22,Уголь_коэфф!$A:$B,2,1)),1+(1-$AU22))</f>
        <v>1.0990000000000002</v>
      </c>
      <c r="BT22" s="102">
        <f>MIN(IF($AU22=100%,1,1+VLOOKUP(($AJ22-$AI22-$AH22-$AG22-$AF22-$AE22*(1+BT$3))/$AJ22,Уголь_коэфф!$A:$B,2,1)-VLOOKUP($AO22,Уголь_коэфф!$A:$B,2,1)),1+(1-$AU22))</f>
        <v>1.0990000000000002</v>
      </c>
      <c r="BU22" s="102">
        <f>MIN(IF($AU22=100%,1,1+VLOOKUP(($AJ22-$AI22-$AH22-$AG22-$AF22-$AE22*(1+BU$3))/$AJ22,Уголь_коэфф!$A:$B,2,1)-VLOOKUP($AO22,Уголь_коэфф!$A:$B,2,1)),1+(1-$AU22))</f>
        <v>1.0940000000000003</v>
      </c>
      <c r="BV22" s="102">
        <f>MIN(IF($AU22=100%,1,1+VLOOKUP(($AJ22-$AI22-$AH22-$AG22-$AF22-$AE22*(1+BV$3))/$AJ22,Уголь_коэфф!$A:$B,2,1)-VLOOKUP($AO22,Уголь_коэфф!$A:$B,2,1)),1+(1-$AU22))</f>
        <v>1.0940000000000003</v>
      </c>
      <c r="BW22" s="102">
        <f>MIN(IF($AU22=100%,1,1+VLOOKUP(($AJ22-$AI22-$AH22-$AG22-$AF22-$AE22*(1+BW$3))/$AJ22,Уголь_коэфф!$A:$B,2,1)-VLOOKUP($AO22,Уголь_коэфф!$A:$B,2,1)),1+(1-$AU22))</f>
        <v>1.0940000000000003</v>
      </c>
      <c r="BX22" s="102">
        <f>MIN(IF($AU22=100%,1,1+VLOOKUP(($AJ22-$AI22-$AH22-$AG22-$AF22-$AE22*(1+BX$3))/$AJ22,Уголь_коэфф!$A:$B,2,1)-VLOOKUP($AO22,Уголь_коэфф!$A:$B,2,1)),1+(1-$AU22))</f>
        <v>1.0940000000000003</v>
      </c>
      <c r="BY22" s="102">
        <f>MIN(IF($AU22=100%,1,1+VLOOKUP(($AJ22-$AI22-$AH22-$AG22-$AF22-$AE22*(1+BY$3))/$AJ22,Уголь_коэфф!$A:$B,2,1)-VLOOKUP($AO22,Уголь_коэфф!$A:$B,2,1)),1+(1-$AU22))</f>
        <v>1.0940000000000003</v>
      </c>
      <c r="BZ22" s="102">
        <f>MIN(IF($AU22=100%,1,1+VLOOKUP(($AJ22-$AI22-$AH22-$AG22-$AF22-$AE22*(1+BZ$3))/$AJ22,Уголь_коэфф!$A:$B,2,1)-VLOOKUP($AO22,Уголь_коэфф!$A:$B,2,1)),1+(1-$AU22))</f>
        <v>1.089</v>
      </c>
      <c r="CA22" s="102">
        <f>MIN(IF($AU22=100%,1,1+VLOOKUP(($AJ22-$AI22-$AH22-$AG22-$AF22-$AE22*(1+CA$3))/$AJ22,Уголь_коэфф!$A:$B,2,1)-VLOOKUP($AO22,Уголь_коэфф!$A:$B,2,1)),1+(1-$AU22))</f>
        <v>1.089</v>
      </c>
      <c r="CB22" s="102">
        <f>MIN(IF($AU22=100%,1,1+VLOOKUP(($AJ22-$AI22-$AH22-$AG22-$AF22-$AE22*(1+CB$3))/$AJ22,Уголь_коэфф!$A:$B,2,1)-VLOOKUP($AO22,Уголь_коэфф!$A:$B,2,1)),1+(1-$AU22))</f>
        <v>1.089</v>
      </c>
      <c r="CC22" s="102">
        <f>MIN(IF($AU22=100%,1,1+VLOOKUP(($AJ22-$AI22-$AH22-$AG22-$AF22-$AE22*(1+CC$3))/$AJ22,Уголь_коэфф!$A:$B,2,1)-VLOOKUP($AO22,Уголь_коэфф!$A:$B,2,1)),1+(1-$AU22))</f>
        <v>1.089</v>
      </c>
      <c r="CD22" s="102">
        <f>MIN(IF($AU22=100%,1,1+VLOOKUP(($AJ22-$AI22-$AH22-$AG22-$AF22-$AE22*(1+CD$3))/$AJ22,Уголь_коэфф!$A:$B,2,1)-VLOOKUP($AO22,Уголь_коэфф!$A:$B,2,1)),1+(1-$AU22))</f>
        <v>1.089</v>
      </c>
      <c r="CE22" s="102">
        <f>MIN(IF($AU22=100%,1,1+VLOOKUP(($AJ22-$AI22-$AH22-$AG22-$AF22-$AE22*(1+CE$3))/$AJ22,Уголь_коэфф!$A:$B,2,1)-VLOOKUP($AO22,Уголь_коэфф!$A:$B,2,1)),1+(1-$AU22))</f>
        <v>1.0840000000000001</v>
      </c>
      <c r="CF22" s="102">
        <f>MIN(IF($AU22=100%,1,1+VLOOKUP(($AJ22-$AI22-$AH22-$AG22-$AF22-$AE22*(1+CF$3))/$AJ22,Уголь_коэфф!$A:$B,2,1)-VLOOKUP($AO22,Уголь_коэфф!$A:$B,2,1)),1+(1-$AU22))</f>
        <v>1.0840000000000001</v>
      </c>
      <c r="CG22" s="102">
        <f>MIN(IF($AU22=100%,1,1+VLOOKUP(($AJ22-$AI22-$AH22-$AG22-$AF22-$AE22*(1+CG$3))/$AJ22,Уголь_коэфф!$A:$B,2,1)-VLOOKUP($AO22,Уголь_коэфф!$A:$B,2,1)),1+(1-$AU22))</f>
        <v>1.0840000000000001</v>
      </c>
      <c r="CH22" s="102">
        <f>MIN(IF($AU22=100%,1,1+VLOOKUP(($AJ22-$AI22-$AH22-$AG22-$AF22-$AE22*(1+CH$3))/$AJ22,Уголь_коэфф!$A:$B,2,1)-VLOOKUP($AO22,Уголь_коэфф!$A:$B,2,1)),1+(1-$AU22))</f>
        <v>1.0840000000000001</v>
      </c>
      <c r="CI22" s="102">
        <f>MIN(IF($AU22=100%,1,1+VLOOKUP(($AJ22-$AI22-$AH22-$AG22-$AF22-$AE22*(1+CI$3))/$AJ22,Уголь_коэфф!$A:$B,2,1)-VLOOKUP($AO22,Уголь_коэфф!$A:$B,2,1)),1+(1-$AU22))</f>
        <v>1.0840000000000001</v>
      </c>
      <c r="CJ22" s="102">
        <f>MIN(IF($AU22=100%,1,1+VLOOKUP(($AJ22-$AI22-$AH22-$AG22-$AF22-$AE22*(1+CJ$3))/$AJ22,Уголь_коэфф!$A:$B,2,1)-VLOOKUP($AO22,Уголь_коэфф!$A:$B,2,1)),1+(1-$AU22))</f>
        <v>1.0780000000000003</v>
      </c>
      <c r="CK22" s="102">
        <f>MIN(IF($AU22=100%,1,1+VLOOKUP(($AJ22-$AI22-$AH22-$AG22-$AF22-$AE22*(1+CK$3))/$AJ22,Уголь_коэфф!$A:$B,2,1)-VLOOKUP($AO22,Уголь_коэфф!$A:$B,2,1)),1+(1-$AU22))</f>
        <v>1.0780000000000003</v>
      </c>
      <c r="CL22" s="102">
        <f>MIN(IF($AU22=100%,1,1+VLOOKUP(($AJ22-$AI22-$AH22-$AG22-$AF22-$AE22*(1+CL$3))/$AJ22,Уголь_коэфф!$A:$B,2,1)-VLOOKUP($AO22,Уголь_коэфф!$A:$B,2,1)),1+(1-$AU22))</f>
        <v>1.0780000000000003</v>
      </c>
      <c r="CM22" s="102">
        <f>MIN(IF($AU22=100%,1,1+VLOOKUP(($AJ22-$AI22-$AH22-$AG22-$AF22-$AE22*(1+CM$3))/$AJ22,Уголь_коэфф!$A:$B,2,1)-VLOOKUP($AO22,Уголь_коэфф!$A:$B,2,1)),1+(1-$AU22))</f>
        <v>1.0780000000000003</v>
      </c>
      <c r="CN22" s="102">
        <f>MIN(IF($AU22=100%,1,1+VLOOKUP(($AJ22-$AI22-$AH22-$AG22-$AF22-$AE22*(1+CN$3))/$AJ22,Уголь_коэфф!$A:$B,2,1)-VLOOKUP($AO22,Уголь_коэфф!$A:$B,2,1)),1+(1-$AU22))</f>
        <v>1.0720000000000001</v>
      </c>
      <c r="CO22" s="102">
        <f>MIN(IF($AU22=100%,1,1+VLOOKUP(($AJ22-$AI22-$AH22-$AG22-$AF22-$AE22*(1+CO$3))/$AJ22,Уголь_коэфф!$A:$B,2,1)-VLOOKUP($AO22,Уголь_коэфф!$A:$B,2,1)),1+(1-$AU22))</f>
        <v>1.0720000000000001</v>
      </c>
      <c r="CP22" s="102">
        <f>MIN(IF($AU22=100%,1,1+VLOOKUP(($AJ22-$AI22-$AH22-$AG22-$AF22-$AE22*(1+CP$3))/$AJ22,Уголь_коэфф!$A:$B,2,1)-VLOOKUP($AO22,Уголь_коэфф!$A:$B,2,1)),1+(1-$AU22))</f>
        <v>1.0720000000000001</v>
      </c>
      <c r="CQ22" s="102">
        <f>MIN(IF($AU22=100%,1,1+VLOOKUP(($AJ22-$AI22-$AH22-$AG22-$AF22-$AE22*(1+CQ$3))/$AJ22,Уголь_коэфф!$A:$B,2,1)-VLOOKUP($AO22,Уголь_коэфф!$A:$B,2,1)),1+(1-$AU22))</f>
        <v>1.0720000000000001</v>
      </c>
      <c r="CR22" s="102">
        <f>MIN(IF($AU22=100%,1,1+VLOOKUP(($AJ22-$AI22-$AH22-$AG22-$AF22-$AE22*(1+CR$3))/$AJ22,Уголь_коэфф!$A:$B,2,1)-VLOOKUP($AO22,Уголь_коэфф!$A:$B,2,1)),1+(1-$AU22))</f>
        <v>1.0720000000000001</v>
      </c>
      <c r="CS22" s="102">
        <f>MIN(IF($AU22=100%,1,1+VLOOKUP(($AJ22-$AI22-$AH22-$AG22-$AF22-$AE22*(1+CS$3))/$AJ22,Уголь_коэфф!$A:$B,2,1)-VLOOKUP($AO22,Уголь_коэфф!$A:$B,2,1)),1+(1-$AU22))</f>
        <v>1.0660000000000003</v>
      </c>
      <c r="CT22" s="102">
        <f>MIN(IF($AU22=100%,1,1+VLOOKUP(($AJ22-$AI22-$AH22-$AG22-$AF22-$AE22*(1+CT$3))/$AJ22,Уголь_коэфф!$A:$B,2,1)-VLOOKUP($AO22,Уголь_коэфф!$A:$B,2,1)),1+(1-$AU22))</f>
        <v>1.0660000000000003</v>
      </c>
      <c r="CU22" s="102">
        <f>MIN(IF($AU22=100%,1,1+VLOOKUP(($AJ22-$AI22-$AH22-$AG22-$AF22-$AE22*(1+CU$3))/$AJ22,Уголь_коэфф!$A:$B,2,1)-VLOOKUP($AO22,Уголь_коэфф!$A:$B,2,1)),1+(1-$AU22))</f>
        <v>1.0660000000000003</v>
      </c>
      <c r="CV22" s="102">
        <f>MIN(IF($AU22=100%,1,1+VLOOKUP(($AJ22-$AI22-$AH22-$AG22-$AF22-$AE22*(1+CV$3))/$AJ22,Уголь_коэфф!$A:$B,2,1)-VLOOKUP($AO22,Уголь_коэфф!$A:$B,2,1)),1+(1-$AU22))</f>
        <v>1.0660000000000003</v>
      </c>
      <c r="CW22" s="102">
        <f>MIN(IF($AU22=100%,1,1+VLOOKUP(($AJ22-$AI22-$AH22-$AG22-$AF22-$AE22*(1+CW$3))/$AJ22,Уголь_коэфф!$A:$B,2,1)-VLOOKUP($AO22,Уголь_коэфф!$A:$B,2,1)),1+(1-$AU22))</f>
        <v>1.0660000000000003</v>
      </c>
      <c r="CX22" s="102">
        <f>MIN(IF($AU22=100%,1,1+VLOOKUP(($AJ22-$AI22-$AH22-$AG22-$AF22-$AE22*(1+CX$3))/$AJ22,Уголь_коэфф!$A:$B,2,1)-VLOOKUP($AO22,Уголь_коэфф!$A:$B,2,1)),1+(1-$AU22))</f>
        <v>1.06</v>
      </c>
      <c r="CY22" s="102">
        <f>MIN(IF($AU22=100%,1,1+VLOOKUP(($AJ22-$AI22-$AH22-$AG22-$AF22-$AE22*(1+CY$3))/$AJ22,Уголь_коэфф!$A:$B,2,1)-VLOOKUP($AO22,Уголь_коэфф!$A:$B,2,1)),1+(1-$AU22))</f>
        <v>1.06</v>
      </c>
      <c r="CZ22" s="102">
        <f>MIN(IF($AU22=100%,1,1+VLOOKUP(($AJ22-$AI22-$AH22-$AG22-$AF22-$AE22*(1+CZ$3))/$AJ22,Уголь_коэфф!$A:$B,2,1)-VLOOKUP($AO22,Уголь_коэфф!$A:$B,2,1)),1+(1-$AU22))</f>
        <v>1.06</v>
      </c>
      <c r="DA22" s="102">
        <f>MIN(IF($AU22=100%,1,1+VLOOKUP(($AJ22-$AI22-$AH22-$AG22-$AF22-$AE22*(1+DA$3))/$AJ22,Уголь_коэфф!$A:$B,2,1)-VLOOKUP($AO22,Уголь_коэфф!$A:$B,2,1)),1+(1-$AU22))</f>
        <v>1.06</v>
      </c>
      <c r="DB22" s="102">
        <f>MIN(IF($AU22=100%,1,1+VLOOKUP(($AJ22-$AI22-$AH22-$AG22-$AF22-$AE22*(1+DB$3))/$AJ22,Уголь_коэфф!$A:$B,2,1)-VLOOKUP($AO22,Уголь_коэфф!$A:$B,2,1)),1+(1-$AU22))</f>
        <v>1.0540000000000003</v>
      </c>
      <c r="DC22" s="102">
        <f>MIN(IF($AU22=100%,1,1+VLOOKUP(($AJ22-$AI22-$AH22-$AG22-$AF22-$AE22*(1+DC$3))/$AJ22,Уголь_коэфф!$A:$B,2,1)-VLOOKUP($AO22,Уголь_коэфф!$A:$B,2,1)),1+(1-$AU22))</f>
        <v>1.0540000000000003</v>
      </c>
      <c r="DD22" s="102">
        <f>MIN(IF($AU22=100%,1,1+VLOOKUP(($AJ22-$AI22-$AH22-$AG22-$AF22-$AE22*(1+DD$3))/$AJ22,Уголь_коэфф!$A:$B,2,1)-VLOOKUP($AO22,Уголь_коэфф!$A:$B,2,1)),1+(1-$AU22))</f>
        <v>1.0540000000000003</v>
      </c>
      <c r="DE22" s="102">
        <f>MIN(IF($AU22=100%,1,1+VLOOKUP(($AJ22-$AI22-$AH22-$AG22-$AF22-$AE22*(1+DE$3))/$AJ22,Уголь_коэфф!$A:$B,2,1)-VLOOKUP($AO22,Уголь_коэфф!$A:$B,2,1)),1+(1-$AU22))</f>
        <v>1.0540000000000003</v>
      </c>
      <c r="DF22" s="102">
        <f>MIN(IF($AU22=100%,1,1+VLOOKUP(($AJ22-$AI22-$AH22-$AG22-$AF22-$AE22*(1+DF$3))/$AJ22,Уголь_коэфф!$A:$B,2,1)-VLOOKUP($AO22,Уголь_коэфф!$A:$B,2,1)),1+(1-$AU22))</f>
        <v>1.0540000000000003</v>
      </c>
      <c r="DG22" s="102">
        <f>MIN(IF($AU22=100%,1,1+VLOOKUP(($AJ22-$AI22-$AH22-$AG22-$AF22-$AE22*(1+DG$3))/$AJ22,Уголь_коэфф!$A:$B,2,1)-VLOOKUP($AO22,Уголь_коэфф!$A:$B,2,1)),1+(1-$AU22))</f>
        <v>1.048</v>
      </c>
      <c r="DH22" s="102">
        <f>MIN(IF($AU22=100%,1,1+VLOOKUP(($AJ22-$AI22-$AH22-$AG22-$AF22-$AE22*(1+DH$3))/$AJ22,Уголь_коэфф!$A:$B,2,1)-VLOOKUP($AO22,Уголь_коэфф!$A:$B,2,1)),1+(1-$AU22))</f>
        <v>1.048</v>
      </c>
      <c r="DI22" s="102">
        <f>MIN(IF($AU22=100%,1,1+VLOOKUP(($AJ22-$AI22-$AH22-$AG22-$AF22-$AE22*(1+DI$3))/$AJ22,Уголь_коэфф!$A:$B,2,1)-VLOOKUP($AO22,Уголь_коэфф!$A:$B,2,1)),1+(1-$AU22))</f>
        <v>1.048</v>
      </c>
      <c r="DJ22" s="102">
        <f>MIN(IF($AU22=100%,1,1+VLOOKUP(($AJ22-$AI22-$AH22-$AG22-$AF22-$AE22*(1+DJ$3))/$AJ22,Уголь_коэфф!$A:$B,2,1)-VLOOKUP($AO22,Уголь_коэфф!$A:$B,2,1)),1+(1-$AU22))</f>
        <v>1.048</v>
      </c>
      <c r="DK22" s="102">
        <f>MIN(IF($AU22=100%,1,1+VLOOKUP(($AJ22-$AI22-$AH22-$AG22-$AF22-$AE22*(1+DK$3))/$AJ22,Уголь_коэфф!$A:$B,2,1)-VLOOKUP($AO22,Уголь_коэфф!$A:$B,2,1)),1+(1-$AU22))</f>
        <v>1.048</v>
      </c>
      <c r="DL22" s="102">
        <f>MIN(IF($AU22=100%,1,1+VLOOKUP(($AJ22-$AI22-$AH22-$AG22-$AF22-$AE22*(1+DL$3))/$AJ22,Уголь_коэфф!$A:$B,2,1)-VLOOKUP($AO22,Уголь_коэфф!$A:$B,2,1)),1+(1-$AU22))</f>
        <v>1.0420000000000003</v>
      </c>
      <c r="DM22" s="102">
        <f>MIN(IF($AU22=100%,1,1+VLOOKUP(($AJ22-$AI22-$AH22-$AG22-$AF22-$AE22*(1+DM$3))/$AJ22,Уголь_коэфф!$A:$B,2,1)-VLOOKUP($AO22,Уголь_коэфф!$A:$B,2,1)),1+(1-$AU22))</f>
        <v>1.0420000000000003</v>
      </c>
      <c r="DN22" s="102">
        <f>MIN(IF($AU22=100%,1,1+VLOOKUP(($AJ22-$AI22-$AH22-$AG22-$AF22-$AE22*(1+DN$3))/$AJ22,Уголь_коэфф!$A:$B,2,1)-VLOOKUP($AO22,Уголь_коэфф!$A:$B,2,1)),1+(1-$AU22))</f>
        <v>1.0420000000000003</v>
      </c>
      <c r="DO22" s="102">
        <f>MIN(IF($AU22=100%,1,1+VLOOKUP(($AJ22-$AI22-$AH22-$AG22-$AF22-$AE22*(1+DO$3))/$AJ22,Уголь_коэфф!$A:$B,2,1)-VLOOKUP($AO22,Уголь_коэфф!$A:$B,2,1)),1+(1-$AU22))</f>
        <v>1.0420000000000003</v>
      </c>
      <c r="DP22" s="102">
        <f>MIN(IF($AU22=100%,1,1+VLOOKUP(($AJ22-$AI22-$AH22-$AG22-$AF22-$AE22*(1+DP$3))/$AJ22,Уголь_коэфф!$A:$B,2,1)-VLOOKUP($AO22,Уголь_коэфф!$A:$B,2,1)),1+(1-$AU22))</f>
        <v>1.036</v>
      </c>
      <c r="DQ22" s="102">
        <f>MIN(IF($AU22=100%,1,1+VLOOKUP(($AJ22-$AI22-$AH22-$AG22-$AF22-$AE22*(1+DQ$3))/$AJ22,Уголь_коэфф!$A:$B,2,1)-VLOOKUP($AO22,Уголь_коэфф!$A:$B,2,1)),1+(1-$AU22))</f>
        <v>1.036</v>
      </c>
      <c r="DR22" s="102">
        <f>MIN(IF($AU22=100%,1,1+VLOOKUP(($AJ22-$AI22-$AH22-$AG22-$AF22-$AE22*(1+DR$3))/$AJ22,Уголь_коэфф!$A:$B,2,1)-VLOOKUP($AO22,Уголь_коэфф!$A:$B,2,1)),1+(1-$AU22))</f>
        <v>1.036</v>
      </c>
      <c r="DS22" s="102">
        <f>MIN(IF($AU22=100%,1,1+VLOOKUP(($AJ22-$AI22-$AH22-$AG22-$AF22-$AE22*(1+DS$3))/$AJ22,Уголь_коэфф!$A:$B,2,1)-VLOOKUP($AO22,Уголь_коэфф!$A:$B,2,1)),1+(1-$AU22))</f>
        <v>1.036</v>
      </c>
      <c r="DT22" s="102">
        <f>MIN(IF($AU22=100%,1,1+VLOOKUP(($AJ22-$AI22-$AH22-$AG22-$AF22-$AE22*(1+DT$3))/$AJ22,Уголь_коэфф!$A:$B,2,1)-VLOOKUP($AO22,Уголь_коэфф!$A:$B,2,1)),1+(1-$AU22))</f>
        <v>1.036</v>
      </c>
      <c r="DU22" s="102">
        <f>MIN(IF($AU22=100%,1,1+VLOOKUP(($AJ22-$AI22-$AH22-$AG22-$AF22-$AE22*(1+DU$3))/$AJ22,Уголь_коэфф!$A:$B,2,1)-VLOOKUP($AO22,Уголь_коэфф!$A:$B,2,1)),1+(1-$AU22))</f>
        <v>1.0300000000000002</v>
      </c>
      <c r="DV22" s="102">
        <f>MIN(IF($AU22=100%,1,1+VLOOKUP(($AJ22-$AI22-$AH22-$AG22-$AF22-$AE22*(1+DV$3))/$AJ22,Уголь_коэфф!$A:$B,2,1)-VLOOKUP($AO22,Уголь_коэфф!$A:$B,2,1)),1+(1-$AU22))</f>
        <v>1.0300000000000002</v>
      </c>
      <c r="DW22" s="102">
        <f>MIN(IF($AU22=100%,1,1+VLOOKUP(($AJ22-$AI22-$AH22-$AG22-$AF22-$AE22*(1+DW$3))/$AJ22,Уголь_коэфф!$A:$B,2,1)-VLOOKUP($AO22,Уголь_коэфф!$A:$B,2,1)),1+(1-$AU22))</f>
        <v>1.0300000000000002</v>
      </c>
      <c r="DX22" s="102">
        <f>MIN(IF($AU22=100%,1,1+VLOOKUP(($AJ22-$AI22-$AH22-$AG22-$AF22-$AE22*(1+DX$3))/$AJ22,Уголь_коэфф!$A:$B,2,1)-VLOOKUP($AO22,Уголь_коэфф!$A:$B,2,1)),1+(1-$AU22))</f>
        <v>1.0300000000000002</v>
      </c>
      <c r="DY22" s="102">
        <f>MIN(IF($AU22=100%,1,1+VLOOKUP(($AJ22-$AI22-$AH22-$AG22-$AF22-$AE22*(1+DY$3))/$AJ22,Уголь_коэфф!$A:$B,2,1)-VLOOKUP($AO22,Уголь_коэфф!$A:$B,2,1)),1+(1-$AU22))</f>
        <v>1.0300000000000002</v>
      </c>
      <c r="DZ22" s="102">
        <f>MIN(IF($AU22=100%,1,1+VLOOKUP(($AJ22-$AI22-$AH22-$AG22-$AF22-$AE22*(1+DZ$3))/$AJ22,Уголь_коэфф!$A:$B,2,1)-VLOOKUP($AO22,Уголь_коэфф!$A:$B,2,1)),1+(1-$AU22))</f>
        <v>1.024</v>
      </c>
      <c r="EA22" s="102">
        <f>MIN(IF($AU22=100%,1,1+VLOOKUP(($AJ22-$AI22-$AH22-$AG22-$AF22-$AE22*(1+EA$3))/$AJ22,Уголь_коэфф!$A:$B,2,1)-VLOOKUP($AO22,Уголь_коэфф!$A:$B,2,1)),1+(1-$AU22))</f>
        <v>1.024</v>
      </c>
      <c r="EB22" s="102">
        <f>MIN(IF($AU22=100%,1,1+VLOOKUP(($AJ22-$AI22-$AH22-$AG22-$AF22-$AE22*(1+EB$3))/$AJ22,Уголь_коэфф!$A:$B,2,1)-VLOOKUP($AO22,Уголь_коэфф!$A:$B,2,1)),1+(1-$AU22))</f>
        <v>1.024</v>
      </c>
      <c r="EC22" s="102">
        <f>MIN(IF($AU22=100%,1,1+VLOOKUP(($AJ22-$AI22-$AH22-$AG22-$AF22-$AE22*(1+EC$3))/$AJ22,Уголь_коэфф!$A:$B,2,1)-VLOOKUP($AO22,Уголь_коэфф!$A:$B,2,1)),1+(1-$AU22))</f>
        <v>1.024</v>
      </c>
      <c r="ED22" s="102">
        <f>MIN(IF($AU22=100%,1,1+VLOOKUP(($AJ22-$AI22-$AH22-$AG22-$AF22-$AE22*(1+ED$3))/$AJ22,Уголь_коэфф!$A:$B,2,1)-VLOOKUP($AO22,Уголь_коэфф!$A:$B,2,1)),1+(1-$AU22))</f>
        <v>1.0180000000000002</v>
      </c>
      <c r="EE22" s="102">
        <f>MIN(IF($AU22=100%,1,1+VLOOKUP(($AJ22-$AI22-$AH22-$AG22-$AF22-$AE22*(1+EE$3))/$AJ22,Уголь_коэфф!$A:$B,2,1)-VLOOKUP($AO22,Уголь_коэфф!$A:$B,2,1)),1+(1-$AU22))</f>
        <v>1.0180000000000002</v>
      </c>
      <c r="EF22" s="102">
        <f>MIN(IF($AU22=100%,1,1+VLOOKUP(($AJ22-$AI22-$AH22-$AG22-$AF22-$AE22*(1+EF$3))/$AJ22,Уголь_коэфф!$A:$B,2,1)-VLOOKUP($AO22,Уголь_коэфф!$A:$B,2,1)),1+(1-$AU22))</f>
        <v>1.0180000000000002</v>
      </c>
      <c r="EG22" s="102">
        <f>MIN(IF($AU22=100%,1,1+VLOOKUP(($AJ22-$AI22-$AH22-$AG22-$AF22-$AE22*(1+EG$3))/$AJ22,Уголь_коэфф!$A:$B,2,1)-VLOOKUP($AO22,Уголь_коэфф!$A:$B,2,1)),1+(1-$AU22))</f>
        <v>1.0180000000000002</v>
      </c>
      <c r="EH22" s="102">
        <f>MIN(IF($AU22=100%,1,1+VLOOKUP(($AJ22-$AI22-$AH22-$AG22-$AF22-$AE22*(1+EH$3))/$AJ22,Уголь_коэфф!$A:$B,2,1)-VLOOKUP($AO22,Уголь_коэфф!$A:$B,2,1)),1+(1-$AU22))</f>
        <v>1.0180000000000002</v>
      </c>
      <c r="EI22" s="102">
        <f>MIN(IF($AU22=100%,1,1+VLOOKUP(($AJ22-$AI22-$AH22-$AG22-$AF22-$AE22*(1+EI$3))/$AJ22,Уголь_коэфф!$A:$B,2,1)-VLOOKUP($AO22,Уголь_коэфф!$A:$B,2,1)),1+(1-$AU22))</f>
        <v>1.012</v>
      </c>
      <c r="EJ22" s="102">
        <f>MIN(IF($AU22=100%,1,1+VLOOKUP(($AJ22-$AI22-$AH22-$AG22-$AF22-$AE22*(1+EJ$3))/$AJ22,Уголь_коэфф!$A:$B,2,1)-VLOOKUP($AO22,Уголь_коэфф!$A:$B,2,1)),1+(1-$AU22))</f>
        <v>1.012</v>
      </c>
      <c r="EK22" s="102">
        <f>MIN(IF($AU22=100%,1,1+VLOOKUP(($AJ22-$AI22-$AH22-$AG22-$AF22-$AE22*(1+EK$3))/$AJ22,Уголь_коэфф!$A:$B,2,1)-VLOOKUP($AO22,Уголь_коэфф!$A:$B,2,1)),1+(1-$AU22))</f>
        <v>1.012</v>
      </c>
      <c r="EL22" s="102">
        <f>MIN(IF($AU22=100%,1,1+VLOOKUP(($AJ22-$AI22-$AH22-$AG22-$AF22-$AE22*(1+EL$3))/$AJ22,Уголь_коэфф!$A:$B,2,1)-VLOOKUP($AO22,Уголь_коэфф!$A:$B,2,1)),1+(1-$AU22))</f>
        <v>1.012</v>
      </c>
      <c r="EM22" s="102">
        <f>MIN(IF($AU22=100%,1,1+VLOOKUP(($AJ22-$AI22-$AH22-$AG22-$AF22-$AE22*(1+EM$3))/$AJ22,Уголь_коэфф!$A:$B,2,1)-VLOOKUP($AO22,Уголь_коэфф!$A:$B,2,1)),1+(1-$AU22))</f>
        <v>1.012</v>
      </c>
      <c r="EN22" s="102">
        <f>MIN(IF($AU22=100%,1,1+VLOOKUP(($AJ22-$AI22-$AH22-$AG22-$AF22-$AE22*(1+EN$3))/$AJ22,Уголь_коэфф!$A:$B,2,1)-VLOOKUP($AO22,Уголь_коэфф!$A:$B,2,1)),1+(1-$AU22))</f>
        <v>1.0060000000000002</v>
      </c>
      <c r="EO22" s="102">
        <f>MIN(IF($AU22=100%,1,1+VLOOKUP(($AJ22-$AI22-$AH22-$AG22-$AF22-$AE22*(1+EO$3))/$AJ22,Уголь_коэфф!$A:$B,2,1)-VLOOKUP($AO22,Уголь_коэфф!$A:$B,2,1)),1+(1-$AU22))</f>
        <v>1.0060000000000002</v>
      </c>
      <c r="EP22" s="102">
        <f>MIN(IF($AU22=100%,1,1+VLOOKUP(($AJ22-$AI22-$AH22-$AG22-$AF22-$AE22*(1+EP$3))/$AJ22,Уголь_коэфф!$A:$B,2,1)-VLOOKUP($AO22,Уголь_коэфф!$A:$B,2,1)),1+(1-$AU22))</f>
        <v>1.0060000000000002</v>
      </c>
      <c r="EQ22" s="102">
        <f>MIN(IF($AU22=100%,1,1+VLOOKUP(($AJ22-$AI22-$AH22-$AG22-$AF22-$AE22*(1+EQ$3))/$AJ22,Уголь_коэфф!$A:$B,2,1)-VLOOKUP($AO22,Уголь_коэфф!$A:$B,2,1)),1+(1-$AU22))</f>
        <v>1.0060000000000002</v>
      </c>
      <c r="ER22" s="102">
        <f>MIN(IF($AU22=100%,1,1+VLOOKUP(($AJ22-$AI22-$AH22-$AG22-$AF22-$AE22*(1+ER$3))/$AJ22,Уголь_коэфф!$A:$B,2,1)-VLOOKUP($AO22,Уголь_коэфф!$A:$B,2,1)),1+(1-$AU22))</f>
        <v>1.0060000000000002</v>
      </c>
      <c r="ES22" s="102">
        <f>MIN(IF($AU22=100%,1,1+VLOOKUP(($AJ22-$AI22-$AH22-$AG22-$AF22-$AE22*(1+ES$3))/$AJ22,Уголь_коэфф!$A:$B,2,1)-VLOOKUP($AO22,Уголь_коэфф!$A:$B,2,1)),1+(1-$AU22))</f>
        <v>0.99999999999999989</v>
      </c>
      <c r="ET22" s="102">
        <f>MIN(IF($AU22=100%,1,1+VLOOKUP(($AJ22-$AI22-$AH22-$AG22-$AF22-$AE22*(1+ET$3))/$AJ22,Уголь_коэфф!$A:$B,2,1)-VLOOKUP($AO22,Уголь_коэфф!$A:$B,2,1)),1+(1-$AU22))</f>
        <v>0.99999999999999989</v>
      </c>
      <c r="EU22" s="102">
        <f>MIN(IF($AU22=100%,1,1+VLOOKUP(($AJ22-$AI22-$AH22-$AG22-$AF22-$AE22*(1+EU$3))/$AJ22,Уголь_коэфф!$A:$B,2,1)-VLOOKUP($AO22,Уголь_коэфф!$A:$B,2,1)),1+(1-$AU22))</f>
        <v>0.99999999999999989</v>
      </c>
      <c r="EV22" s="103">
        <v>1</v>
      </c>
      <c r="EW22" s="102">
        <f>MIN(1,MAX(VLOOKUP(($AJ22-$AI22-$AH22-$AG22-$AF22-$AE22*(1+EW$3))/$AJ22,Уголь_коэфф!$A:$B,2,1),(EV22-0.05)))</f>
        <v>0.95</v>
      </c>
      <c r="EX22" s="102">
        <f>MIN(1,MAX(VLOOKUP(($AJ22-$AI22-$AH22-$AG22-$AF22-$AE22*(1+EX$3))/$AJ22,Уголь_коэфф!$A:$B,2,1),(EW22-0.05)))</f>
        <v>0.89999999999999991</v>
      </c>
      <c r="EY22" s="102">
        <f>MIN(1,MAX(VLOOKUP(($AJ22-$AI22-$AH22-$AG22-$AF22-$AE22*(1+EY$3))/$AJ22,Уголь_коэфф!$A:$B,2,1),(EX22-0.05)))</f>
        <v>0.84999999999999987</v>
      </c>
      <c r="EZ22" s="102">
        <f>MIN(1,MAX(VLOOKUP(($AJ22-$AI22-$AH22-$AG22-$AF22-$AE22*(1+EZ$3))/$AJ22,Уголь_коэфф!$A:$B,2,1),(EY22-0.05)))</f>
        <v>0.82899999999999996</v>
      </c>
      <c r="FA22" s="102">
        <f>MIN(1,MAX(VLOOKUP(($AJ22-$AI22-$AH22-$AG22-$AF22-$AE22*(1+FA$3))/$AJ22,Уголь_коэфф!$A:$B,2,1),(EZ22-0.05)))</f>
        <v>0.82899999999999996</v>
      </c>
      <c r="FB22" s="102">
        <f>MIN(1,MAX(VLOOKUP(($AJ22-$AI22-$AH22-$AG22-$AF22-$AE22*(1+FB$3))/$AJ22,Уголь_коэфф!$A:$B,2,1),(FA22-0.05)))</f>
        <v>0.82199999999999995</v>
      </c>
      <c r="FC22" s="102">
        <f>MIN(1,MAX(VLOOKUP(($AJ22-$AI22-$AH22-$AG22-$AF22-$AE22*(1+FC$3))/$AJ22,Уголь_коэфф!$A:$B,2,1),(FB22-0.05)))</f>
        <v>0.82199999999999995</v>
      </c>
      <c r="FD22" s="102">
        <f>MIN(1,MAX(VLOOKUP(($AJ22-$AI22-$AH22-$AG22-$AF22-$AE22*(1+FD$3))/$AJ22,Уголь_коэфф!$A:$B,2,1),(FC22-0.05)))</f>
        <v>0.82199999999999995</v>
      </c>
      <c r="FE22" s="102">
        <f>MIN(1,MAX(VLOOKUP(($AJ22-$AI22-$AH22-$AG22-$AF22-$AE22*(1+FE$3))/$AJ22,Уголь_коэфф!$A:$B,2,1),(FD22-0.05)))</f>
        <v>0.82199999999999995</v>
      </c>
      <c r="FF22" s="102">
        <f>MIN(1,MAX(VLOOKUP(($AJ22-$AI22-$AH22-$AG22-$AF22-$AE22*(1+FF$3))/$AJ22,Уголь_коэфф!$A:$B,2,1),(FE22-0.05)))</f>
        <v>0.82199999999999995</v>
      </c>
      <c r="FG22" s="102">
        <f>MIN(1,MAX(VLOOKUP(($AJ22-$AI22-$AH22-$AG22-$AF22-$AE22*(1+FG$3))/$AJ22,Уголь_коэфф!$A:$B,2,1),(FF22-0.05)))</f>
        <v>0.81499999999999995</v>
      </c>
      <c r="FH22" s="102">
        <f>MIN(1,MAX(VLOOKUP(($AJ22-$AI22-$AH22-$AG22-$AF22-$AE22*(1+FH$3))/$AJ22,Уголь_коэфф!$A:$B,2,1),(FG22-0.05)))</f>
        <v>0.81499999999999995</v>
      </c>
      <c r="FI22" s="102">
        <f>MIN(1,MAX(VLOOKUP(($AJ22-$AI22-$AH22-$AG22-$AF22-$AE22*(1+FI$3))/$AJ22,Уголь_коэфф!$A:$B,2,1),(FH22-0.05)))</f>
        <v>0.81499999999999995</v>
      </c>
      <c r="FJ22" s="102">
        <f>MIN(1,MAX(VLOOKUP(($AJ22-$AI22-$AH22-$AG22-$AF22-$AE22*(1+FJ$3))/$AJ22,Уголь_коэфф!$A:$B,2,1),(FI22-0.05)))</f>
        <v>0.81499999999999995</v>
      </c>
      <c r="FK22" s="102">
        <f>MIN(1,MAX(VLOOKUP(($AJ22-$AI22-$AH22-$AG22-$AF22-$AE22*(1+FK$3))/$AJ22,Уголь_коэфф!$A:$B,2,1),(FJ22-0.05)))</f>
        <v>0.80800000000000005</v>
      </c>
      <c r="FL22" s="102">
        <f>MIN(1,MAX(VLOOKUP(($AJ22-$AI22-$AH22-$AG22-$AF22-$AE22*(1+FL$3))/$AJ22,Уголь_коэфф!$A:$B,2,1),(FK22-0.05)))</f>
        <v>0.80800000000000005</v>
      </c>
      <c r="FM22" s="102">
        <f>MIN(1,MAX(VLOOKUP(($AJ22-$AI22-$AH22-$AG22-$AF22-$AE22*(1+FM$3))/$AJ22,Уголь_коэфф!$A:$B,2,1),(FL22-0.05)))</f>
        <v>0.80800000000000005</v>
      </c>
      <c r="FN22" s="102">
        <f>MIN(1,MAX(VLOOKUP(($AJ22-$AI22-$AH22-$AG22-$AF22-$AE22*(1+FN$3))/$AJ22,Уголь_коэфф!$A:$B,2,1),(FM22-0.05)))</f>
        <v>0.80800000000000005</v>
      </c>
      <c r="FO22" s="102">
        <f>MIN(1,MAX(VLOOKUP(($AJ22-$AI22-$AH22-$AG22-$AF22-$AE22*(1+FO$3))/$AJ22,Уголь_коэфф!$A:$B,2,1),(FN22-0.05)))</f>
        <v>0.80800000000000005</v>
      </c>
      <c r="FP22" s="102">
        <f>MIN(1,MAX(VLOOKUP(($AJ22-$AI22-$AH22-$AG22-$AF22-$AE22*(1+FP$3))/$AJ22,Уголь_коэфф!$A:$B,2,1),(FO22-0.05)))</f>
        <v>0.80100000000000005</v>
      </c>
      <c r="FQ22" s="102">
        <f>MIN(1,MAX(VLOOKUP(($AJ22-$AI22-$AH22-$AG22-$AF22-$AE22*(1+FQ$3))/$AJ22,Уголь_коэфф!$A:$B,2,1),(FP22-0.05)))</f>
        <v>0.80100000000000005</v>
      </c>
      <c r="FR22" s="102">
        <f>MIN(1,MAX(VLOOKUP(($AJ22-$AI22-$AH22-$AG22-$AF22-$AE22*(1+FR$3))/$AJ22,Уголь_коэфф!$A:$B,2,1),(FQ22-0.05)))</f>
        <v>0.80100000000000005</v>
      </c>
      <c r="FS22" s="102">
        <f>MIN(1,MAX(VLOOKUP(($AJ22-$AI22-$AH22-$AG22-$AF22-$AE22*(1+FS$3))/$AJ22,Уголь_коэфф!$A:$B,2,1),(FR22-0.05)))</f>
        <v>0.80100000000000005</v>
      </c>
      <c r="FT22" s="102">
        <f>MIN(1,MAX(VLOOKUP(($AJ22-$AI22-$AH22-$AG22-$AF22-$AE22*(1+FT$3))/$AJ22,Уголь_коэфф!$A:$B,2,1),(FS22-0.05)))</f>
        <v>0.80100000000000005</v>
      </c>
      <c r="FU22" s="102">
        <f>MIN(1,MAX(VLOOKUP(($AJ22-$AI22-$AH22-$AG22-$AF22-$AE22*(1+FU$3))/$AJ22,Уголь_коэфф!$A:$B,2,1),(FT22-0.05)))</f>
        <v>0.79400000000000004</v>
      </c>
      <c r="FV22" s="102">
        <f>MIN(1,MAX(VLOOKUP(($AJ22-$AI22-$AH22-$AG22-$AF22-$AE22*(1+FV$3))/$AJ22,Уголь_коэфф!$A:$B,2,1),(FU22-0.05)))</f>
        <v>0.79400000000000004</v>
      </c>
      <c r="FW22" s="102">
        <f>MIN(1,MAX(VLOOKUP(($AJ22-$AI22-$AH22-$AG22-$AF22-$AE22*(1+FW$3))/$AJ22,Уголь_коэфф!$A:$B,2,1),(FV22-0.05)))</f>
        <v>0.79400000000000004</v>
      </c>
      <c r="FX22" s="102">
        <f>MIN(1,MAX(VLOOKUP(($AJ22-$AI22-$AH22-$AG22-$AF22-$AE22*(1+FX$3))/$AJ22,Уголь_коэфф!$A:$B,2,1),(FW22-0.05)))</f>
        <v>0.79400000000000004</v>
      </c>
      <c r="FY22" s="102">
        <f>MIN(1,MAX(VLOOKUP(($AJ22-$AI22-$AH22-$AG22-$AF22-$AE22*(1+FY$3))/$AJ22,Уголь_коэфф!$A:$B,2,1),(FX22-0.05)))</f>
        <v>0.78700000000000003</v>
      </c>
      <c r="FZ22" s="102">
        <f>MIN(1,MAX(VLOOKUP(($AJ22-$AI22-$AH22-$AG22-$AF22-$AE22*(1+FZ$3))/$AJ22,Уголь_коэфф!$A:$B,2,1),(FY22-0.05)))</f>
        <v>0.78700000000000003</v>
      </c>
      <c r="GA22" s="102">
        <f>MIN(1,MAX(VLOOKUP(($AJ22-$AI22-$AH22-$AG22-$AF22-$AE22*(1+GA$3))/$AJ22,Уголь_коэфф!$A:$B,2,1),(FZ22-0.05)))</f>
        <v>0.78700000000000003</v>
      </c>
      <c r="GB22" s="102">
        <f>MIN(1,MAX(VLOOKUP(($AJ22-$AI22-$AH22-$AG22-$AF22-$AE22*(1+GB$3))/$AJ22,Уголь_коэфф!$A:$B,2,1),(GA22-0.05)))</f>
        <v>0.78700000000000003</v>
      </c>
      <c r="GC22" s="102">
        <f>MIN(1,MAX(VLOOKUP(($AJ22-$AI22-$AH22-$AG22-$AF22-$AE22*(1+GC$3))/$AJ22,Уголь_коэфф!$A:$B,2,1),(GB22-0.05)))</f>
        <v>0.78700000000000003</v>
      </c>
      <c r="GD22" s="102">
        <f>MIN(1,MAX(VLOOKUP(($AJ22-$AI22-$AH22-$AG22-$AF22-$AE22*(1+GD$3))/$AJ22,Уголь_коэфф!$A:$B,2,1),(GC22-0.05)))</f>
        <v>0.78</v>
      </c>
      <c r="GE22" s="102">
        <f>MIN(1,MAX(VLOOKUP(($AJ22-$AI22-$AH22-$AG22-$AF22-$AE22*(1+GE$3))/$AJ22,Уголь_коэфф!$A:$B,2,1),(GD22-0.05)))</f>
        <v>0.78</v>
      </c>
      <c r="GF22" s="102">
        <f>MIN(1,MAX(VLOOKUP(($AJ22-$AI22-$AH22-$AG22-$AF22-$AE22*(1+GF$3))/$AJ22,Уголь_коэфф!$A:$B,2,1),(GE22-0.05)))</f>
        <v>0.78</v>
      </c>
      <c r="GG22" s="102">
        <f>MIN(1,MAX(VLOOKUP(($AJ22-$AI22-$AH22-$AG22-$AF22-$AE22*(1+GG$3))/$AJ22,Уголь_коэфф!$A:$B,2,1),(GF22-0.05)))</f>
        <v>0.78</v>
      </c>
      <c r="GH22" s="102">
        <f>MIN(1,MAX(VLOOKUP(($AJ22-$AI22-$AH22-$AG22-$AF22-$AE22*(1+GH$3))/$AJ22,Уголь_коэфф!$A:$B,2,1),(GG22-0.05)))</f>
        <v>0.78</v>
      </c>
      <c r="GI22" s="102">
        <f>MIN(1,MAX(VLOOKUP(($AJ22-$AI22-$AH22-$AG22-$AF22-$AE22*(1+GI$3))/$AJ22,Уголь_коэфф!$A:$B,2,1),(GH22-0.05)))</f>
        <v>0.77300000000000002</v>
      </c>
      <c r="GJ22" s="102">
        <f>MIN(1,MAX(VLOOKUP(($AJ22-$AI22-$AH22-$AG22-$AF22-$AE22*(1+GJ$3))/$AJ22,Уголь_коэфф!$A:$B,2,1),(GI22-0.05)))</f>
        <v>0.77300000000000002</v>
      </c>
      <c r="GK22" s="102">
        <f>MIN(1,MAX(VLOOKUP(($AJ22-$AI22-$AH22-$AG22-$AF22-$AE22*(1+GK$3))/$AJ22,Уголь_коэфф!$A:$B,2,1),(GJ22-0.05)))</f>
        <v>0.77300000000000002</v>
      </c>
      <c r="GL22" s="102">
        <f>MIN(1,MAX(VLOOKUP(($AJ22-$AI22-$AH22-$AG22-$AF22-$AE22*(1+GL$3))/$AJ22,Уголь_коэфф!$A:$B,2,1),(GK22-0.05)))</f>
        <v>0.77300000000000002</v>
      </c>
      <c r="GM22" s="102">
        <f>MIN(1,MAX(VLOOKUP(($AJ22-$AI22-$AH22-$AG22-$AF22-$AE22*(1+GM$3))/$AJ22,Уголь_коэфф!$A:$B,2,1),(GL22-0.05)))</f>
        <v>0.76600000000000001</v>
      </c>
      <c r="GN22" s="102">
        <f>MIN(1,MAX(VLOOKUP(($AJ22-$AI22-$AH22-$AG22-$AF22-$AE22*(1+GN$3))/$AJ22,Уголь_коэфф!$A:$B,2,1),(GM22-0.05)))</f>
        <v>0.76600000000000001</v>
      </c>
      <c r="GO22" s="102">
        <f>MIN(1,MAX(VLOOKUP(($AJ22-$AI22-$AH22-$AG22-$AF22-$AE22*(1+GO$3))/$AJ22,Уголь_коэфф!$A:$B,2,1),(GN22-0.05)))</f>
        <v>0.76600000000000001</v>
      </c>
      <c r="GP22" s="102">
        <f>MIN(1,MAX(VLOOKUP(($AJ22-$AI22-$AH22-$AG22-$AF22-$AE22*(1+GP$3))/$AJ22,Уголь_коэфф!$A:$B,2,1),(GO22-0.05)))</f>
        <v>0.76600000000000001</v>
      </c>
      <c r="GQ22" s="102">
        <f>MIN(1,MAX(VLOOKUP(($AJ22-$AI22-$AH22-$AG22-$AF22-$AE22*(1+GQ$3))/$AJ22,Уголь_коэфф!$A:$B,2,1),(GP22-0.05)))</f>
        <v>0.76600000000000001</v>
      </c>
      <c r="GR22" s="102">
        <f>MIN(1,MAX(VLOOKUP(($AJ22-$AI22-$AH22-$AG22-$AF22-$AE22*(1+GR$3))/$AJ22,Уголь_коэфф!$A:$B,2,1),(GQ22-0.05)))</f>
        <v>0.75900000000000001</v>
      </c>
      <c r="GS22" s="102">
        <f>MIN(1,MAX(VLOOKUP(($AJ22-$AI22-$AH22-$AG22-$AF22-$AE22*(1+GS$3))/$AJ22,Уголь_коэфф!$A:$B,2,1),(GR22-0.05)))</f>
        <v>0.75900000000000001</v>
      </c>
      <c r="GT22" s="102">
        <f>MIN(1,MAX(VLOOKUP(($AJ22-$AI22-$AH22-$AG22-$AF22-$AE22*(1+GT$3))/$AJ22,Уголь_коэфф!$A:$B,2,1),(GS22-0.05)))</f>
        <v>0.75900000000000001</v>
      </c>
      <c r="GU22" s="102">
        <f>MIN(1,MAX(VLOOKUP(($AJ22-$AI22-$AH22-$AG22-$AF22-$AE22*(1+GU$3))/$AJ22,Уголь_коэфф!$A:$B,2,1),(GT22-0.05)))</f>
        <v>0.75900000000000001</v>
      </c>
      <c r="GV22" s="102">
        <f>MIN(1,MAX(VLOOKUP(($AJ22-$AI22-$AH22-$AG22-$AF22-$AE22*(1+GV$3))/$AJ22,Уголь_коэфф!$A:$B,2,1),(GU22-0.05)))</f>
        <v>0.75900000000000001</v>
      </c>
      <c r="GW22" s="102">
        <f>MIN(1,MAX(VLOOKUP(($AJ22-$AI22-$AH22-$AG22-$AF22-$AE22*(1+GW$3))/$AJ22,Уголь_коэфф!$A:$B,2,1),(GV22-0.05)))</f>
        <v>0.752</v>
      </c>
      <c r="GX22" s="102">
        <f>MIN(1,MAX(VLOOKUP(($AJ22-$AI22-$AH22-$AG22-$AF22-$AE22*(1+GX$3))/$AJ22,Уголь_коэфф!$A:$B,2,1),(GW22-0.05)))</f>
        <v>0.752</v>
      </c>
      <c r="GY22" s="102">
        <f>MIN(1,MAX(VLOOKUP(($AJ22-$AI22-$AH22-$AG22-$AF22-$AE22*(1+GY$3))/$AJ22,Уголь_коэфф!$A:$B,2,1),(GX22-0.05)))</f>
        <v>0.752</v>
      </c>
      <c r="GZ22" s="102">
        <f>MIN(1,MAX(VLOOKUP(($AJ22-$AI22-$AH22-$AG22-$AF22-$AE22*(1+GZ$3))/$AJ22,Уголь_коэфф!$A:$B,2,1),(GY22-0.05)))</f>
        <v>0.752</v>
      </c>
      <c r="HA22" s="102">
        <f>MIN(1,MAX(VLOOKUP(($AJ22-$AI22-$AH22-$AG22-$AF22-$AE22*(1+HA$3))/$AJ22,Уголь_коэфф!$A:$B,2,1),(GZ22-0.05)))</f>
        <v>0.752</v>
      </c>
      <c r="HB22" s="102">
        <f>MIN(1,MAX(VLOOKUP(($AJ22-$AI22-$AH22-$AG22-$AF22-$AE22*(1+HB$3))/$AJ22,Уголь_коэфф!$A:$B,2,1),(HA22-0.05)))</f>
        <v>0.74399999999999999</v>
      </c>
      <c r="HC22" s="102">
        <f>MIN(1,MAX(VLOOKUP(($AJ22-$AI22-$AH22-$AG22-$AF22-$AE22*(1+HC$3))/$AJ22,Уголь_коэфф!$A:$B,2,1),(HB22-0.05)))</f>
        <v>0.74399999999999999</v>
      </c>
      <c r="HD22" s="102">
        <f>MIN(1,MAX(VLOOKUP(($AJ22-$AI22-$AH22-$AG22-$AF22-$AE22*(1+HD$3))/$AJ22,Уголь_коэфф!$A:$B,2,1),(HC22-0.05)))</f>
        <v>0.74399999999999999</v>
      </c>
      <c r="HE22" s="102">
        <f>MIN(1,MAX(VLOOKUP(($AJ22-$AI22-$AH22-$AG22-$AF22-$AE22*(1+HE$3))/$AJ22,Уголь_коэфф!$A:$B,2,1),(HD22-0.05)))</f>
        <v>0.74399999999999999</v>
      </c>
      <c r="HF22" s="102">
        <f>MIN(1,MAX(VLOOKUP(($AJ22-$AI22-$AH22-$AG22-$AF22-$AE22*(1+HF$3))/$AJ22,Уголь_коэфф!$A:$B,2,1),(HE22-0.05)))</f>
        <v>0.73599999999999999</v>
      </c>
      <c r="HG22" s="102">
        <f>MIN(1,MAX(VLOOKUP(($AJ22-$AI22-$AH22-$AG22-$AF22-$AE22*(1+HG$3))/$AJ22,Уголь_коэфф!$A:$B,2,1),(HF22-0.05)))</f>
        <v>0.73599999999999999</v>
      </c>
      <c r="HH22" s="102">
        <f>MIN(1,MAX(VLOOKUP(($AJ22-$AI22-$AH22-$AG22-$AF22-$AE22*(1+HH$3))/$AJ22,Уголь_коэфф!$A:$B,2,1),(HG22-0.05)))</f>
        <v>0.73599999999999999</v>
      </c>
      <c r="HI22" s="102">
        <f>MIN(1,MAX(VLOOKUP(($AJ22-$AI22-$AH22-$AG22-$AF22-$AE22*(1+HI$3))/$AJ22,Уголь_коэфф!$A:$B,2,1),(HH22-0.05)))</f>
        <v>0.73599999999999999</v>
      </c>
      <c r="HJ22" s="102">
        <f>MIN(1,MAX(VLOOKUP(($AJ22-$AI22-$AH22-$AG22-$AF22-$AE22*(1+HJ$3))/$AJ22,Уголь_коэфф!$A:$B,2,1),(HI22-0.05)))</f>
        <v>0.73599999999999999</v>
      </c>
      <c r="HK22" s="102">
        <f>MIN(1,MAX(VLOOKUP(($AJ22-$AI22-$AH22-$AG22-$AF22-$AE22*(1+HK$3))/$AJ22,Уголь_коэфф!$A:$B,2,1),(HJ22-0.05)))</f>
        <v>0.72799999999999998</v>
      </c>
      <c r="HL22" s="102">
        <f>MIN(1,MAX(VLOOKUP(($AJ22-$AI22-$AH22-$AG22-$AF22-$AE22*(1+HL$3))/$AJ22,Уголь_коэфф!$A:$B,2,1),(HK22-0.05)))</f>
        <v>0.72799999999999998</v>
      </c>
      <c r="HM22" s="102">
        <f>MIN(1,MAX(VLOOKUP(($AJ22-$AI22-$AH22-$AG22-$AF22-$AE22*(1+HM$3))/$AJ22,Уголь_коэфф!$A:$B,2,1),(HL22-0.05)))</f>
        <v>0.72799999999999998</v>
      </c>
      <c r="HN22" s="102">
        <f>MIN(1,MAX(VLOOKUP(($AJ22-$AI22-$AH22-$AG22-$AF22-$AE22*(1+HN$3))/$AJ22,Уголь_коэфф!$A:$B,2,1),(HM22-0.05)))</f>
        <v>0.72799999999999998</v>
      </c>
      <c r="HO22" s="102">
        <f>MIN(1,MAX(VLOOKUP(($AJ22-$AI22-$AH22-$AG22-$AF22-$AE22*(1+HO$3))/$AJ22,Уголь_коэфф!$A:$B,2,1),(HN22-0.05)))</f>
        <v>0.72799999999999998</v>
      </c>
      <c r="HP22" s="102">
        <f>MIN(1,MAX(VLOOKUP(($AJ22-$AI22-$AH22-$AG22-$AF22-$AE22*(1+HP$3))/$AJ22,Уголь_коэфф!$A:$B,2,1),(HO22-0.05)))</f>
        <v>0.72</v>
      </c>
      <c r="HQ22" s="102">
        <f>MIN(1,MAX(VLOOKUP(($AJ22-$AI22-$AH22-$AG22-$AF22-$AE22*(1+HQ$3))/$AJ22,Уголь_коэфф!$A:$B,2,1),(HP22-0.05)))</f>
        <v>0.72</v>
      </c>
      <c r="HR22" s="102">
        <f>MIN(1,MAX(VLOOKUP(($AJ22-$AI22-$AH22-$AG22-$AF22-$AE22*(1+HR$3))/$AJ22,Уголь_коэфф!$A:$B,2,1),(HQ22-0.05)))</f>
        <v>0.72</v>
      </c>
      <c r="HS22" s="102">
        <f>MIN(1,MAX(VLOOKUP(($AJ22-$AI22-$AH22-$AG22-$AF22-$AE22*(1+HS$3))/$AJ22,Уголь_коэфф!$A:$B,2,1),(HR22-0.05)))</f>
        <v>0.72</v>
      </c>
      <c r="HT22" s="102">
        <f>MIN(1,MAX(VLOOKUP(($AJ22-$AI22-$AH22-$AG22-$AF22-$AE22*(1+HT$3))/$AJ22,Уголь_коэфф!$A:$B,2,1),(HS22-0.05)))</f>
        <v>0.71199999999999997</v>
      </c>
      <c r="HU22" s="102">
        <f>MIN(1,MAX(VLOOKUP(($AJ22-$AI22-$AH22-$AG22-$AF22-$AE22*(1+HU$3))/$AJ22,Уголь_коэфф!$A:$B,2,1),(HT22-0.05)))</f>
        <v>0.71199999999999997</v>
      </c>
      <c r="HV22" s="102">
        <f>MIN(1,MAX(VLOOKUP(($AJ22-$AI22-$AH22-$AG22-$AF22-$AE22*(1+HV$3))/$AJ22,Уголь_коэфф!$A:$B,2,1),(HU22-0.05)))</f>
        <v>0.71199999999999997</v>
      </c>
      <c r="HW22" s="102">
        <f>MIN(1,MAX(VLOOKUP(($AJ22-$AI22-$AH22-$AG22-$AF22-$AE22*(1+HW$3))/$AJ22,Уголь_коэфф!$A:$B,2,1),(HV22-0.05)))</f>
        <v>0.71199999999999997</v>
      </c>
      <c r="HX22" s="102">
        <f>MIN(1,MAX(VLOOKUP(($AJ22-$AI22-$AH22-$AG22-$AF22-$AE22*(1+HX$3))/$AJ22,Уголь_коэфф!$A:$B,2,1),(HW22-0.05)))</f>
        <v>0.71199999999999997</v>
      </c>
      <c r="HY22" s="102">
        <f>MIN(1,MAX(VLOOKUP(($AJ22-$AI22-$AH22-$AG22-$AF22-$AE22*(1+HY$3))/$AJ22,Уголь_коэфф!$A:$B,2,1),(HX22-0.05)))</f>
        <v>0.70399999999999996</v>
      </c>
      <c r="HZ22" s="102">
        <f>MIN(1,MAX(VLOOKUP(($AJ22-$AI22-$AH22-$AG22-$AF22-$AE22*(1+HZ$3))/$AJ22,Уголь_коэфф!$A:$B,2,1),(HY22-0.05)))</f>
        <v>0.70399999999999996</v>
      </c>
      <c r="IA22" s="102">
        <f>MIN(1,MAX(VLOOKUP(($AJ22-$AI22-$AH22-$AG22-$AF22-$AE22*(1+IA$3))/$AJ22,Уголь_коэфф!$A:$B,2,1),(HZ22-0.05)))</f>
        <v>0.70399999999999996</v>
      </c>
      <c r="IB22" s="102">
        <f>MIN(1,MAX(VLOOKUP(($AJ22-$AI22-$AH22-$AG22-$AF22-$AE22*(1+IB$3))/$AJ22,Уголь_коэфф!$A:$B,2,1),(IA22-0.05)))</f>
        <v>0.70399999999999996</v>
      </c>
      <c r="IC22" s="102">
        <f>MIN(1,MAX(VLOOKUP(($AJ22-$AI22-$AH22-$AG22-$AF22-$AE22*(1+IC$3))/$AJ22,Уголь_коэфф!$A:$B,2,1),(IB22-0.05)))</f>
        <v>0.70399999999999996</v>
      </c>
      <c r="ID22" s="102">
        <f>MIN(1,MAX(VLOOKUP(($AJ22-$AI22-$AH22-$AG22-$AF22-$AE22*(1+ID$3))/$AJ22,Уголь_коэфф!$A:$B,2,1),(IC22-0.05)))</f>
        <v>0.69599999999999995</v>
      </c>
      <c r="IE22" s="102">
        <f>MIN(1,MAX(VLOOKUP(($AJ22-$AI22-$AH22-$AG22-$AF22-$AE22*(1+IE$3))/$AJ22,Уголь_коэфф!$A:$B,2,1),(ID22-0.05)))</f>
        <v>0.69599999999999995</v>
      </c>
      <c r="IF22" s="102">
        <f>MIN(1,MAX(VLOOKUP(($AJ22-$AI22-$AH22-$AG22-$AF22-$AE22*(1+IF$3))/$AJ22,Уголь_коэфф!$A:$B,2,1),(IE22-0.05)))</f>
        <v>0.69599999999999995</v>
      </c>
      <c r="IG22" s="102">
        <f>MIN(1,MAX(VLOOKUP(($AJ22-$AI22-$AH22-$AG22-$AF22-$AE22*(1+IG$3))/$AJ22,Уголь_коэфф!$A:$B,2,1),(IF22-0.05)))</f>
        <v>0.69599999999999995</v>
      </c>
      <c r="IH22" s="102">
        <f>MIN(1,MAX(VLOOKUP(($AJ22-$AI22-$AH22-$AG22-$AF22-$AE22*(1+IH$3))/$AJ22,Уголь_коэфф!$A:$B,2,1),(IG22-0.05)))</f>
        <v>0.68799999999999994</v>
      </c>
      <c r="II22" s="102">
        <f>MIN(1,MAX(VLOOKUP(($AJ22-$AI22-$AH22-$AG22-$AF22-$AE22*(1+II$3))/$AJ22,Уголь_коэфф!$A:$B,2,1),(IH22-0.05)))</f>
        <v>0.68799999999999994</v>
      </c>
      <c r="IJ22" s="102">
        <f>MIN(1,MAX(VLOOKUP(($AJ22-$AI22-$AH22-$AG22-$AF22-$AE22*(1+IJ$3))/$AJ22,Уголь_коэфф!$A:$B,2,1),(II22-0.05)))</f>
        <v>0.68799999999999994</v>
      </c>
      <c r="IK22" s="102">
        <f>MIN(1,MAX(VLOOKUP(($AJ22-$AI22-$AH22-$AG22-$AF22-$AE22*(1+IK$3))/$AJ22,Уголь_коэфф!$A:$B,2,1),(IJ22-0.05)))</f>
        <v>0.68799999999999994</v>
      </c>
      <c r="IL22" s="102">
        <f>MIN(1,MAX(VLOOKUP(($AJ22-$AI22-$AH22-$AG22-$AF22-$AE22*(1+IL$3))/$AJ22,Уголь_коэфф!$A:$B,2,1),(IK22-0.05)))</f>
        <v>0.68799999999999994</v>
      </c>
      <c r="IM22" s="102">
        <f>MIN(1,MAX(VLOOKUP(($AJ22-$AI22-$AH22-$AG22-$AF22-$AE22*(1+IM$3))/$AJ22,Уголь_коэфф!$A:$B,2,1),(IL22-0.05)))</f>
        <v>0.68</v>
      </c>
      <c r="IN22" s="102">
        <f>MIN(1,MAX(VLOOKUP(($AJ22-$AI22-$AH22-$AG22-$AF22-$AE22*(1+IN$3))/$AJ22,Уголь_коэфф!$A:$B,2,1),(IM22-0.05)))</f>
        <v>0.68</v>
      </c>
      <c r="IO22" s="102">
        <f>MIN(1,MAX(VLOOKUP(($AJ22-$AI22-$AH22-$AG22-$AF22-$AE22*(1+IO$3))/$AJ22,Уголь_коэфф!$A:$B,2,1),(IN22-0.05)))</f>
        <v>0.68</v>
      </c>
      <c r="IP22" s="102">
        <f>MIN(1,MAX(VLOOKUP(($AJ22-$AI22-$AH22-$AG22-$AF22-$AE22*(1+IP$3))/$AJ22,Уголь_коэфф!$A:$B,2,1),(IO22-0.05)))</f>
        <v>0.68</v>
      </c>
      <c r="IQ22" s="102">
        <f>MIN(1,MAX(VLOOKUP(($AJ22-$AI22-$AH22-$AG22-$AF22-$AE22*(1+IQ$3))/$AJ22,Уголь_коэфф!$A:$B,2,1),(IP22-0.05)))</f>
        <v>0.68</v>
      </c>
      <c r="IR22" s="102">
        <f>MIN(1,MAX(VLOOKUP(($AJ22-$AI22-$AH22-$AG22-$AF22-$AE22*(1+IR$3))/$AJ22,Уголь_коэфф!$A:$B,2,1),(IQ22-0.05)))</f>
        <v>0.67100000000000004</v>
      </c>
      <c r="IS22" s="102">
        <f t="shared" si="20"/>
        <v>0.80100000000000005</v>
      </c>
      <c r="IT22" s="102">
        <f t="shared" si="7"/>
        <v>0.80100000000000005</v>
      </c>
      <c r="IU22" s="110"/>
    </row>
    <row r="23" spans="1:255" ht="14.6" customHeight="1">
      <c r="A23" t="s">
        <v>241</v>
      </c>
      <c r="B23" s="141">
        <v>1</v>
      </c>
      <c r="C23" s="142" t="s">
        <v>16</v>
      </c>
      <c r="D23" s="143">
        <v>16118</v>
      </c>
      <c r="E23" s="143" t="s">
        <v>65</v>
      </c>
      <c r="F23" s="142" t="s">
        <v>18</v>
      </c>
      <c r="G23" s="142" t="s">
        <v>45</v>
      </c>
      <c r="H23" s="143" t="s">
        <v>34</v>
      </c>
      <c r="I23" s="142" t="s">
        <v>113</v>
      </c>
      <c r="J23" s="143" t="s">
        <v>117</v>
      </c>
      <c r="K23" s="143">
        <v>4645</v>
      </c>
      <c r="L23" s="143" t="s">
        <v>22</v>
      </c>
      <c r="M23" s="143" t="s">
        <v>23</v>
      </c>
      <c r="N23" s="143" t="s">
        <v>24</v>
      </c>
      <c r="O23" s="143" t="s">
        <v>36</v>
      </c>
      <c r="P23" s="146">
        <v>160212</v>
      </c>
      <c r="Q23" s="144" t="s">
        <v>115</v>
      </c>
      <c r="R23" s="143" t="s">
        <v>116</v>
      </c>
      <c r="S23" s="147">
        <v>37568</v>
      </c>
      <c r="T23" s="145">
        <v>174501639</v>
      </c>
      <c r="U23" s="145">
        <v>543</v>
      </c>
      <c r="V23" s="145"/>
      <c r="W23" s="148">
        <v>74433738</v>
      </c>
      <c r="X23" s="104">
        <v>75</v>
      </c>
      <c r="Y23" s="104" t="s">
        <v>163</v>
      </c>
      <c r="Z23" s="107">
        <v>11</v>
      </c>
      <c r="AA23" s="107">
        <v>12</v>
      </c>
      <c r="AB23" s="107">
        <v>4</v>
      </c>
      <c r="AC23" s="88">
        <v>1990.61</v>
      </c>
      <c r="AD23" s="88">
        <v>928.22</v>
      </c>
      <c r="AE23" s="88">
        <f t="shared" si="26"/>
        <v>2918.83</v>
      </c>
      <c r="AF23" s="89">
        <f>'Цены,перевалка,аренда'!$C$26*SUM(Уголь_эластика_экспорт!Z23+Уголь_эластика_экспорт!AA23+Уголь_эластика_экспорт!AB23)/Уголь_эластика_экспорт!X23</f>
        <v>360</v>
      </c>
      <c r="AG23" s="90">
        <f>SUMIF('Цены,перевалка,аренда'!$A$20:$A$22,Уголь_эластика_экспорт!$O23,'Цены,перевалка,аренда'!$D$20:$D$22)</f>
        <v>991.97149999999988</v>
      </c>
      <c r="AH23" s="47"/>
      <c r="AI23" s="91">
        <v>4817</v>
      </c>
      <c r="AJ23" s="92">
        <f>SUMIF('Цены,перевалка,аренда'!$A$5:$A$17,Уголь_эластика_экспорт!A23,'Цены,перевалка,аренда'!$D$5:$D$17)</f>
        <v>7249.0224999999991</v>
      </c>
      <c r="AK23" s="47">
        <f>AJ23/'Цены,перевалка,аренда'!$C$1</f>
        <v>95</v>
      </c>
      <c r="AL23" s="47">
        <f t="shared" si="9"/>
        <v>4270.8014999999996</v>
      </c>
      <c r="AM23" s="47">
        <f t="shared" si="10"/>
        <v>2978.2209999999995</v>
      </c>
      <c r="AN23" s="47">
        <f t="shared" si="11"/>
        <v>9087.8014999999996</v>
      </c>
      <c r="AO23" s="93">
        <f t="shared" si="12"/>
        <v>-0.25365888987101376</v>
      </c>
      <c r="AP23" s="94">
        <f t="shared" si="13"/>
        <v>0.58915550337993849</v>
      </c>
      <c r="AQ23" s="94">
        <f t="shared" si="5"/>
        <v>0.4026515299131711</v>
      </c>
      <c r="AR23" s="94">
        <f t="shared" si="6"/>
        <v>0.68343845997056996</v>
      </c>
      <c r="AS23" s="167">
        <f t="shared" si="14"/>
        <v>0.84199999999999997</v>
      </c>
      <c r="AT23" s="173">
        <f t="shared" si="15"/>
        <v>31632.255999999998</v>
      </c>
      <c r="AU23" s="97">
        <f t="shared" si="27"/>
        <v>0.88235294117647056</v>
      </c>
      <c r="AV23" s="93">
        <f t="shared" si="16"/>
        <v>-0.30197707346059421</v>
      </c>
      <c r="AW23" s="94">
        <f t="shared" si="17"/>
        <v>0.637473686969519</v>
      </c>
      <c r="AX23" s="94">
        <f t="shared" si="18"/>
        <v>0.45096971350275167</v>
      </c>
      <c r="AY23" s="94">
        <f t="shared" si="19"/>
        <v>0.70743267168659607</v>
      </c>
      <c r="AZ23" s="102">
        <f>MIN(IF($AU23=100%,1,1+VLOOKUP(($AJ23-$AI23-$AH23-$AG23-$AF23-$AE23*(1+AZ$3))/$AJ23,Уголь_коэфф!$A:$B,2,1)-VLOOKUP($AO23,Уголь_коэфф!$A:$B,2,1)),1+(1-$AU23))</f>
        <v>1.1080000000000001</v>
      </c>
      <c r="BA23" s="102">
        <f>MIN(IF($AU23=100%,1,1+VLOOKUP(($AJ23-$AI23-$AH23-$AG23-$AF23-$AE23*(1+BA$3))/$AJ23,Уголь_коэфф!$A:$B,2,1)-VLOOKUP($AO23,Уголь_коэфф!$A:$B,2,1)),1+(1-$AU23))</f>
        <v>1.1080000000000001</v>
      </c>
      <c r="BB23" s="102">
        <f>MIN(IF($AU23=100%,1,1+VLOOKUP(($AJ23-$AI23-$AH23-$AG23-$AF23-$AE23*(1+BB$3))/$AJ23,Уголь_коэфф!$A:$B,2,1)-VLOOKUP($AO23,Уголь_коэфф!$A:$B,2,1)),1+(1-$AU23))</f>
        <v>1.1080000000000001</v>
      </c>
      <c r="BC23" s="102">
        <f>MIN(IF($AU23=100%,1,1+VLOOKUP(($AJ23-$AI23-$AH23-$AG23-$AF23-$AE23*(1+BC$3))/$AJ23,Уголь_коэфф!$A:$B,2,1)-VLOOKUP($AO23,Уголь_коэфф!$A:$B,2,1)),1+(1-$AU23))</f>
        <v>1.1080000000000001</v>
      </c>
      <c r="BD23" s="102">
        <f>MIN(IF($AU23=100%,1,1+VLOOKUP(($AJ23-$AI23-$AH23-$AG23-$AF23-$AE23*(1+BD$3))/$AJ23,Уголь_коэфф!$A:$B,2,1)-VLOOKUP($AO23,Уголь_коэфф!$A:$B,2,1)),1+(1-$AU23))</f>
        <v>1.1030000000000002</v>
      </c>
      <c r="BE23" s="102">
        <f>MIN(IF($AU23=100%,1,1+VLOOKUP(($AJ23-$AI23-$AH23-$AG23-$AF23-$AE23*(1+BE$3))/$AJ23,Уголь_коэфф!$A:$B,2,1)-VLOOKUP($AO23,Уголь_коэфф!$A:$B,2,1)),1+(1-$AU23))</f>
        <v>1.1030000000000002</v>
      </c>
      <c r="BF23" s="102">
        <f>MIN(IF($AU23=100%,1,1+VLOOKUP(($AJ23-$AI23-$AH23-$AG23-$AF23-$AE23*(1+BF$3))/$AJ23,Уголь_коэфф!$A:$B,2,1)-VLOOKUP($AO23,Уголь_коэфф!$A:$B,2,1)),1+(1-$AU23))</f>
        <v>1.1030000000000002</v>
      </c>
      <c r="BG23" s="102">
        <f>MIN(IF($AU23=100%,1,1+VLOOKUP(($AJ23-$AI23-$AH23-$AG23-$AF23-$AE23*(1+BG$3))/$AJ23,Уголь_коэфф!$A:$B,2,1)-VLOOKUP($AO23,Уголь_коэфф!$A:$B,2,1)),1+(1-$AU23))</f>
        <v>1.1030000000000002</v>
      </c>
      <c r="BH23" s="102">
        <f>MIN(IF($AU23=100%,1,1+VLOOKUP(($AJ23-$AI23-$AH23-$AG23-$AF23-$AE23*(1+BH$3))/$AJ23,Уголь_коэфф!$A:$B,2,1)-VLOOKUP($AO23,Уголь_коэфф!$A:$B,2,1)),1+(1-$AU23))</f>
        <v>1.1030000000000002</v>
      </c>
      <c r="BI23" s="102">
        <f>MIN(IF($AU23=100%,1,1+VLOOKUP(($AJ23-$AI23-$AH23-$AG23-$AF23-$AE23*(1+BI$3))/$AJ23,Уголь_коэфф!$A:$B,2,1)-VLOOKUP($AO23,Уголь_коэфф!$A:$B,2,1)),1+(1-$AU23))</f>
        <v>1.0979999999999999</v>
      </c>
      <c r="BJ23" s="102">
        <f>MIN(IF($AU23=100%,1,1+VLOOKUP(($AJ23-$AI23-$AH23-$AG23-$AF23-$AE23*(1+BJ$3))/$AJ23,Уголь_коэфф!$A:$B,2,1)-VLOOKUP($AO23,Уголь_коэфф!$A:$B,2,1)),1+(1-$AU23))</f>
        <v>1.0979999999999999</v>
      </c>
      <c r="BK23" s="102">
        <f>MIN(IF($AU23=100%,1,1+VLOOKUP(($AJ23-$AI23-$AH23-$AG23-$AF23-$AE23*(1+BK$3))/$AJ23,Уголь_коэфф!$A:$B,2,1)-VLOOKUP($AO23,Уголь_коэфф!$A:$B,2,1)),1+(1-$AU23))</f>
        <v>1.0979999999999999</v>
      </c>
      <c r="BL23" s="102">
        <f>MIN(IF($AU23=100%,1,1+VLOOKUP(($AJ23-$AI23-$AH23-$AG23-$AF23-$AE23*(1+BL$3))/$AJ23,Уголь_коэфф!$A:$B,2,1)-VLOOKUP($AO23,Уголь_коэфф!$A:$B,2,1)),1+(1-$AU23))</f>
        <v>1.0979999999999999</v>
      </c>
      <c r="BM23" s="102">
        <f>MIN(IF($AU23=100%,1,1+VLOOKUP(($AJ23-$AI23-$AH23-$AG23-$AF23-$AE23*(1+BM$3))/$AJ23,Уголь_коэфф!$A:$B,2,1)-VLOOKUP($AO23,Уголь_коэфф!$A:$B,2,1)),1+(1-$AU23))</f>
        <v>1.0979999999999999</v>
      </c>
      <c r="BN23" s="102">
        <f>MIN(IF($AU23=100%,1,1+VLOOKUP(($AJ23-$AI23-$AH23-$AG23-$AF23-$AE23*(1+BN$3))/$AJ23,Уголь_коэфф!$A:$B,2,1)-VLOOKUP($AO23,Уголь_коэфф!$A:$B,2,1)),1+(1-$AU23))</f>
        <v>1.093</v>
      </c>
      <c r="BO23" s="102">
        <f>MIN(IF($AU23=100%,1,1+VLOOKUP(($AJ23-$AI23-$AH23-$AG23-$AF23-$AE23*(1+BO$3))/$AJ23,Уголь_коэфф!$A:$B,2,1)-VLOOKUP($AO23,Уголь_коэфф!$A:$B,2,1)),1+(1-$AU23))</f>
        <v>1.093</v>
      </c>
      <c r="BP23" s="102">
        <f>MIN(IF($AU23=100%,1,1+VLOOKUP(($AJ23-$AI23-$AH23-$AG23-$AF23-$AE23*(1+BP$3))/$AJ23,Уголь_коэфф!$A:$B,2,1)-VLOOKUP($AO23,Уголь_коэфф!$A:$B,2,1)),1+(1-$AU23))</f>
        <v>1.093</v>
      </c>
      <c r="BQ23" s="102">
        <f>MIN(IF($AU23=100%,1,1+VLOOKUP(($AJ23-$AI23-$AH23-$AG23-$AF23-$AE23*(1+BQ$3))/$AJ23,Уголь_коэфф!$A:$B,2,1)-VLOOKUP($AO23,Уголь_коэфф!$A:$B,2,1)),1+(1-$AU23))</f>
        <v>1.093</v>
      </c>
      <c r="BR23" s="102">
        <f>MIN(IF($AU23=100%,1,1+VLOOKUP(($AJ23-$AI23-$AH23-$AG23-$AF23-$AE23*(1+BR$3))/$AJ23,Уголь_коэфф!$A:$B,2,1)-VLOOKUP($AO23,Уголь_коэфф!$A:$B,2,1)),1+(1-$AU23))</f>
        <v>1.093</v>
      </c>
      <c r="BS23" s="102">
        <f>MIN(IF($AU23=100%,1,1+VLOOKUP(($AJ23-$AI23-$AH23-$AG23-$AF23-$AE23*(1+BS$3))/$AJ23,Уголь_коэфф!$A:$B,2,1)-VLOOKUP($AO23,Уголь_коэфф!$A:$B,2,1)),1+(1-$AU23))</f>
        <v>1.0880000000000001</v>
      </c>
      <c r="BT23" s="102">
        <f>MIN(IF($AU23=100%,1,1+VLOOKUP(($AJ23-$AI23-$AH23-$AG23-$AF23-$AE23*(1+BT$3))/$AJ23,Уголь_коэфф!$A:$B,2,1)-VLOOKUP($AO23,Уголь_коэфф!$A:$B,2,1)),1+(1-$AU23))</f>
        <v>1.0880000000000001</v>
      </c>
      <c r="BU23" s="102">
        <f>MIN(IF($AU23=100%,1,1+VLOOKUP(($AJ23-$AI23-$AH23-$AG23-$AF23-$AE23*(1+BU$3))/$AJ23,Уголь_коэфф!$A:$B,2,1)-VLOOKUP($AO23,Уголь_коэфф!$A:$B,2,1)),1+(1-$AU23))</f>
        <v>1.0880000000000001</v>
      </c>
      <c r="BV23" s="102">
        <f>MIN(IF($AU23=100%,1,1+VLOOKUP(($AJ23-$AI23-$AH23-$AG23-$AF23-$AE23*(1+BV$3))/$AJ23,Уголь_коэфф!$A:$B,2,1)-VLOOKUP($AO23,Уголь_коэфф!$A:$B,2,1)),1+(1-$AU23))</f>
        <v>1.0880000000000001</v>
      </c>
      <c r="BW23" s="102">
        <f>MIN(IF($AU23=100%,1,1+VLOOKUP(($AJ23-$AI23-$AH23-$AG23-$AF23-$AE23*(1+BW$3))/$AJ23,Уголь_коэфф!$A:$B,2,1)-VLOOKUP($AO23,Уголь_коэфф!$A:$B,2,1)),1+(1-$AU23))</f>
        <v>1.0880000000000001</v>
      </c>
      <c r="BX23" s="102">
        <f>MIN(IF($AU23=100%,1,1+VLOOKUP(($AJ23-$AI23-$AH23-$AG23-$AF23-$AE23*(1+BX$3))/$AJ23,Уголь_коэфф!$A:$B,2,1)-VLOOKUP($AO23,Уголь_коэфф!$A:$B,2,1)),1+(1-$AU23))</f>
        <v>1.0830000000000002</v>
      </c>
      <c r="BY23" s="102">
        <f>MIN(IF($AU23=100%,1,1+VLOOKUP(($AJ23-$AI23-$AH23-$AG23-$AF23-$AE23*(1+BY$3))/$AJ23,Уголь_коэфф!$A:$B,2,1)-VLOOKUP($AO23,Уголь_коэфф!$A:$B,2,1)),1+(1-$AU23))</f>
        <v>1.0830000000000002</v>
      </c>
      <c r="BZ23" s="102">
        <f>MIN(IF($AU23=100%,1,1+VLOOKUP(($AJ23-$AI23-$AH23-$AG23-$AF23-$AE23*(1+BZ$3))/$AJ23,Уголь_коэфф!$A:$B,2,1)-VLOOKUP($AO23,Уголь_коэфф!$A:$B,2,1)),1+(1-$AU23))</f>
        <v>1.0830000000000002</v>
      </c>
      <c r="CA23" s="102">
        <f>MIN(IF($AU23=100%,1,1+VLOOKUP(($AJ23-$AI23-$AH23-$AG23-$AF23-$AE23*(1+CA$3))/$AJ23,Уголь_коэфф!$A:$B,2,1)-VLOOKUP($AO23,Уголь_коэфф!$A:$B,2,1)),1+(1-$AU23))</f>
        <v>1.0830000000000002</v>
      </c>
      <c r="CB23" s="102">
        <f>MIN(IF($AU23=100%,1,1+VLOOKUP(($AJ23-$AI23-$AH23-$AG23-$AF23-$AE23*(1+CB$3))/$AJ23,Уголь_коэфф!$A:$B,2,1)-VLOOKUP($AO23,Уголь_коэфф!$A:$B,2,1)),1+(1-$AU23))</f>
        <v>1.0830000000000002</v>
      </c>
      <c r="CC23" s="102">
        <f>MIN(IF($AU23=100%,1,1+VLOOKUP(($AJ23-$AI23-$AH23-$AG23-$AF23-$AE23*(1+CC$3))/$AJ23,Уголь_коэфф!$A:$B,2,1)-VLOOKUP($AO23,Уголь_коэфф!$A:$B,2,1)),1+(1-$AU23))</f>
        <v>1.0779999999999998</v>
      </c>
      <c r="CD23" s="102">
        <f>MIN(IF($AU23=100%,1,1+VLOOKUP(($AJ23-$AI23-$AH23-$AG23-$AF23-$AE23*(1+CD$3))/$AJ23,Уголь_коэфф!$A:$B,2,1)-VLOOKUP($AO23,Уголь_коэфф!$A:$B,2,1)),1+(1-$AU23))</f>
        <v>1.0779999999999998</v>
      </c>
      <c r="CE23" s="102">
        <f>MIN(IF($AU23=100%,1,1+VLOOKUP(($AJ23-$AI23-$AH23-$AG23-$AF23-$AE23*(1+CE$3))/$AJ23,Уголь_коэфф!$A:$B,2,1)-VLOOKUP($AO23,Уголь_коэфф!$A:$B,2,1)),1+(1-$AU23))</f>
        <v>1.0779999999999998</v>
      </c>
      <c r="CF23" s="102">
        <f>MIN(IF($AU23=100%,1,1+VLOOKUP(($AJ23-$AI23-$AH23-$AG23-$AF23-$AE23*(1+CF$3))/$AJ23,Уголь_коэфф!$A:$B,2,1)-VLOOKUP($AO23,Уголь_коэфф!$A:$B,2,1)),1+(1-$AU23))</f>
        <v>1.0779999999999998</v>
      </c>
      <c r="CG23" s="102">
        <f>MIN(IF($AU23=100%,1,1+VLOOKUP(($AJ23-$AI23-$AH23-$AG23-$AF23-$AE23*(1+CG$3))/$AJ23,Уголь_коэфф!$A:$B,2,1)-VLOOKUP($AO23,Уголь_коэфф!$A:$B,2,1)),1+(1-$AU23))</f>
        <v>1.0779999999999998</v>
      </c>
      <c r="CH23" s="102">
        <f>MIN(IF($AU23=100%,1,1+VLOOKUP(($AJ23-$AI23-$AH23-$AG23-$AF23-$AE23*(1+CH$3))/$AJ23,Уголь_коэфф!$A:$B,2,1)-VLOOKUP($AO23,Уголь_коэфф!$A:$B,2,1)),1+(1-$AU23))</f>
        <v>1.073</v>
      </c>
      <c r="CI23" s="102">
        <f>MIN(IF($AU23=100%,1,1+VLOOKUP(($AJ23-$AI23-$AH23-$AG23-$AF23-$AE23*(1+CI$3))/$AJ23,Уголь_коэфф!$A:$B,2,1)-VLOOKUP($AO23,Уголь_коэфф!$A:$B,2,1)),1+(1-$AU23))</f>
        <v>1.073</v>
      </c>
      <c r="CJ23" s="102">
        <f>MIN(IF($AU23=100%,1,1+VLOOKUP(($AJ23-$AI23-$AH23-$AG23-$AF23-$AE23*(1+CJ$3))/$AJ23,Уголь_коэфф!$A:$B,2,1)-VLOOKUP($AO23,Уголь_коэфф!$A:$B,2,1)),1+(1-$AU23))</f>
        <v>1.073</v>
      </c>
      <c r="CK23" s="102">
        <f>MIN(IF($AU23=100%,1,1+VLOOKUP(($AJ23-$AI23-$AH23-$AG23-$AF23-$AE23*(1+CK$3))/$AJ23,Уголь_коэфф!$A:$B,2,1)-VLOOKUP($AO23,Уголь_коэфф!$A:$B,2,1)),1+(1-$AU23))</f>
        <v>1.073</v>
      </c>
      <c r="CL23" s="102">
        <f>MIN(IF($AU23=100%,1,1+VLOOKUP(($AJ23-$AI23-$AH23-$AG23-$AF23-$AE23*(1+CL$3))/$AJ23,Уголь_коэфф!$A:$B,2,1)-VLOOKUP($AO23,Уголь_коэфф!$A:$B,2,1)),1+(1-$AU23))</f>
        <v>1.073</v>
      </c>
      <c r="CM23" s="102">
        <f>MIN(IF($AU23=100%,1,1+VLOOKUP(($AJ23-$AI23-$AH23-$AG23-$AF23-$AE23*(1+CM$3))/$AJ23,Уголь_коэфф!$A:$B,2,1)-VLOOKUP($AO23,Уголь_коэфф!$A:$B,2,1)),1+(1-$AU23))</f>
        <v>1.0680000000000001</v>
      </c>
      <c r="CN23" s="102">
        <f>MIN(IF($AU23=100%,1,1+VLOOKUP(($AJ23-$AI23-$AH23-$AG23-$AF23-$AE23*(1+CN$3))/$AJ23,Уголь_коэфф!$A:$B,2,1)-VLOOKUP($AO23,Уголь_коэфф!$A:$B,2,1)),1+(1-$AU23))</f>
        <v>1.0680000000000001</v>
      </c>
      <c r="CO23" s="102">
        <f>MIN(IF($AU23=100%,1,1+VLOOKUP(($AJ23-$AI23-$AH23-$AG23-$AF23-$AE23*(1+CO$3))/$AJ23,Уголь_коэфф!$A:$B,2,1)-VLOOKUP($AO23,Уголь_коэфф!$A:$B,2,1)),1+(1-$AU23))</f>
        <v>1.0680000000000001</v>
      </c>
      <c r="CP23" s="102">
        <f>MIN(IF($AU23=100%,1,1+VLOOKUP(($AJ23-$AI23-$AH23-$AG23-$AF23-$AE23*(1+CP$3))/$AJ23,Уголь_коэфф!$A:$B,2,1)-VLOOKUP($AO23,Уголь_коэфф!$A:$B,2,1)),1+(1-$AU23))</f>
        <v>1.0680000000000001</v>
      </c>
      <c r="CQ23" s="102">
        <f>MIN(IF($AU23=100%,1,1+VLOOKUP(($AJ23-$AI23-$AH23-$AG23-$AF23-$AE23*(1+CQ$3))/$AJ23,Уголь_коэфф!$A:$B,2,1)-VLOOKUP($AO23,Уголь_коэфф!$A:$B,2,1)),1+(1-$AU23))</f>
        <v>1.0680000000000001</v>
      </c>
      <c r="CR23" s="102">
        <f>MIN(IF($AU23=100%,1,1+VLOOKUP(($AJ23-$AI23-$AH23-$AG23-$AF23-$AE23*(1+CR$3))/$AJ23,Уголь_коэфф!$A:$B,2,1)-VLOOKUP($AO23,Уголь_коэфф!$A:$B,2,1)),1+(1-$AU23))</f>
        <v>1.0630000000000002</v>
      </c>
      <c r="CS23" s="102">
        <f>MIN(IF($AU23=100%,1,1+VLOOKUP(($AJ23-$AI23-$AH23-$AG23-$AF23-$AE23*(1+CS$3))/$AJ23,Уголь_коэфф!$A:$B,2,1)-VLOOKUP($AO23,Уголь_коэфф!$A:$B,2,1)),1+(1-$AU23))</f>
        <v>1.0630000000000002</v>
      </c>
      <c r="CT23" s="102">
        <f>MIN(IF($AU23=100%,1,1+VLOOKUP(($AJ23-$AI23-$AH23-$AG23-$AF23-$AE23*(1+CT$3))/$AJ23,Уголь_коэфф!$A:$B,2,1)-VLOOKUP($AO23,Уголь_коэфф!$A:$B,2,1)),1+(1-$AU23))</f>
        <v>1.0630000000000002</v>
      </c>
      <c r="CU23" s="102">
        <f>MIN(IF($AU23=100%,1,1+VLOOKUP(($AJ23-$AI23-$AH23-$AG23-$AF23-$AE23*(1+CU$3))/$AJ23,Уголь_коэфф!$A:$B,2,1)-VLOOKUP($AO23,Уголь_коэфф!$A:$B,2,1)),1+(1-$AU23))</f>
        <v>1.0630000000000002</v>
      </c>
      <c r="CV23" s="102">
        <f>MIN(IF($AU23=100%,1,1+VLOOKUP(($AJ23-$AI23-$AH23-$AG23-$AF23-$AE23*(1+CV$3))/$AJ23,Уголь_коэфф!$A:$B,2,1)-VLOOKUP($AO23,Уголь_коэфф!$A:$B,2,1)),1+(1-$AU23))</f>
        <v>1.0630000000000002</v>
      </c>
      <c r="CW23" s="102">
        <f>MIN(IF($AU23=100%,1,1+VLOOKUP(($AJ23-$AI23-$AH23-$AG23-$AF23-$AE23*(1+CW$3))/$AJ23,Уголь_коэфф!$A:$B,2,1)-VLOOKUP($AO23,Уголь_коэфф!$A:$B,2,1)),1+(1-$AU23))</f>
        <v>1.0580000000000003</v>
      </c>
      <c r="CX23" s="102">
        <f>MIN(IF($AU23=100%,1,1+VLOOKUP(($AJ23-$AI23-$AH23-$AG23-$AF23-$AE23*(1+CX$3))/$AJ23,Уголь_коэфф!$A:$B,2,1)-VLOOKUP($AO23,Уголь_коэфф!$A:$B,2,1)),1+(1-$AU23))</f>
        <v>1.0580000000000003</v>
      </c>
      <c r="CY23" s="102">
        <f>MIN(IF($AU23=100%,1,1+VLOOKUP(($AJ23-$AI23-$AH23-$AG23-$AF23-$AE23*(1+CY$3))/$AJ23,Уголь_коэфф!$A:$B,2,1)-VLOOKUP($AO23,Уголь_коэфф!$A:$B,2,1)),1+(1-$AU23))</f>
        <v>1.0580000000000003</v>
      </c>
      <c r="CZ23" s="102">
        <f>MIN(IF($AU23=100%,1,1+VLOOKUP(($AJ23-$AI23-$AH23-$AG23-$AF23-$AE23*(1+CZ$3))/$AJ23,Уголь_коэфф!$A:$B,2,1)-VLOOKUP($AO23,Уголь_коэфф!$A:$B,2,1)),1+(1-$AU23))</f>
        <v>1.0580000000000003</v>
      </c>
      <c r="DA23" s="102">
        <f>MIN(IF($AU23=100%,1,1+VLOOKUP(($AJ23-$AI23-$AH23-$AG23-$AF23-$AE23*(1+DA$3))/$AJ23,Уголь_коэфф!$A:$B,2,1)-VLOOKUP($AO23,Уголь_коэфф!$A:$B,2,1)),1+(1-$AU23))</f>
        <v>1.0580000000000003</v>
      </c>
      <c r="DB23" s="102">
        <f>MIN(IF($AU23=100%,1,1+VLOOKUP(($AJ23-$AI23-$AH23-$AG23-$AF23-$AE23*(1+DB$3))/$AJ23,Уголь_коэфф!$A:$B,2,1)-VLOOKUP($AO23,Уголь_коэфф!$A:$B,2,1)),1+(1-$AU23))</f>
        <v>1.0529999999999999</v>
      </c>
      <c r="DC23" s="102">
        <f>MIN(IF($AU23=100%,1,1+VLOOKUP(($AJ23-$AI23-$AH23-$AG23-$AF23-$AE23*(1+DC$3))/$AJ23,Уголь_коэфф!$A:$B,2,1)-VLOOKUP($AO23,Уголь_коэфф!$A:$B,2,1)),1+(1-$AU23))</f>
        <v>1.0529999999999999</v>
      </c>
      <c r="DD23" s="102">
        <f>MIN(IF($AU23=100%,1,1+VLOOKUP(($AJ23-$AI23-$AH23-$AG23-$AF23-$AE23*(1+DD$3))/$AJ23,Уголь_коэфф!$A:$B,2,1)-VLOOKUP($AO23,Уголь_коэфф!$A:$B,2,1)),1+(1-$AU23))</f>
        <v>1.0529999999999999</v>
      </c>
      <c r="DE23" s="102">
        <f>MIN(IF($AU23=100%,1,1+VLOOKUP(($AJ23-$AI23-$AH23-$AG23-$AF23-$AE23*(1+DE$3))/$AJ23,Уголь_коэфф!$A:$B,2,1)-VLOOKUP($AO23,Уголь_коэфф!$A:$B,2,1)),1+(1-$AU23))</f>
        <v>1.0529999999999999</v>
      </c>
      <c r="DF23" s="102">
        <f>MIN(IF($AU23=100%,1,1+VLOOKUP(($AJ23-$AI23-$AH23-$AG23-$AF23-$AE23*(1+DF$3))/$AJ23,Уголь_коэфф!$A:$B,2,1)-VLOOKUP($AO23,Уголь_коэфф!$A:$B,2,1)),1+(1-$AU23))</f>
        <v>1.0529999999999999</v>
      </c>
      <c r="DG23" s="102">
        <f>MIN(IF($AU23=100%,1,1+VLOOKUP(($AJ23-$AI23-$AH23-$AG23-$AF23-$AE23*(1+DG$3))/$AJ23,Уголь_коэфф!$A:$B,2,1)-VLOOKUP($AO23,Уголь_коэфф!$A:$B,2,1)),1+(1-$AU23))</f>
        <v>1.048</v>
      </c>
      <c r="DH23" s="102">
        <f>MIN(IF($AU23=100%,1,1+VLOOKUP(($AJ23-$AI23-$AH23-$AG23-$AF23-$AE23*(1+DH$3))/$AJ23,Уголь_коэфф!$A:$B,2,1)-VLOOKUP($AO23,Уголь_коэфф!$A:$B,2,1)),1+(1-$AU23))</f>
        <v>1.048</v>
      </c>
      <c r="DI23" s="102">
        <f>MIN(IF($AU23=100%,1,1+VLOOKUP(($AJ23-$AI23-$AH23-$AG23-$AF23-$AE23*(1+DI$3))/$AJ23,Уголь_коэфф!$A:$B,2,1)-VLOOKUP($AO23,Уголь_коэфф!$A:$B,2,1)),1+(1-$AU23))</f>
        <v>1.048</v>
      </c>
      <c r="DJ23" s="102">
        <f>MIN(IF($AU23=100%,1,1+VLOOKUP(($AJ23-$AI23-$AH23-$AG23-$AF23-$AE23*(1+DJ$3))/$AJ23,Уголь_коэфф!$A:$B,2,1)-VLOOKUP($AO23,Уголь_коэфф!$A:$B,2,1)),1+(1-$AU23))</f>
        <v>1.048</v>
      </c>
      <c r="DK23" s="102">
        <f>MIN(IF($AU23=100%,1,1+VLOOKUP(($AJ23-$AI23-$AH23-$AG23-$AF23-$AE23*(1+DK$3))/$AJ23,Уголь_коэфф!$A:$B,2,1)-VLOOKUP($AO23,Уголь_коэфф!$A:$B,2,1)),1+(1-$AU23))</f>
        <v>1.048</v>
      </c>
      <c r="DL23" s="102">
        <f>MIN(IF($AU23=100%,1,1+VLOOKUP(($AJ23-$AI23-$AH23-$AG23-$AF23-$AE23*(1+DL$3))/$AJ23,Уголь_коэфф!$A:$B,2,1)-VLOOKUP($AO23,Уголь_коэфф!$A:$B,2,1)),1+(1-$AU23))</f>
        <v>1.0420000000000003</v>
      </c>
      <c r="DM23" s="102">
        <f>MIN(IF($AU23=100%,1,1+VLOOKUP(($AJ23-$AI23-$AH23-$AG23-$AF23-$AE23*(1+DM$3))/$AJ23,Уголь_коэфф!$A:$B,2,1)-VLOOKUP($AO23,Уголь_коэфф!$A:$B,2,1)),1+(1-$AU23))</f>
        <v>1.0420000000000003</v>
      </c>
      <c r="DN23" s="102">
        <f>MIN(IF($AU23=100%,1,1+VLOOKUP(($AJ23-$AI23-$AH23-$AG23-$AF23-$AE23*(1+DN$3))/$AJ23,Уголь_коэфф!$A:$B,2,1)-VLOOKUP($AO23,Уголь_коэфф!$A:$B,2,1)),1+(1-$AU23))</f>
        <v>1.0420000000000003</v>
      </c>
      <c r="DO23" s="102">
        <f>MIN(IF($AU23=100%,1,1+VLOOKUP(($AJ23-$AI23-$AH23-$AG23-$AF23-$AE23*(1+DO$3))/$AJ23,Уголь_коэфф!$A:$B,2,1)-VLOOKUP($AO23,Уголь_коэфф!$A:$B,2,1)),1+(1-$AU23))</f>
        <v>1.0420000000000003</v>
      </c>
      <c r="DP23" s="102">
        <f>MIN(IF($AU23=100%,1,1+VLOOKUP(($AJ23-$AI23-$AH23-$AG23-$AF23-$AE23*(1+DP$3))/$AJ23,Уголь_коэфф!$A:$B,2,1)-VLOOKUP($AO23,Уголь_коэфф!$A:$B,2,1)),1+(1-$AU23))</f>
        <v>1.0420000000000003</v>
      </c>
      <c r="DQ23" s="102">
        <f>MIN(IF($AU23=100%,1,1+VLOOKUP(($AJ23-$AI23-$AH23-$AG23-$AF23-$AE23*(1+DQ$3))/$AJ23,Уголь_коэфф!$A:$B,2,1)-VLOOKUP($AO23,Уголь_коэфф!$A:$B,2,1)),1+(1-$AU23))</f>
        <v>1.036</v>
      </c>
      <c r="DR23" s="102">
        <f>MIN(IF($AU23=100%,1,1+VLOOKUP(($AJ23-$AI23-$AH23-$AG23-$AF23-$AE23*(1+DR$3))/$AJ23,Уголь_коэфф!$A:$B,2,1)-VLOOKUP($AO23,Уголь_коэфф!$A:$B,2,1)),1+(1-$AU23))</f>
        <v>1.036</v>
      </c>
      <c r="DS23" s="102">
        <f>MIN(IF($AU23=100%,1,1+VLOOKUP(($AJ23-$AI23-$AH23-$AG23-$AF23-$AE23*(1+DS$3))/$AJ23,Уголь_коэфф!$A:$B,2,1)-VLOOKUP($AO23,Уголь_коэфф!$A:$B,2,1)),1+(1-$AU23))</f>
        <v>1.036</v>
      </c>
      <c r="DT23" s="102">
        <f>MIN(IF($AU23=100%,1,1+VLOOKUP(($AJ23-$AI23-$AH23-$AG23-$AF23-$AE23*(1+DT$3))/$AJ23,Уголь_коэфф!$A:$B,2,1)-VLOOKUP($AO23,Уголь_коэфф!$A:$B,2,1)),1+(1-$AU23))</f>
        <v>1.036</v>
      </c>
      <c r="DU23" s="102">
        <f>MIN(IF($AU23=100%,1,1+VLOOKUP(($AJ23-$AI23-$AH23-$AG23-$AF23-$AE23*(1+DU$3))/$AJ23,Уголь_коэфф!$A:$B,2,1)-VLOOKUP($AO23,Уголь_коэфф!$A:$B,2,1)),1+(1-$AU23))</f>
        <v>1.036</v>
      </c>
      <c r="DV23" s="102">
        <f>MIN(IF($AU23=100%,1,1+VLOOKUP(($AJ23-$AI23-$AH23-$AG23-$AF23-$AE23*(1+DV$3))/$AJ23,Уголь_коэфф!$A:$B,2,1)-VLOOKUP($AO23,Уголь_коэфф!$A:$B,2,1)),1+(1-$AU23))</f>
        <v>1.0300000000000002</v>
      </c>
      <c r="DW23" s="102">
        <f>MIN(IF($AU23=100%,1,1+VLOOKUP(($AJ23-$AI23-$AH23-$AG23-$AF23-$AE23*(1+DW$3))/$AJ23,Уголь_коэфф!$A:$B,2,1)-VLOOKUP($AO23,Уголь_коэфф!$A:$B,2,1)),1+(1-$AU23))</f>
        <v>1.0300000000000002</v>
      </c>
      <c r="DX23" s="102">
        <f>MIN(IF($AU23=100%,1,1+VLOOKUP(($AJ23-$AI23-$AH23-$AG23-$AF23-$AE23*(1+DX$3))/$AJ23,Уголь_коэфф!$A:$B,2,1)-VLOOKUP($AO23,Уголь_коэфф!$A:$B,2,1)),1+(1-$AU23))</f>
        <v>1.0300000000000002</v>
      </c>
      <c r="DY23" s="102">
        <f>MIN(IF($AU23=100%,1,1+VLOOKUP(($AJ23-$AI23-$AH23-$AG23-$AF23-$AE23*(1+DY$3))/$AJ23,Уголь_коэфф!$A:$B,2,1)-VLOOKUP($AO23,Уголь_коэфф!$A:$B,2,1)),1+(1-$AU23))</f>
        <v>1.0300000000000002</v>
      </c>
      <c r="DZ23" s="102">
        <f>MIN(IF($AU23=100%,1,1+VLOOKUP(($AJ23-$AI23-$AH23-$AG23-$AF23-$AE23*(1+DZ$3))/$AJ23,Уголь_коэфф!$A:$B,2,1)-VLOOKUP($AO23,Уголь_коэфф!$A:$B,2,1)),1+(1-$AU23))</f>
        <v>1.0300000000000002</v>
      </c>
      <c r="EA23" s="102">
        <f>MIN(IF($AU23=100%,1,1+VLOOKUP(($AJ23-$AI23-$AH23-$AG23-$AF23-$AE23*(1+EA$3))/$AJ23,Уголь_коэфф!$A:$B,2,1)-VLOOKUP($AO23,Уголь_коэфф!$A:$B,2,1)),1+(1-$AU23))</f>
        <v>1.024</v>
      </c>
      <c r="EB23" s="102">
        <f>MIN(IF($AU23=100%,1,1+VLOOKUP(($AJ23-$AI23-$AH23-$AG23-$AF23-$AE23*(1+EB$3))/$AJ23,Уголь_коэфф!$A:$B,2,1)-VLOOKUP($AO23,Уголь_коэфф!$A:$B,2,1)),1+(1-$AU23))</f>
        <v>1.024</v>
      </c>
      <c r="EC23" s="102">
        <f>MIN(IF($AU23=100%,1,1+VLOOKUP(($AJ23-$AI23-$AH23-$AG23-$AF23-$AE23*(1+EC$3))/$AJ23,Уголь_коэфф!$A:$B,2,1)-VLOOKUP($AO23,Уголь_коэфф!$A:$B,2,1)),1+(1-$AU23))</f>
        <v>1.024</v>
      </c>
      <c r="ED23" s="102">
        <f>MIN(IF($AU23=100%,1,1+VLOOKUP(($AJ23-$AI23-$AH23-$AG23-$AF23-$AE23*(1+ED$3))/$AJ23,Уголь_коэфф!$A:$B,2,1)-VLOOKUP($AO23,Уголь_коэфф!$A:$B,2,1)),1+(1-$AU23))</f>
        <v>1.024</v>
      </c>
      <c r="EE23" s="102">
        <f>MIN(IF($AU23=100%,1,1+VLOOKUP(($AJ23-$AI23-$AH23-$AG23-$AF23-$AE23*(1+EE$3))/$AJ23,Уголь_коэфф!$A:$B,2,1)-VLOOKUP($AO23,Уголь_коэфф!$A:$B,2,1)),1+(1-$AU23))</f>
        <v>1.024</v>
      </c>
      <c r="EF23" s="102">
        <f>MIN(IF($AU23=100%,1,1+VLOOKUP(($AJ23-$AI23-$AH23-$AG23-$AF23-$AE23*(1+EF$3))/$AJ23,Уголь_коэфф!$A:$B,2,1)-VLOOKUP($AO23,Уголь_коэфф!$A:$B,2,1)),1+(1-$AU23))</f>
        <v>1.0180000000000002</v>
      </c>
      <c r="EG23" s="102">
        <f>MIN(IF($AU23=100%,1,1+VLOOKUP(($AJ23-$AI23-$AH23-$AG23-$AF23-$AE23*(1+EG$3))/$AJ23,Уголь_коэфф!$A:$B,2,1)-VLOOKUP($AO23,Уголь_коэфф!$A:$B,2,1)),1+(1-$AU23))</f>
        <v>1.0180000000000002</v>
      </c>
      <c r="EH23" s="102">
        <f>MIN(IF($AU23=100%,1,1+VLOOKUP(($AJ23-$AI23-$AH23-$AG23-$AF23-$AE23*(1+EH$3))/$AJ23,Уголь_коэфф!$A:$B,2,1)-VLOOKUP($AO23,Уголь_коэфф!$A:$B,2,1)),1+(1-$AU23))</f>
        <v>1.0180000000000002</v>
      </c>
      <c r="EI23" s="102">
        <f>MIN(IF($AU23=100%,1,1+VLOOKUP(($AJ23-$AI23-$AH23-$AG23-$AF23-$AE23*(1+EI$3))/$AJ23,Уголь_коэфф!$A:$B,2,1)-VLOOKUP($AO23,Уголь_коэфф!$A:$B,2,1)),1+(1-$AU23))</f>
        <v>1.0180000000000002</v>
      </c>
      <c r="EJ23" s="102">
        <f>MIN(IF($AU23=100%,1,1+VLOOKUP(($AJ23-$AI23-$AH23-$AG23-$AF23-$AE23*(1+EJ$3))/$AJ23,Уголь_коэфф!$A:$B,2,1)-VLOOKUP($AO23,Уголь_коэфф!$A:$B,2,1)),1+(1-$AU23))</f>
        <v>1.0180000000000002</v>
      </c>
      <c r="EK23" s="102">
        <f>MIN(IF($AU23=100%,1,1+VLOOKUP(($AJ23-$AI23-$AH23-$AG23-$AF23-$AE23*(1+EK$3))/$AJ23,Уголь_коэфф!$A:$B,2,1)-VLOOKUP($AO23,Уголь_коэфф!$A:$B,2,1)),1+(1-$AU23))</f>
        <v>1.012</v>
      </c>
      <c r="EL23" s="102">
        <f>MIN(IF($AU23=100%,1,1+VLOOKUP(($AJ23-$AI23-$AH23-$AG23-$AF23-$AE23*(1+EL$3))/$AJ23,Уголь_коэфф!$A:$B,2,1)-VLOOKUP($AO23,Уголь_коэфф!$A:$B,2,1)),1+(1-$AU23))</f>
        <v>1.012</v>
      </c>
      <c r="EM23" s="102">
        <f>MIN(IF($AU23=100%,1,1+VLOOKUP(($AJ23-$AI23-$AH23-$AG23-$AF23-$AE23*(1+EM$3))/$AJ23,Уголь_коэфф!$A:$B,2,1)-VLOOKUP($AO23,Уголь_коэфф!$A:$B,2,1)),1+(1-$AU23))</f>
        <v>1.012</v>
      </c>
      <c r="EN23" s="102">
        <f>MIN(IF($AU23=100%,1,1+VLOOKUP(($AJ23-$AI23-$AH23-$AG23-$AF23-$AE23*(1+EN$3))/$AJ23,Уголь_коэфф!$A:$B,2,1)-VLOOKUP($AO23,Уголь_коэфф!$A:$B,2,1)),1+(1-$AU23))</f>
        <v>1.012</v>
      </c>
      <c r="EO23" s="102">
        <f>MIN(IF($AU23=100%,1,1+VLOOKUP(($AJ23-$AI23-$AH23-$AG23-$AF23-$AE23*(1+EO$3))/$AJ23,Уголь_коэфф!$A:$B,2,1)-VLOOKUP($AO23,Уголь_коэфф!$A:$B,2,1)),1+(1-$AU23))</f>
        <v>1.012</v>
      </c>
      <c r="EP23" s="102">
        <f>MIN(IF($AU23=100%,1,1+VLOOKUP(($AJ23-$AI23-$AH23-$AG23-$AF23-$AE23*(1+EP$3))/$AJ23,Уголь_коэфф!$A:$B,2,1)-VLOOKUP($AO23,Уголь_коэфф!$A:$B,2,1)),1+(1-$AU23))</f>
        <v>1.0060000000000002</v>
      </c>
      <c r="EQ23" s="102">
        <f>MIN(IF($AU23=100%,1,1+VLOOKUP(($AJ23-$AI23-$AH23-$AG23-$AF23-$AE23*(1+EQ$3))/$AJ23,Уголь_коэфф!$A:$B,2,1)-VLOOKUP($AO23,Уголь_коэфф!$A:$B,2,1)),1+(1-$AU23))</f>
        <v>1.0060000000000002</v>
      </c>
      <c r="ER23" s="102">
        <f>MIN(IF($AU23=100%,1,1+VLOOKUP(($AJ23-$AI23-$AH23-$AG23-$AF23-$AE23*(1+ER$3))/$AJ23,Уголь_коэфф!$A:$B,2,1)-VLOOKUP($AO23,Уголь_коэфф!$A:$B,2,1)),1+(1-$AU23))</f>
        <v>1.0060000000000002</v>
      </c>
      <c r="ES23" s="102">
        <f>MIN(IF($AU23=100%,1,1+VLOOKUP(($AJ23-$AI23-$AH23-$AG23-$AF23-$AE23*(1+ES$3))/$AJ23,Уголь_коэфф!$A:$B,2,1)-VLOOKUP($AO23,Уголь_коэфф!$A:$B,2,1)),1+(1-$AU23))</f>
        <v>1.0060000000000002</v>
      </c>
      <c r="ET23" s="102">
        <f>MIN(IF($AU23=100%,1,1+VLOOKUP(($AJ23-$AI23-$AH23-$AG23-$AF23-$AE23*(1+ET$3))/$AJ23,Уголь_коэфф!$A:$B,2,1)-VLOOKUP($AO23,Уголь_коэфф!$A:$B,2,1)),1+(1-$AU23))</f>
        <v>1.0060000000000002</v>
      </c>
      <c r="EU23" s="102">
        <f>MIN(IF($AU23=100%,1,1+VLOOKUP(($AJ23-$AI23-$AH23-$AG23-$AF23-$AE23*(1+EU$3))/$AJ23,Уголь_коэфф!$A:$B,2,1)-VLOOKUP($AO23,Уголь_коэфф!$A:$B,2,1)),1+(1-$AU23))</f>
        <v>0.99999999999999989</v>
      </c>
      <c r="EV23" s="103">
        <v>1</v>
      </c>
      <c r="EW23" s="102">
        <f>MIN(1,MAX(VLOOKUP(($AJ23-$AI23-$AH23-$AG23-$AF23-$AE23*(1+EW$3))/$AJ23,Уголь_коэфф!$A:$B,2,1),(EV23-0.05)))</f>
        <v>0.95</v>
      </c>
      <c r="EX23" s="102">
        <f>MIN(1,MAX(VLOOKUP(($AJ23-$AI23-$AH23-$AG23-$AF23-$AE23*(1+EX$3))/$AJ23,Уголь_коэфф!$A:$B,2,1),(EW23-0.05)))</f>
        <v>0.89999999999999991</v>
      </c>
      <c r="EY23" s="102">
        <f>MIN(1,MAX(VLOOKUP(($AJ23-$AI23-$AH23-$AG23-$AF23-$AE23*(1+EY$3))/$AJ23,Уголь_коэфф!$A:$B,2,1),(EX23-0.05)))</f>
        <v>0.872</v>
      </c>
      <c r="EZ23" s="102">
        <f>MIN(1,MAX(VLOOKUP(($AJ23-$AI23-$AH23-$AG23-$AF23-$AE23*(1+EZ$3))/$AJ23,Уголь_коэфф!$A:$B,2,1),(EY23-0.05)))</f>
        <v>0.86599999999999999</v>
      </c>
      <c r="FA23" s="102">
        <f>MIN(1,MAX(VLOOKUP(($AJ23-$AI23-$AH23-$AG23-$AF23-$AE23*(1+FA$3))/$AJ23,Уголь_коэфф!$A:$B,2,1),(EZ23-0.05)))</f>
        <v>0.86599999999999999</v>
      </c>
      <c r="FB23" s="102">
        <f>MIN(1,MAX(VLOOKUP(($AJ23-$AI23-$AH23-$AG23-$AF23-$AE23*(1+FB$3))/$AJ23,Уголь_коэфф!$A:$B,2,1),(FA23-0.05)))</f>
        <v>0.86599999999999999</v>
      </c>
      <c r="FC23" s="102">
        <f>MIN(1,MAX(VLOOKUP(($AJ23-$AI23-$AH23-$AG23-$AF23-$AE23*(1+FC$3))/$AJ23,Уголь_коэфф!$A:$B,2,1),(FB23-0.05)))</f>
        <v>0.86599999999999999</v>
      </c>
      <c r="FD23" s="102">
        <f>MIN(1,MAX(VLOOKUP(($AJ23-$AI23-$AH23-$AG23-$AF23-$AE23*(1+FD$3))/$AJ23,Уголь_коэфф!$A:$B,2,1),(FC23-0.05)))</f>
        <v>0.86599999999999999</v>
      </c>
      <c r="FE23" s="102">
        <f>MIN(1,MAX(VLOOKUP(($AJ23-$AI23-$AH23-$AG23-$AF23-$AE23*(1+FE$3))/$AJ23,Уголь_коэфф!$A:$B,2,1),(FD23-0.05)))</f>
        <v>0.86</v>
      </c>
      <c r="FF23" s="102">
        <f>MIN(1,MAX(VLOOKUP(($AJ23-$AI23-$AH23-$AG23-$AF23-$AE23*(1+FF$3))/$AJ23,Уголь_коэфф!$A:$B,2,1),(FE23-0.05)))</f>
        <v>0.86</v>
      </c>
      <c r="FG23" s="102">
        <f>MIN(1,MAX(VLOOKUP(($AJ23-$AI23-$AH23-$AG23-$AF23-$AE23*(1+FG$3))/$AJ23,Уголь_коэфф!$A:$B,2,1),(FF23-0.05)))</f>
        <v>0.86</v>
      </c>
      <c r="FH23" s="102">
        <f>MIN(1,MAX(VLOOKUP(($AJ23-$AI23-$AH23-$AG23-$AF23-$AE23*(1+FH$3))/$AJ23,Уголь_коэфф!$A:$B,2,1),(FG23-0.05)))</f>
        <v>0.86</v>
      </c>
      <c r="FI23" s="102">
        <f>MIN(1,MAX(VLOOKUP(($AJ23-$AI23-$AH23-$AG23-$AF23-$AE23*(1+FI$3))/$AJ23,Уголь_коэфф!$A:$B,2,1),(FH23-0.05)))</f>
        <v>0.86</v>
      </c>
      <c r="FJ23" s="102">
        <f>MIN(1,MAX(VLOOKUP(($AJ23-$AI23-$AH23-$AG23-$AF23-$AE23*(1+FJ$3))/$AJ23,Уголь_коэфф!$A:$B,2,1),(FI23-0.05)))</f>
        <v>0.85399999999999998</v>
      </c>
      <c r="FK23" s="102">
        <f>MIN(1,MAX(VLOOKUP(($AJ23-$AI23-$AH23-$AG23-$AF23-$AE23*(1+FK$3))/$AJ23,Уголь_коэфф!$A:$B,2,1),(FJ23-0.05)))</f>
        <v>0.85399999999999998</v>
      </c>
      <c r="FL23" s="102">
        <f>MIN(1,MAX(VLOOKUP(($AJ23-$AI23-$AH23-$AG23-$AF23-$AE23*(1+FL$3))/$AJ23,Уголь_коэфф!$A:$B,2,1),(FK23-0.05)))</f>
        <v>0.85399999999999998</v>
      </c>
      <c r="FM23" s="102">
        <f>MIN(1,MAX(VLOOKUP(($AJ23-$AI23-$AH23-$AG23-$AF23-$AE23*(1+FM$3))/$AJ23,Уголь_коэфф!$A:$B,2,1),(FL23-0.05)))</f>
        <v>0.85399999999999998</v>
      </c>
      <c r="FN23" s="102">
        <f>MIN(1,MAX(VLOOKUP(($AJ23-$AI23-$AH23-$AG23-$AF23-$AE23*(1+FN$3))/$AJ23,Уголь_коэфф!$A:$B,2,1),(FM23-0.05)))</f>
        <v>0.85399999999999998</v>
      </c>
      <c r="FO23" s="102">
        <f>MIN(1,MAX(VLOOKUP(($AJ23-$AI23-$AH23-$AG23-$AF23-$AE23*(1+FO$3))/$AJ23,Уголь_коэфф!$A:$B,2,1),(FN23-0.05)))</f>
        <v>0.84799999999999998</v>
      </c>
      <c r="FP23" s="102">
        <f>MIN(1,MAX(VLOOKUP(($AJ23-$AI23-$AH23-$AG23-$AF23-$AE23*(1+FP$3))/$AJ23,Уголь_коэфф!$A:$B,2,1),(FO23-0.05)))</f>
        <v>0.84799999999999998</v>
      </c>
      <c r="FQ23" s="102">
        <f>MIN(1,MAX(VLOOKUP(($AJ23-$AI23-$AH23-$AG23-$AF23-$AE23*(1+FQ$3))/$AJ23,Уголь_коэфф!$A:$B,2,1),(FP23-0.05)))</f>
        <v>0.84799999999999998</v>
      </c>
      <c r="FR23" s="102">
        <f>MIN(1,MAX(VLOOKUP(($AJ23-$AI23-$AH23-$AG23-$AF23-$AE23*(1+FR$3))/$AJ23,Уголь_коэфф!$A:$B,2,1),(FQ23-0.05)))</f>
        <v>0.84799999999999998</v>
      </c>
      <c r="FS23" s="102">
        <f>MIN(1,MAX(VLOOKUP(($AJ23-$AI23-$AH23-$AG23-$AF23-$AE23*(1+FS$3))/$AJ23,Уголь_коэфф!$A:$B,2,1),(FR23-0.05)))</f>
        <v>0.84799999999999998</v>
      </c>
      <c r="FT23" s="102">
        <f>MIN(1,MAX(VLOOKUP(($AJ23-$AI23-$AH23-$AG23-$AF23-$AE23*(1+FT$3))/$AJ23,Уголь_коэфф!$A:$B,2,1),(FS23-0.05)))</f>
        <v>0.84199999999999997</v>
      </c>
      <c r="FU23" s="102">
        <f>MIN(1,MAX(VLOOKUP(($AJ23-$AI23-$AH23-$AG23-$AF23-$AE23*(1+FU$3))/$AJ23,Уголь_коэфф!$A:$B,2,1),(FT23-0.05)))</f>
        <v>0.84199999999999997</v>
      </c>
      <c r="FV23" s="102">
        <f>MIN(1,MAX(VLOOKUP(($AJ23-$AI23-$AH23-$AG23-$AF23-$AE23*(1+FV$3))/$AJ23,Уголь_коэфф!$A:$B,2,1),(FU23-0.05)))</f>
        <v>0.84199999999999997</v>
      </c>
      <c r="FW23" s="102">
        <f>MIN(1,MAX(VLOOKUP(($AJ23-$AI23-$AH23-$AG23-$AF23-$AE23*(1+FW$3))/$AJ23,Уголь_коэфф!$A:$B,2,1),(FV23-0.05)))</f>
        <v>0.84199999999999997</v>
      </c>
      <c r="FX23" s="102">
        <f>MIN(1,MAX(VLOOKUP(($AJ23-$AI23-$AH23-$AG23-$AF23-$AE23*(1+FX$3))/$AJ23,Уголь_коэфф!$A:$B,2,1),(FW23-0.05)))</f>
        <v>0.83599999999999997</v>
      </c>
      <c r="FY23" s="102">
        <f>MIN(1,MAX(VLOOKUP(($AJ23-$AI23-$AH23-$AG23-$AF23-$AE23*(1+FY$3))/$AJ23,Уголь_коэфф!$A:$B,2,1),(FX23-0.05)))</f>
        <v>0.83599999999999997</v>
      </c>
      <c r="FZ23" s="102">
        <f>MIN(1,MAX(VLOOKUP(($AJ23-$AI23-$AH23-$AG23-$AF23-$AE23*(1+FZ$3))/$AJ23,Уголь_коэфф!$A:$B,2,1),(FY23-0.05)))</f>
        <v>0.83599999999999997</v>
      </c>
      <c r="GA23" s="102">
        <f>MIN(1,MAX(VLOOKUP(($AJ23-$AI23-$AH23-$AG23-$AF23-$AE23*(1+GA$3))/$AJ23,Уголь_коэфф!$A:$B,2,1),(FZ23-0.05)))</f>
        <v>0.83599999999999997</v>
      </c>
      <c r="GB23" s="102">
        <f>MIN(1,MAX(VLOOKUP(($AJ23-$AI23-$AH23-$AG23-$AF23-$AE23*(1+GB$3))/$AJ23,Уголь_коэфф!$A:$B,2,1),(GA23-0.05)))</f>
        <v>0.83599999999999997</v>
      </c>
      <c r="GC23" s="102">
        <f>MIN(1,MAX(VLOOKUP(($AJ23-$AI23-$AH23-$AG23-$AF23-$AE23*(1+GC$3))/$AJ23,Уголь_коэфф!$A:$B,2,1),(GB23-0.05)))</f>
        <v>0.82899999999999996</v>
      </c>
      <c r="GD23" s="102">
        <f>MIN(1,MAX(VLOOKUP(($AJ23-$AI23-$AH23-$AG23-$AF23-$AE23*(1+GD$3))/$AJ23,Уголь_коэфф!$A:$B,2,1),(GC23-0.05)))</f>
        <v>0.82899999999999996</v>
      </c>
      <c r="GE23" s="102">
        <f>MIN(1,MAX(VLOOKUP(($AJ23-$AI23-$AH23-$AG23-$AF23-$AE23*(1+GE$3))/$AJ23,Уголь_коэфф!$A:$B,2,1),(GD23-0.05)))</f>
        <v>0.82899999999999996</v>
      </c>
      <c r="GF23" s="102">
        <f>MIN(1,MAX(VLOOKUP(($AJ23-$AI23-$AH23-$AG23-$AF23-$AE23*(1+GF$3))/$AJ23,Уголь_коэфф!$A:$B,2,1),(GE23-0.05)))</f>
        <v>0.82899999999999996</v>
      </c>
      <c r="GG23" s="102">
        <f>MIN(1,MAX(VLOOKUP(($AJ23-$AI23-$AH23-$AG23-$AF23-$AE23*(1+GG$3))/$AJ23,Уголь_коэфф!$A:$B,2,1),(GF23-0.05)))</f>
        <v>0.82899999999999996</v>
      </c>
      <c r="GH23" s="102">
        <f>MIN(1,MAX(VLOOKUP(($AJ23-$AI23-$AH23-$AG23-$AF23-$AE23*(1+GH$3))/$AJ23,Уголь_коэфф!$A:$B,2,1),(GG23-0.05)))</f>
        <v>0.82199999999999995</v>
      </c>
      <c r="GI23" s="102">
        <f>MIN(1,MAX(VLOOKUP(($AJ23-$AI23-$AH23-$AG23-$AF23-$AE23*(1+GI$3))/$AJ23,Уголь_коэфф!$A:$B,2,1),(GH23-0.05)))</f>
        <v>0.82199999999999995</v>
      </c>
      <c r="GJ23" s="102">
        <f>MIN(1,MAX(VLOOKUP(($AJ23-$AI23-$AH23-$AG23-$AF23-$AE23*(1+GJ$3))/$AJ23,Уголь_коэфф!$A:$B,2,1),(GI23-0.05)))</f>
        <v>0.82199999999999995</v>
      </c>
      <c r="GK23" s="102">
        <f>MIN(1,MAX(VLOOKUP(($AJ23-$AI23-$AH23-$AG23-$AF23-$AE23*(1+GK$3))/$AJ23,Уголь_коэфф!$A:$B,2,1),(GJ23-0.05)))</f>
        <v>0.82199999999999995</v>
      </c>
      <c r="GL23" s="102">
        <f>MIN(1,MAX(VLOOKUP(($AJ23-$AI23-$AH23-$AG23-$AF23-$AE23*(1+GL$3))/$AJ23,Уголь_коэфф!$A:$B,2,1),(GK23-0.05)))</f>
        <v>0.82199999999999995</v>
      </c>
      <c r="GM23" s="102">
        <f>MIN(1,MAX(VLOOKUP(($AJ23-$AI23-$AH23-$AG23-$AF23-$AE23*(1+GM$3))/$AJ23,Уголь_коэфф!$A:$B,2,1),(GL23-0.05)))</f>
        <v>0.81499999999999995</v>
      </c>
      <c r="GN23" s="102">
        <f>MIN(1,MAX(VLOOKUP(($AJ23-$AI23-$AH23-$AG23-$AF23-$AE23*(1+GN$3))/$AJ23,Уголь_коэфф!$A:$B,2,1),(GM23-0.05)))</f>
        <v>0.81499999999999995</v>
      </c>
      <c r="GO23" s="102">
        <f>MIN(1,MAX(VLOOKUP(($AJ23-$AI23-$AH23-$AG23-$AF23-$AE23*(1+GO$3))/$AJ23,Уголь_коэфф!$A:$B,2,1),(GN23-0.05)))</f>
        <v>0.81499999999999995</v>
      </c>
      <c r="GP23" s="102">
        <f>MIN(1,MAX(VLOOKUP(($AJ23-$AI23-$AH23-$AG23-$AF23-$AE23*(1+GP$3))/$AJ23,Уголь_коэфф!$A:$B,2,1),(GO23-0.05)))</f>
        <v>0.81499999999999995</v>
      </c>
      <c r="GQ23" s="102">
        <f>MIN(1,MAX(VLOOKUP(($AJ23-$AI23-$AH23-$AG23-$AF23-$AE23*(1+GQ$3))/$AJ23,Уголь_коэфф!$A:$B,2,1),(GP23-0.05)))</f>
        <v>0.81499999999999995</v>
      </c>
      <c r="GR23" s="102">
        <f>MIN(1,MAX(VLOOKUP(($AJ23-$AI23-$AH23-$AG23-$AF23-$AE23*(1+GR$3))/$AJ23,Уголь_коэфф!$A:$B,2,1),(GQ23-0.05)))</f>
        <v>0.80800000000000005</v>
      </c>
      <c r="GS23" s="102">
        <f>MIN(1,MAX(VLOOKUP(($AJ23-$AI23-$AH23-$AG23-$AF23-$AE23*(1+GS$3))/$AJ23,Уголь_коэфф!$A:$B,2,1),(GR23-0.05)))</f>
        <v>0.80800000000000005</v>
      </c>
      <c r="GT23" s="102">
        <f>MIN(1,MAX(VLOOKUP(($AJ23-$AI23-$AH23-$AG23-$AF23-$AE23*(1+GT$3))/$AJ23,Уголь_коэфф!$A:$B,2,1),(GS23-0.05)))</f>
        <v>0.80800000000000005</v>
      </c>
      <c r="GU23" s="102">
        <f>MIN(1,MAX(VLOOKUP(($AJ23-$AI23-$AH23-$AG23-$AF23-$AE23*(1+GU$3))/$AJ23,Уголь_коэфф!$A:$B,2,1),(GT23-0.05)))</f>
        <v>0.80800000000000005</v>
      </c>
      <c r="GV23" s="102">
        <f>MIN(1,MAX(VLOOKUP(($AJ23-$AI23-$AH23-$AG23-$AF23-$AE23*(1+GV$3))/$AJ23,Уголь_коэфф!$A:$B,2,1),(GU23-0.05)))</f>
        <v>0.80800000000000005</v>
      </c>
      <c r="GW23" s="102">
        <f>MIN(1,MAX(VLOOKUP(($AJ23-$AI23-$AH23-$AG23-$AF23-$AE23*(1+GW$3))/$AJ23,Уголь_коэфф!$A:$B,2,1),(GV23-0.05)))</f>
        <v>0.80100000000000005</v>
      </c>
      <c r="GX23" s="102">
        <f>MIN(1,MAX(VLOOKUP(($AJ23-$AI23-$AH23-$AG23-$AF23-$AE23*(1+GX$3))/$AJ23,Уголь_коэфф!$A:$B,2,1),(GW23-0.05)))</f>
        <v>0.80100000000000005</v>
      </c>
      <c r="GY23" s="102">
        <f>MIN(1,MAX(VLOOKUP(($AJ23-$AI23-$AH23-$AG23-$AF23-$AE23*(1+GY$3))/$AJ23,Уголь_коэфф!$A:$B,2,1),(GX23-0.05)))</f>
        <v>0.80100000000000005</v>
      </c>
      <c r="GZ23" s="102">
        <f>MIN(1,MAX(VLOOKUP(($AJ23-$AI23-$AH23-$AG23-$AF23-$AE23*(1+GZ$3))/$AJ23,Уголь_коэфф!$A:$B,2,1),(GY23-0.05)))</f>
        <v>0.80100000000000005</v>
      </c>
      <c r="HA23" s="102">
        <f>MIN(1,MAX(VLOOKUP(($AJ23-$AI23-$AH23-$AG23-$AF23-$AE23*(1+HA$3))/$AJ23,Уголь_коэфф!$A:$B,2,1),(GZ23-0.05)))</f>
        <v>0.80100000000000005</v>
      </c>
      <c r="HB23" s="102">
        <f>MIN(1,MAX(VLOOKUP(($AJ23-$AI23-$AH23-$AG23-$AF23-$AE23*(1+HB$3))/$AJ23,Уголь_коэфф!$A:$B,2,1),(HA23-0.05)))</f>
        <v>0.79400000000000004</v>
      </c>
      <c r="HC23" s="102">
        <f>MIN(1,MAX(VLOOKUP(($AJ23-$AI23-$AH23-$AG23-$AF23-$AE23*(1+HC$3))/$AJ23,Уголь_коэфф!$A:$B,2,1),(HB23-0.05)))</f>
        <v>0.79400000000000004</v>
      </c>
      <c r="HD23" s="102">
        <f>MIN(1,MAX(VLOOKUP(($AJ23-$AI23-$AH23-$AG23-$AF23-$AE23*(1+HD$3))/$AJ23,Уголь_коэфф!$A:$B,2,1),(HC23-0.05)))</f>
        <v>0.79400000000000004</v>
      </c>
      <c r="HE23" s="102">
        <f>MIN(1,MAX(VLOOKUP(($AJ23-$AI23-$AH23-$AG23-$AF23-$AE23*(1+HE$3))/$AJ23,Уголь_коэфф!$A:$B,2,1),(HD23-0.05)))</f>
        <v>0.79400000000000004</v>
      </c>
      <c r="HF23" s="102">
        <f>MIN(1,MAX(VLOOKUP(($AJ23-$AI23-$AH23-$AG23-$AF23-$AE23*(1+HF$3))/$AJ23,Уголь_коэфф!$A:$B,2,1),(HE23-0.05)))</f>
        <v>0.79400000000000004</v>
      </c>
      <c r="HG23" s="102">
        <f>MIN(1,MAX(VLOOKUP(($AJ23-$AI23-$AH23-$AG23-$AF23-$AE23*(1+HG$3))/$AJ23,Уголь_коэфф!$A:$B,2,1),(HF23-0.05)))</f>
        <v>0.78700000000000003</v>
      </c>
      <c r="HH23" s="102">
        <f>MIN(1,MAX(VLOOKUP(($AJ23-$AI23-$AH23-$AG23-$AF23-$AE23*(1+HH$3))/$AJ23,Уголь_коэфф!$A:$B,2,1),(HG23-0.05)))</f>
        <v>0.78700000000000003</v>
      </c>
      <c r="HI23" s="102">
        <f>MIN(1,MAX(VLOOKUP(($AJ23-$AI23-$AH23-$AG23-$AF23-$AE23*(1+HI$3))/$AJ23,Уголь_коэфф!$A:$B,2,1),(HH23-0.05)))</f>
        <v>0.78700000000000003</v>
      </c>
      <c r="HJ23" s="102">
        <f>MIN(1,MAX(VLOOKUP(($AJ23-$AI23-$AH23-$AG23-$AF23-$AE23*(1+HJ$3))/$AJ23,Уголь_коэфф!$A:$B,2,1),(HI23-0.05)))</f>
        <v>0.78700000000000003</v>
      </c>
      <c r="HK23" s="102">
        <f>MIN(1,MAX(VLOOKUP(($AJ23-$AI23-$AH23-$AG23-$AF23-$AE23*(1+HK$3))/$AJ23,Уголь_коэфф!$A:$B,2,1),(HJ23-0.05)))</f>
        <v>0.78700000000000003</v>
      </c>
      <c r="HL23" s="102">
        <f>MIN(1,MAX(VLOOKUP(($AJ23-$AI23-$AH23-$AG23-$AF23-$AE23*(1+HL$3))/$AJ23,Уголь_коэфф!$A:$B,2,1),(HK23-0.05)))</f>
        <v>0.78</v>
      </c>
      <c r="HM23" s="102">
        <f>MIN(1,MAX(VLOOKUP(($AJ23-$AI23-$AH23-$AG23-$AF23-$AE23*(1+HM$3))/$AJ23,Уголь_коэфф!$A:$B,2,1),(HL23-0.05)))</f>
        <v>0.78</v>
      </c>
      <c r="HN23" s="102">
        <f>MIN(1,MAX(VLOOKUP(($AJ23-$AI23-$AH23-$AG23-$AF23-$AE23*(1+HN$3))/$AJ23,Уголь_коэфф!$A:$B,2,1),(HM23-0.05)))</f>
        <v>0.78</v>
      </c>
      <c r="HO23" s="102">
        <f>MIN(1,MAX(VLOOKUP(($AJ23-$AI23-$AH23-$AG23-$AF23-$AE23*(1+HO$3))/$AJ23,Уголь_коэфф!$A:$B,2,1),(HN23-0.05)))</f>
        <v>0.78</v>
      </c>
      <c r="HP23" s="102">
        <f>MIN(1,MAX(VLOOKUP(($AJ23-$AI23-$AH23-$AG23-$AF23-$AE23*(1+HP$3))/$AJ23,Уголь_коэфф!$A:$B,2,1),(HO23-0.05)))</f>
        <v>0.78</v>
      </c>
      <c r="HQ23" s="102">
        <f>MIN(1,MAX(VLOOKUP(($AJ23-$AI23-$AH23-$AG23-$AF23-$AE23*(1+HQ$3))/$AJ23,Уголь_коэфф!$A:$B,2,1),(HP23-0.05)))</f>
        <v>0.77300000000000002</v>
      </c>
      <c r="HR23" s="102">
        <f>MIN(1,MAX(VLOOKUP(($AJ23-$AI23-$AH23-$AG23-$AF23-$AE23*(1+HR$3))/$AJ23,Уголь_коэфф!$A:$B,2,1),(HQ23-0.05)))</f>
        <v>0.77300000000000002</v>
      </c>
      <c r="HS23" s="102">
        <f>MIN(1,MAX(VLOOKUP(($AJ23-$AI23-$AH23-$AG23-$AF23-$AE23*(1+HS$3))/$AJ23,Уголь_коэфф!$A:$B,2,1),(HR23-0.05)))</f>
        <v>0.77300000000000002</v>
      </c>
      <c r="HT23" s="102">
        <f>MIN(1,MAX(VLOOKUP(($AJ23-$AI23-$AH23-$AG23-$AF23-$AE23*(1+HT$3))/$AJ23,Уголь_коэфф!$A:$B,2,1),(HS23-0.05)))</f>
        <v>0.77300000000000002</v>
      </c>
      <c r="HU23" s="102">
        <f>MIN(1,MAX(VLOOKUP(($AJ23-$AI23-$AH23-$AG23-$AF23-$AE23*(1+HU$3))/$AJ23,Уголь_коэфф!$A:$B,2,1),(HT23-0.05)))</f>
        <v>0.77300000000000002</v>
      </c>
      <c r="HV23" s="102">
        <f>MIN(1,MAX(VLOOKUP(($AJ23-$AI23-$AH23-$AG23-$AF23-$AE23*(1+HV$3))/$AJ23,Уголь_коэфф!$A:$B,2,1),(HU23-0.05)))</f>
        <v>0.76600000000000001</v>
      </c>
      <c r="HW23" s="102">
        <f>MIN(1,MAX(VLOOKUP(($AJ23-$AI23-$AH23-$AG23-$AF23-$AE23*(1+HW$3))/$AJ23,Уголь_коэфф!$A:$B,2,1),(HV23-0.05)))</f>
        <v>0.76600000000000001</v>
      </c>
      <c r="HX23" s="102">
        <f>MIN(1,MAX(VLOOKUP(($AJ23-$AI23-$AH23-$AG23-$AF23-$AE23*(1+HX$3))/$AJ23,Уголь_коэфф!$A:$B,2,1),(HW23-0.05)))</f>
        <v>0.76600000000000001</v>
      </c>
      <c r="HY23" s="102">
        <f>MIN(1,MAX(VLOOKUP(($AJ23-$AI23-$AH23-$AG23-$AF23-$AE23*(1+HY$3))/$AJ23,Уголь_коэфф!$A:$B,2,1),(HX23-0.05)))</f>
        <v>0.76600000000000001</v>
      </c>
      <c r="HZ23" s="102">
        <f>MIN(1,MAX(VLOOKUP(($AJ23-$AI23-$AH23-$AG23-$AF23-$AE23*(1+HZ$3))/$AJ23,Уголь_коэфф!$A:$B,2,1),(HY23-0.05)))</f>
        <v>0.76600000000000001</v>
      </c>
      <c r="IA23" s="102">
        <f>MIN(1,MAX(VLOOKUP(($AJ23-$AI23-$AH23-$AG23-$AF23-$AE23*(1+IA$3))/$AJ23,Уголь_коэфф!$A:$B,2,1),(HZ23-0.05)))</f>
        <v>0.75900000000000001</v>
      </c>
      <c r="IB23" s="102">
        <f>MIN(1,MAX(VLOOKUP(($AJ23-$AI23-$AH23-$AG23-$AF23-$AE23*(1+IB$3))/$AJ23,Уголь_коэфф!$A:$B,2,1),(IA23-0.05)))</f>
        <v>0.75900000000000001</v>
      </c>
      <c r="IC23" s="102">
        <f>MIN(1,MAX(VLOOKUP(($AJ23-$AI23-$AH23-$AG23-$AF23-$AE23*(1+IC$3))/$AJ23,Уголь_коэфф!$A:$B,2,1),(IB23-0.05)))</f>
        <v>0.75900000000000001</v>
      </c>
      <c r="ID23" s="102">
        <f>MIN(1,MAX(VLOOKUP(($AJ23-$AI23-$AH23-$AG23-$AF23-$AE23*(1+ID$3))/$AJ23,Уголь_коэфф!$A:$B,2,1),(IC23-0.05)))</f>
        <v>0.75900000000000001</v>
      </c>
      <c r="IE23" s="102">
        <f>MIN(1,MAX(VLOOKUP(($AJ23-$AI23-$AH23-$AG23-$AF23-$AE23*(1+IE$3))/$AJ23,Уголь_коэфф!$A:$B,2,1),(ID23-0.05)))</f>
        <v>0.75900000000000001</v>
      </c>
      <c r="IF23" s="102">
        <f>MIN(1,MAX(VLOOKUP(($AJ23-$AI23-$AH23-$AG23-$AF23-$AE23*(1+IF$3))/$AJ23,Уголь_коэфф!$A:$B,2,1),(IE23-0.05)))</f>
        <v>0.752</v>
      </c>
      <c r="IG23" s="102">
        <f>MIN(1,MAX(VLOOKUP(($AJ23-$AI23-$AH23-$AG23-$AF23-$AE23*(1+IG$3))/$AJ23,Уголь_коэфф!$A:$B,2,1),(IF23-0.05)))</f>
        <v>0.752</v>
      </c>
      <c r="IH23" s="102">
        <f>MIN(1,MAX(VLOOKUP(($AJ23-$AI23-$AH23-$AG23-$AF23-$AE23*(1+IH$3))/$AJ23,Уголь_коэфф!$A:$B,2,1),(IG23-0.05)))</f>
        <v>0.752</v>
      </c>
      <c r="II23" s="102">
        <f>MIN(1,MAX(VLOOKUP(($AJ23-$AI23-$AH23-$AG23-$AF23-$AE23*(1+II$3))/$AJ23,Уголь_коэфф!$A:$B,2,1),(IH23-0.05)))</f>
        <v>0.752</v>
      </c>
      <c r="IJ23" s="102">
        <f>MIN(1,MAX(VLOOKUP(($AJ23-$AI23-$AH23-$AG23-$AF23-$AE23*(1+IJ$3))/$AJ23,Уголь_коэфф!$A:$B,2,1),(II23-0.05)))</f>
        <v>0.752</v>
      </c>
      <c r="IK23" s="102">
        <f>MIN(1,MAX(VLOOKUP(($AJ23-$AI23-$AH23-$AG23-$AF23-$AE23*(1+IK$3))/$AJ23,Уголь_коэфф!$A:$B,2,1),(IJ23-0.05)))</f>
        <v>0.74399999999999999</v>
      </c>
      <c r="IL23" s="102">
        <f>MIN(1,MAX(VLOOKUP(($AJ23-$AI23-$AH23-$AG23-$AF23-$AE23*(1+IL$3))/$AJ23,Уголь_коэфф!$A:$B,2,1),(IK23-0.05)))</f>
        <v>0.74399999999999999</v>
      </c>
      <c r="IM23" s="102">
        <f>MIN(1,MAX(VLOOKUP(($AJ23-$AI23-$AH23-$AG23-$AF23-$AE23*(1+IM$3))/$AJ23,Уголь_коэфф!$A:$B,2,1),(IL23-0.05)))</f>
        <v>0.74399999999999999</v>
      </c>
      <c r="IN23" s="102">
        <f>MIN(1,MAX(VLOOKUP(($AJ23-$AI23-$AH23-$AG23-$AF23-$AE23*(1+IN$3))/$AJ23,Уголь_коэфф!$A:$B,2,1),(IM23-0.05)))</f>
        <v>0.74399999999999999</v>
      </c>
      <c r="IO23" s="102">
        <f>MIN(1,MAX(VLOOKUP(($AJ23-$AI23-$AH23-$AG23-$AF23-$AE23*(1+IO$3))/$AJ23,Уголь_коэфф!$A:$B,2,1),(IN23-0.05)))</f>
        <v>0.74399999999999999</v>
      </c>
      <c r="IP23" s="102">
        <f>MIN(1,MAX(VLOOKUP(($AJ23-$AI23-$AH23-$AG23-$AF23-$AE23*(1+IP$3))/$AJ23,Уголь_коэфф!$A:$B,2,1),(IO23-0.05)))</f>
        <v>0.73599999999999999</v>
      </c>
      <c r="IQ23" s="102">
        <f>MIN(1,MAX(VLOOKUP(($AJ23-$AI23-$AH23-$AG23-$AF23-$AE23*(1+IQ$3))/$AJ23,Уголь_коэфф!$A:$B,2,1),(IP23-0.05)))</f>
        <v>0.73599999999999999</v>
      </c>
      <c r="IR23" s="102">
        <f>MIN(1,MAX(VLOOKUP(($AJ23-$AI23-$AH23-$AG23-$AF23-$AE23*(1+IR$3))/$AJ23,Уголь_коэфф!$A:$B,2,1),(IQ23-0.05)))</f>
        <v>0.73599999999999999</v>
      </c>
      <c r="IS23" s="102">
        <f t="shared" si="20"/>
        <v>0.84199999999999997</v>
      </c>
      <c r="IT23" s="102">
        <f t="shared" si="7"/>
        <v>0.84199999999999997</v>
      </c>
      <c r="IU23" s="110"/>
    </row>
    <row r="24" spans="1:255" ht="14.6" customHeight="1">
      <c r="A24" t="s">
        <v>239</v>
      </c>
      <c r="B24" s="157">
        <v>1</v>
      </c>
      <c r="C24" s="158" t="s">
        <v>16</v>
      </c>
      <c r="D24" s="159">
        <v>16111</v>
      </c>
      <c r="E24" s="159" t="s">
        <v>17</v>
      </c>
      <c r="F24" s="158" t="s">
        <v>18</v>
      </c>
      <c r="G24" s="158" t="s">
        <v>45</v>
      </c>
      <c r="H24" s="159" t="s">
        <v>19</v>
      </c>
      <c r="I24" s="159" t="s">
        <v>72</v>
      </c>
      <c r="J24" s="159" t="s">
        <v>67</v>
      </c>
      <c r="K24" s="159">
        <v>6064</v>
      </c>
      <c r="L24" s="159" t="s">
        <v>22</v>
      </c>
      <c r="M24" s="159" t="s">
        <v>23</v>
      </c>
      <c r="N24" s="159" t="s">
        <v>24</v>
      </c>
      <c r="O24" s="159" t="s">
        <v>25</v>
      </c>
      <c r="P24" s="160">
        <v>54998897</v>
      </c>
      <c r="Q24" s="160" t="s">
        <v>123</v>
      </c>
      <c r="R24" s="158" t="s">
        <v>124</v>
      </c>
      <c r="S24" s="161">
        <v>756416</v>
      </c>
      <c r="T24" s="162">
        <v>4586950336</v>
      </c>
      <c r="U24" s="162">
        <v>10137</v>
      </c>
      <c r="V24" s="162"/>
      <c r="W24" s="163">
        <v>1667958938</v>
      </c>
      <c r="X24" s="105">
        <v>75</v>
      </c>
      <c r="Y24" s="105" t="s">
        <v>163</v>
      </c>
      <c r="Z24" s="107">
        <v>13</v>
      </c>
      <c r="AA24" s="107">
        <v>14</v>
      </c>
      <c r="AB24" s="107">
        <v>4</v>
      </c>
      <c r="AC24" s="88">
        <v>2442.4699999999998</v>
      </c>
      <c r="AD24" s="88">
        <v>1120.5700000000002</v>
      </c>
      <c r="AE24" s="88">
        <f t="shared" ref="AE24:AE26" si="28">AC24+AD24</f>
        <v>3563.04</v>
      </c>
      <c r="AF24" s="89">
        <f>'Цены,перевалка,аренда'!$C$26*SUM(Уголь_эластика_экспорт!Z24+Уголь_эластика_экспорт!AA24+Уголь_эластика_экспорт!AB24)/Уголь_эластика_экспорт!X24</f>
        <v>413.33333333333331</v>
      </c>
      <c r="AG24" s="90">
        <f>SUMIF('Цены,перевалка,аренда'!$A$20:$A$22,Уголь_эластика_экспорт!$O24,'Цены,перевалка,аренда'!$D$20:$D$22)</f>
        <v>763.05499999999995</v>
      </c>
      <c r="AH24" s="47"/>
      <c r="AI24" s="91">
        <v>2338</v>
      </c>
      <c r="AJ24" s="92">
        <f>SUMIF('Цены,перевалка,аренда'!$A$5:$A$17,Уголь_эластика_экспорт!A24,'Цены,перевалка,аренда'!$D$5:$D$17)</f>
        <v>8546.2160000000003</v>
      </c>
      <c r="AK24" s="47">
        <f>AJ24/'Цены,перевалка,аренда'!$C$1</f>
        <v>112.00000000000001</v>
      </c>
      <c r="AL24" s="47">
        <f t="shared" si="9"/>
        <v>4739.4283333333333</v>
      </c>
      <c r="AM24" s="47">
        <f t="shared" si="10"/>
        <v>3806.7876666666671</v>
      </c>
      <c r="AN24" s="47">
        <f t="shared" si="11"/>
        <v>7077.4283333333333</v>
      </c>
      <c r="AO24" s="93">
        <f t="shared" si="12"/>
        <v>0.17186409361367264</v>
      </c>
      <c r="AP24" s="94">
        <f t="shared" si="13"/>
        <v>0.5545645386605409</v>
      </c>
      <c r="AQ24" s="94">
        <f t="shared" si="5"/>
        <v>0.41691433963288543</v>
      </c>
      <c r="AR24" s="94">
        <f t="shared" si="6"/>
        <v>0.75178687162340607</v>
      </c>
      <c r="AS24" s="167">
        <f t="shared" si="14"/>
        <v>1</v>
      </c>
      <c r="AT24" s="173">
        <f t="shared" si="15"/>
        <v>756416</v>
      </c>
      <c r="AU24" s="97">
        <v>0.8</v>
      </c>
      <c r="AV24" s="93">
        <f t="shared" si="16"/>
        <v>0.12183437285772628</v>
      </c>
      <c r="AW24" s="94">
        <f t="shared" si="17"/>
        <v>0.60459425941648726</v>
      </c>
      <c r="AX24" s="94">
        <f t="shared" si="18"/>
        <v>0.46694406038883179</v>
      </c>
      <c r="AY24" s="94">
        <f t="shared" si="19"/>
        <v>0.77232632152262581</v>
      </c>
      <c r="AZ24" s="102">
        <f>MIN(IF($AU24=100%,1,1+VLOOKUP(($AJ24-$AI24-$AH24-$AG24-$AF24-$AE24*(1+AZ$3))/$AJ24,Уголь_коэфф!$A:$B,2,1)-VLOOKUP($AO24,Уголь_коэфф!$A:$B,2,1)),1+(1-$AU24))</f>
        <v>1.131</v>
      </c>
      <c r="BA24" s="102">
        <f>MIN(IF($AU24=100%,1,1+VLOOKUP(($AJ24-$AI24-$AH24-$AG24-$AF24-$AE24*(1+BA$3))/$AJ24,Уголь_коэфф!$A:$B,2,1)-VLOOKUP($AO24,Уголь_коэфф!$A:$B,2,1)),1+(1-$AU24))</f>
        <v>1.1239999999999999</v>
      </c>
      <c r="BB24" s="102">
        <f>MIN(IF($AU24=100%,1,1+VLOOKUP(($AJ24-$AI24-$AH24-$AG24-$AF24-$AE24*(1+BB$3))/$AJ24,Уголь_коэфф!$A:$B,2,1)-VLOOKUP($AO24,Уголь_коэфф!$A:$B,2,1)),1+(1-$AU24))</f>
        <v>1.1239999999999999</v>
      </c>
      <c r="BC24" s="102">
        <f>MIN(IF($AU24=100%,1,1+VLOOKUP(($AJ24-$AI24-$AH24-$AG24-$AF24-$AE24*(1+BC$3))/$AJ24,Уголь_коэфф!$A:$B,2,1)-VLOOKUP($AO24,Уголь_коэфф!$A:$B,2,1)),1+(1-$AU24))</f>
        <v>1.1239999999999999</v>
      </c>
      <c r="BD24" s="102">
        <f>MIN(IF($AU24=100%,1,1+VLOOKUP(($AJ24-$AI24-$AH24-$AG24-$AF24-$AE24*(1+BD$3))/$AJ24,Уголь_коэфф!$A:$B,2,1)-VLOOKUP($AO24,Уголь_коэфф!$A:$B,2,1)),1+(1-$AU24))</f>
        <v>1.1239999999999999</v>
      </c>
      <c r="BE24" s="102">
        <f>MIN(IF($AU24=100%,1,1+VLOOKUP(($AJ24-$AI24-$AH24-$AG24-$AF24-$AE24*(1+BE$3))/$AJ24,Уголь_коэфф!$A:$B,2,1)-VLOOKUP($AO24,Уголь_коэфф!$A:$B,2,1)),1+(1-$AU24))</f>
        <v>1.1170000000000002</v>
      </c>
      <c r="BF24" s="102">
        <f>MIN(IF($AU24=100%,1,1+VLOOKUP(($AJ24-$AI24-$AH24-$AG24-$AF24-$AE24*(1+BF$3))/$AJ24,Уголь_коэфф!$A:$B,2,1)-VLOOKUP($AO24,Уголь_коэфф!$A:$B,2,1)),1+(1-$AU24))</f>
        <v>1.1170000000000002</v>
      </c>
      <c r="BG24" s="102">
        <f>MIN(IF($AU24=100%,1,1+VLOOKUP(($AJ24-$AI24-$AH24-$AG24-$AF24-$AE24*(1+BG$3))/$AJ24,Уголь_коэфф!$A:$B,2,1)-VLOOKUP($AO24,Уголь_коэфф!$A:$B,2,1)),1+(1-$AU24))</f>
        <v>1.1170000000000002</v>
      </c>
      <c r="BH24" s="102">
        <f>MIN(IF($AU24=100%,1,1+VLOOKUP(($AJ24-$AI24-$AH24-$AG24-$AF24-$AE24*(1+BH$3))/$AJ24,Уголь_коэфф!$A:$B,2,1)-VLOOKUP($AO24,Уголь_коэфф!$A:$B,2,1)),1+(1-$AU24))</f>
        <v>1.1170000000000002</v>
      </c>
      <c r="BI24" s="102">
        <f>MIN(IF($AU24=100%,1,1+VLOOKUP(($AJ24-$AI24-$AH24-$AG24-$AF24-$AE24*(1+BI$3))/$AJ24,Уголь_коэфф!$A:$B,2,1)-VLOOKUP($AO24,Уголь_коэфф!$A:$B,2,1)),1+(1-$AU24))</f>
        <v>1.1170000000000002</v>
      </c>
      <c r="BJ24" s="102">
        <f>MIN(IF($AU24=100%,1,1+VLOOKUP(($AJ24-$AI24-$AH24-$AG24-$AF24-$AE24*(1+BJ$3))/$AJ24,Уголь_коэфф!$A:$B,2,1)-VLOOKUP($AO24,Уголь_коэфф!$A:$B,2,1)),1+(1-$AU24))</f>
        <v>1.1100000000000001</v>
      </c>
      <c r="BK24" s="102">
        <f>MIN(IF($AU24=100%,1,1+VLOOKUP(($AJ24-$AI24-$AH24-$AG24-$AF24-$AE24*(1+BK$3))/$AJ24,Уголь_коэфф!$A:$B,2,1)-VLOOKUP($AO24,Уголь_коэфф!$A:$B,2,1)),1+(1-$AU24))</f>
        <v>1.1100000000000001</v>
      </c>
      <c r="BL24" s="102">
        <f>MIN(IF($AU24=100%,1,1+VLOOKUP(($AJ24-$AI24-$AH24-$AG24-$AF24-$AE24*(1+BL$3))/$AJ24,Уголь_коэфф!$A:$B,2,1)-VLOOKUP($AO24,Уголь_коэфф!$A:$B,2,1)),1+(1-$AU24))</f>
        <v>1.1100000000000001</v>
      </c>
      <c r="BM24" s="102">
        <f>MIN(IF($AU24=100%,1,1+VLOOKUP(($AJ24-$AI24-$AH24-$AG24-$AF24-$AE24*(1+BM$3))/$AJ24,Уголь_коэфф!$A:$B,2,1)-VLOOKUP($AO24,Уголь_коэфф!$A:$B,2,1)),1+(1-$AU24))</f>
        <v>1.1100000000000001</v>
      </c>
      <c r="BN24" s="102">
        <f>MIN(IF($AU24=100%,1,1+VLOOKUP(($AJ24-$AI24-$AH24-$AG24-$AF24-$AE24*(1+BN$3))/$AJ24,Уголь_коэфф!$A:$B,2,1)-VLOOKUP($AO24,Уголь_коэфф!$A:$B,2,1)),1+(1-$AU24))</f>
        <v>1.1100000000000001</v>
      </c>
      <c r="BO24" s="102">
        <f>MIN(IF($AU24=100%,1,1+VLOOKUP(($AJ24-$AI24-$AH24-$AG24-$AF24-$AE24*(1+BO$3))/$AJ24,Уголь_коэфф!$A:$B,2,1)-VLOOKUP($AO24,Уголь_коэфф!$A:$B,2,1)),1+(1-$AU24))</f>
        <v>1.103</v>
      </c>
      <c r="BP24" s="102">
        <f>MIN(IF($AU24=100%,1,1+VLOOKUP(($AJ24-$AI24-$AH24-$AG24-$AF24-$AE24*(1+BP$3))/$AJ24,Уголь_коэфф!$A:$B,2,1)-VLOOKUP($AO24,Уголь_коэфф!$A:$B,2,1)),1+(1-$AU24))</f>
        <v>1.103</v>
      </c>
      <c r="BQ24" s="102">
        <f>MIN(IF($AU24=100%,1,1+VLOOKUP(($AJ24-$AI24-$AH24-$AG24-$AF24-$AE24*(1+BQ$3))/$AJ24,Уголь_коэфф!$A:$B,2,1)-VLOOKUP($AO24,Уголь_коэфф!$A:$B,2,1)),1+(1-$AU24))</f>
        <v>1.103</v>
      </c>
      <c r="BR24" s="102">
        <f>MIN(IF($AU24=100%,1,1+VLOOKUP(($AJ24-$AI24-$AH24-$AG24-$AF24-$AE24*(1+BR$3))/$AJ24,Уголь_коэфф!$A:$B,2,1)-VLOOKUP($AO24,Уголь_коэфф!$A:$B,2,1)),1+(1-$AU24))</f>
        <v>1.103</v>
      </c>
      <c r="BS24" s="102">
        <f>MIN(IF($AU24=100%,1,1+VLOOKUP(($AJ24-$AI24-$AH24-$AG24-$AF24-$AE24*(1+BS$3))/$AJ24,Уголь_коэфф!$A:$B,2,1)-VLOOKUP($AO24,Уголь_коэфф!$A:$B,2,1)),1+(1-$AU24))</f>
        <v>1.103</v>
      </c>
      <c r="BT24" s="102">
        <f>MIN(IF($AU24=100%,1,1+VLOOKUP(($AJ24-$AI24-$AH24-$AG24-$AF24-$AE24*(1+BT$3))/$AJ24,Уголь_коэфф!$A:$B,2,1)-VLOOKUP($AO24,Уголь_коэфф!$A:$B,2,1)),1+(1-$AU24))</f>
        <v>1.0960000000000003</v>
      </c>
      <c r="BU24" s="102">
        <f>MIN(IF($AU24=100%,1,1+VLOOKUP(($AJ24-$AI24-$AH24-$AG24-$AF24-$AE24*(1+BU$3))/$AJ24,Уголь_коэфф!$A:$B,2,1)-VLOOKUP($AO24,Уголь_коэфф!$A:$B,2,1)),1+(1-$AU24))</f>
        <v>1.0960000000000003</v>
      </c>
      <c r="BV24" s="102">
        <f>MIN(IF($AU24=100%,1,1+VLOOKUP(($AJ24-$AI24-$AH24-$AG24-$AF24-$AE24*(1+BV$3))/$AJ24,Уголь_коэфф!$A:$B,2,1)-VLOOKUP($AO24,Уголь_коэфф!$A:$B,2,1)),1+(1-$AU24))</f>
        <v>1.0960000000000003</v>
      </c>
      <c r="BW24" s="102">
        <f>MIN(IF($AU24=100%,1,1+VLOOKUP(($AJ24-$AI24-$AH24-$AG24-$AF24-$AE24*(1+BW$3))/$AJ24,Уголь_коэфф!$A:$B,2,1)-VLOOKUP($AO24,Уголь_коэфф!$A:$B,2,1)),1+(1-$AU24))</f>
        <v>1.0960000000000003</v>
      </c>
      <c r="BX24" s="102">
        <f>MIN(IF($AU24=100%,1,1+VLOOKUP(($AJ24-$AI24-$AH24-$AG24-$AF24-$AE24*(1+BX$3))/$AJ24,Уголь_коэфф!$A:$B,2,1)-VLOOKUP($AO24,Уголь_коэфф!$A:$B,2,1)),1+(1-$AU24))</f>
        <v>1.0960000000000003</v>
      </c>
      <c r="BY24" s="102">
        <f>MIN(IF($AU24=100%,1,1+VLOOKUP(($AJ24-$AI24-$AH24-$AG24-$AF24-$AE24*(1+BY$3))/$AJ24,Уголь_коэфф!$A:$B,2,1)-VLOOKUP($AO24,Уголь_коэфф!$A:$B,2,1)),1+(1-$AU24))</f>
        <v>1.0889999999999997</v>
      </c>
      <c r="BZ24" s="102">
        <f>MIN(IF($AU24=100%,1,1+VLOOKUP(($AJ24-$AI24-$AH24-$AG24-$AF24-$AE24*(1+BZ$3))/$AJ24,Уголь_коэфф!$A:$B,2,1)-VLOOKUP($AO24,Уголь_коэфф!$A:$B,2,1)),1+(1-$AU24))</f>
        <v>1.0889999999999997</v>
      </c>
      <c r="CA24" s="102">
        <f>MIN(IF($AU24=100%,1,1+VLOOKUP(($AJ24-$AI24-$AH24-$AG24-$AF24-$AE24*(1+CA$3))/$AJ24,Уголь_коэфф!$A:$B,2,1)-VLOOKUP($AO24,Уголь_коэфф!$A:$B,2,1)),1+(1-$AU24))</f>
        <v>1.0889999999999997</v>
      </c>
      <c r="CB24" s="102">
        <f>MIN(IF($AU24=100%,1,1+VLOOKUP(($AJ24-$AI24-$AH24-$AG24-$AF24-$AE24*(1+CB$3))/$AJ24,Уголь_коэфф!$A:$B,2,1)-VLOOKUP($AO24,Уголь_коэфф!$A:$B,2,1)),1+(1-$AU24))</f>
        <v>1.0889999999999997</v>
      </c>
      <c r="CC24" s="102">
        <f>MIN(IF($AU24=100%,1,1+VLOOKUP(($AJ24-$AI24-$AH24-$AG24-$AF24-$AE24*(1+CC$3))/$AJ24,Уголь_коэфф!$A:$B,2,1)-VLOOKUP($AO24,Уголь_коэфф!$A:$B,2,1)),1+(1-$AU24))</f>
        <v>1.083</v>
      </c>
      <c r="CD24" s="102">
        <f>MIN(IF($AU24=100%,1,1+VLOOKUP(($AJ24-$AI24-$AH24-$AG24-$AF24-$AE24*(1+CD$3))/$AJ24,Уголь_коэфф!$A:$B,2,1)-VLOOKUP($AO24,Уголь_коэфф!$A:$B,2,1)),1+(1-$AU24))</f>
        <v>1.083</v>
      </c>
      <c r="CE24" s="102">
        <f>MIN(IF($AU24=100%,1,1+VLOOKUP(($AJ24-$AI24-$AH24-$AG24-$AF24-$AE24*(1+CE$3))/$AJ24,Уголь_коэфф!$A:$B,2,1)-VLOOKUP($AO24,Уголь_коэфф!$A:$B,2,1)),1+(1-$AU24))</f>
        <v>1.083</v>
      </c>
      <c r="CF24" s="102">
        <f>MIN(IF($AU24=100%,1,1+VLOOKUP(($AJ24-$AI24-$AH24-$AG24-$AF24-$AE24*(1+CF$3))/$AJ24,Уголь_коэфф!$A:$B,2,1)-VLOOKUP($AO24,Уголь_коэфф!$A:$B,2,1)),1+(1-$AU24))</f>
        <v>1.083</v>
      </c>
      <c r="CG24" s="102">
        <f>MIN(IF($AU24=100%,1,1+VLOOKUP(($AJ24-$AI24-$AH24-$AG24-$AF24-$AE24*(1+CG$3))/$AJ24,Уголь_коэфф!$A:$B,2,1)-VLOOKUP($AO24,Уголь_коэфф!$A:$B,2,1)),1+(1-$AU24))</f>
        <v>1.083</v>
      </c>
      <c r="CH24" s="102">
        <f>MIN(IF($AU24=100%,1,1+VLOOKUP(($AJ24-$AI24-$AH24-$AG24-$AF24-$AE24*(1+CH$3))/$AJ24,Уголь_коэфф!$A:$B,2,1)-VLOOKUP($AO24,Уголь_коэфф!$A:$B,2,1)),1+(1-$AU24))</f>
        <v>1.0770000000000002</v>
      </c>
      <c r="CI24" s="102">
        <f>MIN(IF($AU24=100%,1,1+VLOOKUP(($AJ24-$AI24-$AH24-$AG24-$AF24-$AE24*(1+CI$3))/$AJ24,Уголь_коэфф!$A:$B,2,1)-VLOOKUP($AO24,Уголь_коэфф!$A:$B,2,1)),1+(1-$AU24))</f>
        <v>1.0770000000000002</v>
      </c>
      <c r="CJ24" s="102">
        <f>MIN(IF($AU24=100%,1,1+VLOOKUP(($AJ24-$AI24-$AH24-$AG24-$AF24-$AE24*(1+CJ$3))/$AJ24,Уголь_коэфф!$A:$B,2,1)-VLOOKUP($AO24,Уголь_коэфф!$A:$B,2,1)),1+(1-$AU24))</f>
        <v>1.0770000000000002</v>
      </c>
      <c r="CK24" s="102">
        <f>MIN(IF($AU24=100%,1,1+VLOOKUP(($AJ24-$AI24-$AH24-$AG24-$AF24-$AE24*(1+CK$3))/$AJ24,Уголь_коэфф!$A:$B,2,1)-VLOOKUP($AO24,Уголь_коэфф!$A:$B,2,1)),1+(1-$AU24))</f>
        <v>1.0770000000000002</v>
      </c>
      <c r="CL24" s="102">
        <f>MIN(IF($AU24=100%,1,1+VLOOKUP(($AJ24-$AI24-$AH24-$AG24-$AF24-$AE24*(1+CL$3))/$AJ24,Уголь_коэфф!$A:$B,2,1)-VLOOKUP($AO24,Уголь_коэфф!$A:$B,2,1)),1+(1-$AU24))</f>
        <v>1.0770000000000002</v>
      </c>
      <c r="CM24" s="102">
        <f>MIN(IF($AU24=100%,1,1+VLOOKUP(($AJ24-$AI24-$AH24-$AG24-$AF24-$AE24*(1+CM$3))/$AJ24,Уголь_коэфф!$A:$B,2,1)-VLOOKUP($AO24,Уголь_коэфф!$A:$B,2,1)),1+(1-$AU24))</f>
        <v>1.071</v>
      </c>
      <c r="CN24" s="102">
        <f>MIN(IF($AU24=100%,1,1+VLOOKUP(($AJ24-$AI24-$AH24-$AG24-$AF24-$AE24*(1+CN$3))/$AJ24,Уголь_коэфф!$A:$B,2,1)-VLOOKUP($AO24,Уголь_коэфф!$A:$B,2,1)),1+(1-$AU24))</f>
        <v>1.071</v>
      </c>
      <c r="CO24" s="102">
        <f>MIN(IF($AU24=100%,1,1+VLOOKUP(($AJ24-$AI24-$AH24-$AG24-$AF24-$AE24*(1+CO$3))/$AJ24,Уголь_коэфф!$A:$B,2,1)-VLOOKUP($AO24,Уголь_коэфф!$A:$B,2,1)),1+(1-$AU24))</f>
        <v>1.071</v>
      </c>
      <c r="CP24" s="102">
        <f>MIN(IF($AU24=100%,1,1+VLOOKUP(($AJ24-$AI24-$AH24-$AG24-$AF24-$AE24*(1+CP$3))/$AJ24,Уголь_коэфф!$A:$B,2,1)-VLOOKUP($AO24,Уголь_коэфф!$A:$B,2,1)),1+(1-$AU24))</f>
        <v>1.071</v>
      </c>
      <c r="CQ24" s="102">
        <f>MIN(IF($AU24=100%,1,1+VLOOKUP(($AJ24-$AI24-$AH24-$AG24-$AF24-$AE24*(1+CQ$3))/$AJ24,Уголь_коэфф!$A:$B,2,1)-VLOOKUP($AO24,Уголь_коэфф!$A:$B,2,1)),1+(1-$AU24))</f>
        <v>1.071</v>
      </c>
      <c r="CR24" s="102">
        <f>MIN(IF($AU24=100%,1,1+VLOOKUP(($AJ24-$AI24-$AH24-$AG24-$AF24-$AE24*(1+CR$3))/$AJ24,Уголь_коэфф!$A:$B,2,1)-VLOOKUP($AO24,Уголь_коэфф!$A:$B,2,1)),1+(1-$AU24))</f>
        <v>1.0649999999999997</v>
      </c>
      <c r="CS24" s="102">
        <f>MIN(IF($AU24=100%,1,1+VLOOKUP(($AJ24-$AI24-$AH24-$AG24-$AF24-$AE24*(1+CS$3))/$AJ24,Уголь_коэфф!$A:$B,2,1)-VLOOKUP($AO24,Уголь_коэфф!$A:$B,2,1)),1+(1-$AU24))</f>
        <v>1.0649999999999997</v>
      </c>
      <c r="CT24" s="102">
        <f>MIN(IF($AU24=100%,1,1+VLOOKUP(($AJ24-$AI24-$AH24-$AG24-$AF24-$AE24*(1+CT$3))/$AJ24,Уголь_коэфф!$A:$B,2,1)-VLOOKUP($AO24,Уголь_коэфф!$A:$B,2,1)),1+(1-$AU24))</f>
        <v>1.0649999999999997</v>
      </c>
      <c r="CU24" s="102">
        <f>MIN(IF($AU24=100%,1,1+VLOOKUP(($AJ24-$AI24-$AH24-$AG24-$AF24-$AE24*(1+CU$3))/$AJ24,Уголь_коэфф!$A:$B,2,1)-VLOOKUP($AO24,Уголь_коэфф!$A:$B,2,1)),1+(1-$AU24))</f>
        <v>1.0649999999999997</v>
      </c>
      <c r="CV24" s="102">
        <f>MIN(IF($AU24=100%,1,1+VLOOKUP(($AJ24-$AI24-$AH24-$AG24-$AF24-$AE24*(1+CV$3))/$AJ24,Уголь_коэфф!$A:$B,2,1)-VLOOKUP($AO24,Уголь_коэфф!$A:$B,2,1)),1+(1-$AU24))</f>
        <v>1.0649999999999997</v>
      </c>
      <c r="CW24" s="102">
        <f>MIN(IF($AU24=100%,1,1+VLOOKUP(($AJ24-$AI24-$AH24-$AG24-$AF24-$AE24*(1+CW$3))/$AJ24,Уголь_коэфф!$A:$B,2,1)-VLOOKUP($AO24,Уголь_коэфф!$A:$B,2,1)),1+(1-$AU24))</f>
        <v>1.0589999999999999</v>
      </c>
      <c r="CX24" s="102">
        <f>MIN(IF($AU24=100%,1,1+VLOOKUP(($AJ24-$AI24-$AH24-$AG24-$AF24-$AE24*(1+CX$3))/$AJ24,Уголь_коэфф!$A:$B,2,1)-VLOOKUP($AO24,Уголь_коэфф!$A:$B,2,1)),1+(1-$AU24))</f>
        <v>1.0589999999999999</v>
      </c>
      <c r="CY24" s="102">
        <f>MIN(IF($AU24=100%,1,1+VLOOKUP(($AJ24-$AI24-$AH24-$AG24-$AF24-$AE24*(1+CY$3))/$AJ24,Уголь_коэфф!$A:$B,2,1)-VLOOKUP($AO24,Уголь_коэфф!$A:$B,2,1)),1+(1-$AU24))</f>
        <v>1.0589999999999999</v>
      </c>
      <c r="CZ24" s="102">
        <f>MIN(IF($AU24=100%,1,1+VLOOKUP(($AJ24-$AI24-$AH24-$AG24-$AF24-$AE24*(1+CZ$3))/$AJ24,Уголь_коэфф!$A:$B,2,1)-VLOOKUP($AO24,Уголь_коэфф!$A:$B,2,1)),1+(1-$AU24))</f>
        <v>1.0589999999999999</v>
      </c>
      <c r="DA24" s="102">
        <f>MIN(IF($AU24=100%,1,1+VLOOKUP(($AJ24-$AI24-$AH24-$AG24-$AF24-$AE24*(1+DA$3))/$AJ24,Уголь_коэфф!$A:$B,2,1)-VLOOKUP($AO24,Уголь_коэфф!$A:$B,2,1)),1+(1-$AU24))</f>
        <v>1.0530000000000002</v>
      </c>
      <c r="DB24" s="102">
        <f>MIN(IF($AU24=100%,1,1+VLOOKUP(($AJ24-$AI24-$AH24-$AG24-$AF24-$AE24*(1+DB$3))/$AJ24,Уголь_коэфф!$A:$B,2,1)-VLOOKUP($AO24,Уголь_коэфф!$A:$B,2,1)),1+(1-$AU24))</f>
        <v>1.0530000000000002</v>
      </c>
      <c r="DC24" s="102">
        <f>MIN(IF($AU24=100%,1,1+VLOOKUP(($AJ24-$AI24-$AH24-$AG24-$AF24-$AE24*(1+DC$3))/$AJ24,Уголь_коэфф!$A:$B,2,1)-VLOOKUP($AO24,Уголь_коэфф!$A:$B,2,1)),1+(1-$AU24))</f>
        <v>1.0530000000000002</v>
      </c>
      <c r="DD24" s="102">
        <f>MIN(IF($AU24=100%,1,1+VLOOKUP(($AJ24-$AI24-$AH24-$AG24-$AF24-$AE24*(1+DD$3))/$AJ24,Уголь_коэфф!$A:$B,2,1)-VLOOKUP($AO24,Уголь_коэфф!$A:$B,2,1)),1+(1-$AU24))</f>
        <v>1.0530000000000002</v>
      </c>
      <c r="DE24" s="102">
        <f>MIN(IF($AU24=100%,1,1+VLOOKUP(($AJ24-$AI24-$AH24-$AG24-$AF24-$AE24*(1+DE$3))/$AJ24,Уголь_коэфф!$A:$B,2,1)-VLOOKUP($AO24,Уголь_коэфф!$A:$B,2,1)),1+(1-$AU24))</f>
        <v>1.0530000000000002</v>
      </c>
      <c r="DF24" s="102">
        <f>MIN(IF($AU24=100%,1,1+VLOOKUP(($AJ24-$AI24-$AH24-$AG24-$AF24-$AE24*(1+DF$3))/$AJ24,Уголь_коэфф!$A:$B,2,1)-VLOOKUP($AO24,Уголь_коэфф!$A:$B,2,1)),1+(1-$AU24))</f>
        <v>1.0469999999999999</v>
      </c>
      <c r="DG24" s="102">
        <f>MIN(IF($AU24=100%,1,1+VLOOKUP(($AJ24-$AI24-$AH24-$AG24-$AF24-$AE24*(1+DG$3))/$AJ24,Уголь_коэфф!$A:$B,2,1)-VLOOKUP($AO24,Уголь_коэфф!$A:$B,2,1)),1+(1-$AU24))</f>
        <v>1.0469999999999999</v>
      </c>
      <c r="DH24" s="102">
        <f>MIN(IF($AU24=100%,1,1+VLOOKUP(($AJ24-$AI24-$AH24-$AG24-$AF24-$AE24*(1+DH$3))/$AJ24,Уголь_коэфф!$A:$B,2,1)-VLOOKUP($AO24,Уголь_коэфф!$A:$B,2,1)),1+(1-$AU24))</f>
        <v>1.0469999999999999</v>
      </c>
      <c r="DI24" s="102">
        <f>MIN(IF($AU24=100%,1,1+VLOOKUP(($AJ24-$AI24-$AH24-$AG24-$AF24-$AE24*(1+DI$3))/$AJ24,Уголь_коэфф!$A:$B,2,1)-VLOOKUP($AO24,Уголь_коэфф!$A:$B,2,1)),1+(1-$AU24))</f>
        <v>1.0469999999999999</v>
      </c>
      <c r="DJ24" s="102">
        <f>MIN(IF($AU24=100%,1,1+VLOOKUP(($AJ24-$AI24-$AH24-$AG24-$AF24-$AE24*(1+DJ$3))/$AJ24,Уголь_коэфф!$A:$B,2,1)-VLOOKUP($AO24,Уголь_коэфф!$A:$B,2,1)),1+(1-$AU24))</f>
        <v>1.0469999999999999</v>
      </c>
      <c r="DK24" s="102">
        <f>MIN(IF($AU24=100%,1,1+VLOOKUP(($AJ24-$AI24-$AH24-$AG24-$AF24-$AE24*(1+DK$3))/$AJ24,Уголь_коэфф!$A:$B,2,1)-VLOOKUP($AO24,Уголь_коэфф!$A:$B,2,1)),1+(1-$AU24))</f>
        <v>1.0410000000000001</v>
      </c>
      <c r="DL24" s="102">
        <f>MIN(IF($AU24=100%,1,1+VLOOKUP(($AJ24-$AI24-$AH24-$AG24-$AF24-$AE24*(1+DL$3))/$AJ24,Уголь_коэфф!$A:$B,2,1)-VLOOKUP($AO24,Уголь_коэфф!$A:$B,2,1)),1+(1-$AU24))</f>
        <v>1.0410000000000001</v>
      </c>
      <c r="DM24" s="102">
        <f>MIN(IF($AU24=100%,1,1+VLOOKUP(($AJ24-$AI24-$AH24-$AG24-$AF24-$AE24*(1+DM$3))/$AJ24,Уголь_коэфф!$A:$B,2,1)-VLOOKUP($AO24,Уголь_коэфф!$A:$B,2,1)),1+(1-$AU24))</f>
        <v>1.0410000000000001</v>
      </c>
      <c r="DN24" s="102">
        <f>MIN(IF($AU24=100%,1,1+VLOOKUP(($AJ24-$AI24-$AH24-$AG24-$AF24-$AE24*(1+DN$3))/$AJ24,Уголь_коэфф!$A:$B,2,1)-VLOOKUP($AO24,Уголь_коэфф!$A:$B,2,1)),1+(1-$AU24))</f>
        <v>1.0410000000000001</v>
      </c>
      <c r="DO24" s="102">
        <f>MIN(IF($AU24=100%,1,1+VLOOKUP(($AJ24-$AI24-$AH24-$AG24-$AF24-$AE24*(1+DO$3))/$AJ24,Уголь_коэфф!$A:$B,2,1)-VLOOKUP($AO24,Уголь_коэфф!$A:$B,2,1)),1+(1-$AU24))</f>
        <v>1.0410000000000001</v>
      </c>
      <c r="DP24" s="102">
        <f>MIN(IF($AU24=100%,1,1+VLOOKUP(($AJ24-$AI24-$AH24-$AG24-$AF24-$AE24*(1+DP$3))/$AJ24,Уголь_коэфф!$A:$B,2,1)-VLOOKUP($AO24,Уголь_коэфф!$A:$B,2,1)),1+(1-$AU24))</f>
        <v>1.0350000000000004</v>
      </c>
      <c r="DQ24" s="102">
        <f>MIN(IF($AU24=100%,1,1+VLOOKUP(($AJ24-$AI24-$AH24-$AG24-$AF24-$AE24*(1+DQ$3))/$AJ24,Уголь_коэфф!$A:$B,2,1)-VLOOKUP($AO24,Уголь_коэфф!$A:$B,2,1)),1+(1-$AU24))</f>
        <v>1.0350000000000004</v>
      </c>
      <c r="DR24" s="102">
        <f>MIN(IF($AU24=100%,1,1+VLOOKUP(($AJ24-$AI24-$AH24-$AG24-$AF24-$AE24*(1+DR$3))/$AJ24,Уголь_коэфф!$A:$B,2,1)-VLOOKUP($AO24,Уголь_коэфф!$A:$B,2,1)),1+(1-$AU24))</f>
        <v>1.0350000000000004</v>
      </c>
      <c r="DS24" s="102">
        <f>MIN(IF($AU24=100%,1,1+VLOOKUP(($AJ24-$AI24-$AH24-$AG24-$AF24-$AE24*(1+DS$3))/$AJ24,Уголь_коэфф!$A:$B,2,1)-VLOOKUP($AO24,Уголь_коэфф!$A:$B,2,1)),1+(1-$AU24))</f>
        <v>1.0350000000000004</v>
      </c>
      <c r="DT24" s="102">
        <f>MIN(IF($AU24=100%,1,1+VLOOKUP(($AJ24-$AI24-$AH24-$AG24-$AF24-$AE24*(1+DT$3))/$AJ24,Уголь_коэфф!$A:$B,2,1)-VLOOKUP($AO24,Уголь_коэфф!$A:$B,2,1)),1+(1-$AU24))</f>
        <v>1.0350000000000004</v>
      </c>
      <c r="DU24" s="102">
        <f>MIN(IF($AU24=100%,1,1+VLOOKUP(($AJ24-$AI24-$AH24-$AG24-$AF24-$AE24*(1+DU$3))/$AJ24,Уголь_коэфф!$A:$B,2,1)-VLOOKUP($AO24,Уголь_коэфф!$A:$B,2,1)),1+(1-$AU24))</f>
        <v>1.0290000000000001</v>
      </c>
      <c r="DV24" s="102">
        <f>MIN(IF($AU24=100%,1,1+VLOOKUP(($AJ24-$AI24-$AH24-$AG24-$AF24-$AE24*(1+DV$3))/$AJ24,Уголь_коэфф!$A:$B,2,1)-VLOOKUP($AO24,Уголь_коэфф!$A:$B,2,1)),1+(1-$AU24))</f>
        <v>1.0290000000000001</v>
      </c>
      <c r="DW24" s="102">
        <f>MIN(IF($AU24=100%,1,1+VLOOKUP(($AJ24-$AI24-$AH24-$AG24-$AF24-$AE24*(1+DW$3))/$AJ24,Уголь_коэфф!$A:$B,2,1)-VLOOKUP($AO24,Уголь_коэфф!$A:$B,2,1)),1+(1-$AU24))</f>
        <v>1.0290000000000001</v>
      </c>
      <c r="DX24" s="102">
        <f>MIN(IF($AU24=100%,1,1+VLOOKUP(($AJ24-$AI24-$AH24-$AG24-$AF24-$AE24*(1+DX$3))/$AJ24,Уголь_коэфф!$A:$B,2,1)-VLOOKUP($AO24,Уголь_коэфф!$A:$B,2,1)),1+(1-$AU24))</f>
        <v>1.0290000000000001</v>
      </c>
      <c r="DY24" s="102">
        <f>MIN(IF($AU24=100%,1,1+VLOOKUP(($AJ24-$AI24-$AH24-$AG24-$AF24-$AE24*(1+DY$3))/$AJ24,Уголь_коэфф!$A:$B,2,1)-VLOOKUP($AO24,Уголь_коэфф!$A:$B,2,1)),1+(1-$AU24))</f>
        <v>1.0229999999999999</v>
      </c>
      <c r="DZ24" s="102">
        <f>MIN(IF($AU24=100%,1,1+VLOOKUP(($AJ24-$AI24-$AH24-$AG24-$AF24-$AE24*(1+DZ$3))/$AJ24,Уголь_коэфф!$A:$B,2,1)-VLOOKUP($AO24,Уголь_коэфф!$A:$B,2,1)),1+(1-$AU24))</f>
        <v>1.0229999999999999</v>
      </c>
      <c r="EA24" s="102">
        <f>MIN(IF($AU24=100%,1,1+VLOOKUP(($AJ24-$AI24-$AH24-$AG24-$AF24-$AE24*(1+EA$3))/$AJ24,Уголь_коэфф!$A:$B,2,1)-VLOOKUP($AO24,Уголь_коэфф!$A:$B,2,1)),1+(1-$AU24))</f>
        <v>1.0229999999999999</v>
      </c>
      <c r="EB24" s="102">
        <f>MIN(IF($AU24=100%,1,1+VLOOKUP(($AJ24-$AI24-$AH24-$AG24-$AF24-$AE24*(1+EB$3))/$AJ24,Уголь_коэфф!$A:$B,2,1)-VLOOKUP($AO24,Уголь_коэфф!$A:$B,2,1)),1+(1-$AU24))</f>
        <v>1.0229999999999999</v>
      </c>
      <c r="EC24" s="102">
        <f>MIN(IF($AU24=100%,1,1+VLOOKUP(($AJ24-$AI24-$AH24-$AG24-$AF24-$AE24*(1+EC$3))/$AJ24,Уголь_коэфф!$A:$B,2,1)-VLOOKUP($AO24,Уголь_коэфф!$A:$B,2,1)),1+(1-$AU24))</f>
        <v>1.0229999999999999</v>
      </c>
      <c r="ED24" s="102">
        <f>MIN(IF($AU24=100%,1,1+VLOOKUP(($AJ24-$AI24-$AH24-$AG24-$AF24-$AE24*(1+ED$3))/$AJ24,Уголь_коэфф!$A:$B,2,1)-VLOOKUP($AO24,Уголь_коэфф!$A:$B,2,1)),1+(1-$AU24))</f>
        <v>1.0170000000000001</v>
      </c>
      <c r="EE24" s="102">
        <f>MIN(IF($AU24=100%,1,1+VLOOKUP(($AJ24-$AI24-$AH24-$AG24-$AF24-$AE24*(1+EE$3))/$AJ24,Уголь_коэфф!$A:$B,2,1)-VLOOKUP($AO24,Уголь_коэфф!$A:$B,2,1)),1+(1-$AU24))</f>
        <v>1.0170000000000001</v>
      </c>
      <c r="EF24" s="102">
        <f>MIN(IF($AU24=100%,1,1+VLOOKUP(($AJ24-$AI24-$AH24-$AG24-$AF24-$AE24*(1+EF$3))/$AJ24,Уголь_коэфф!$A:$B,2,1)-VLOOKUP($AO24,Уголь_коэфф!$A:$B,2,1)),1+(1-$AU24))</f>
        <v>1.0170000000000001</v>
      </c>
      <c r="EG24" s="102">
        <f>MIN(IF($AU24=100%,1,1+VLOOKUP(($AJ24-$AI24-$AH24-$AG24-$AF24-$AE24*(1+EG$3))/$AJ24,Уголь_коэфф!$A:$B,2,1)-VLOOKUP($AO24,Уголь_коэфф!$A:$B,2,1)),1+(1-$AU24))</f>
        <v>1.0170000000000001</v>
      </c>
      <c r="EH24" s="102">
        <f>MIN(IF($AU24=100%,1,1+VLOOKUP(($AJ24-$AI24-$AH24-$AG24-$AF24-$AE24*(1+EH$3))/$AJ24,Уголь_коэфф!$A:$B,2,1)-VLOOKUP($AO24,Уголь_коэфф!$A:$B,2,1)),1+(1-$AU24))</f>
        <v>1.0170000000000001</v>
      </c>
      <c r="EI24" s="102">
        <f>MIN(IF($AU24=100%,1,1+VLOOKUP(($AJ24-$AI24-$AH24-$AG24-$AF24-$AE24*(1+EI$3))/$AJ24,Уголь_коэфф!$A:$B,2,1)-VLOOKUP($AO24,Уголь_коэфф!$A:$B,2,1)),1+(1-$AU24))</f>
        <v>1.0110000000000003</v>
      </c>
      <c r="EJ24" s="102">
        <f>MIN(IF($AU24=100%,1,1+VLOOKUP(($AJ24-$AI24-$AH24-$AG24-$AF24-$AE24*(1+EJ$3))/$AJ24,Уголь_коэфф!$A:$B,2,1)-VLOOKUP($AO24,Уголь_коэфф!$A:$B,2,1)),1+(1-$AU24))</f>
        <v>1.0110000000000003</v>
      </c>
      <c r="EK24" s="102">
        <f>MIN(IF($AU24=100%,1,1+VLOOKUP(($AJ24-$AI24-$AH24-$AG24-$AF24-$AE24*(1+EK$3))/$AJ24,Уголь_коэфф!$A:$B,2,1)-VLOOKUP($AO24,Уголь_коэфф!$A:$B,2,1)),1+(1-$AU24))</f>
        <v>1.0110000000000003</v>
      </c>
      <c r="EL24" s="102">
        <f>MIN(IF($AU24=100%,1,1+VLOOKUP(($AJ24-$AI24-$AH24-$AG24-$AF24-$AE24*(1+EL$3))/$AJ24,Уголь_коэфф!$A:$B,2,1)-VLOOKUP($AO24,Уголь_коэфф!$A:$B,2,1)),1+(1-$AU24))</f>
        <v>1.0110000000000003</v>
      </c>
      <c r="EM24" s="102">
        <f>MIN(IF($AU24=100%,1,1+VLOOKUP(($AJ24-$AI24-$AH24-$AG24-$AF24-$AE24*(1+EM$3))/$AJ24,Уголь_коэфф!$A:$B,2,1)-VLOOKUP($AO24,Уголь_коэфф!$A:$B,2,1)),1+(1-$AU24))</f>
        <v>1.0110000000000003</v>
      </c>
      <c r="EN24" s="102">
        <f>MIN(IF($AU24=100%,1,1+VLOOKUP(($AJ24-$AI24-$AH24-$AG24-$AF24-$AE24*(1+EN$3))/$AJ24,Уголь_коэфф!$A:$B,2,1)-VLOOKUP($AO24,Уголь_коэфф!$A:$B,2,1)),1+(1-$AU24))</f>
        <v>1.0050000000000001</v>
      </c>
      <c r="EO24" s="102">
        <f>MIN(IF($AU24=100%,1,1+VLOOKUP(($AJ24-$AI24-$AH24-$AG24-$AF24-$AE24*(1+EO$3))/$AJ24,Уголь_коэфф!$A:$B,2,1)-VLOOKUP($AO24,Уголь_коэфф!$A:$B,2,1)),1+(1-$AU24))</f>
        <v>1.0050000000000001</v>
      </c>
      <c r="EP24" s="102">
        <f>MIN(IF($AU24=100%,1,1+VLOOKUP(($AJ24-$AI24-$AH24-$AG24-$AF24-$AE24*(1+EP$3))/$AJ24,Уголь_коэфф!$A:$B,2,1)-VLOOKUP($AO24,Уголь_коэфф!$A:$B,2,1)),1+(1-$AU24))</f>
        <v>1.0050000000000001</v>
      </c>
      <c r="EQ24" s="102">
        <f>MIN(IF($AU24=100%,1,1+VLOOKUP(($AJ24-$AI24-$AH24-$AG24-$AF24-$AE24*(1+EQ$3))/$AJ24,Уголь_коэфф!$A:$B,2,1)-VLOOKUP($AO24,Уголь_коэфф!$A:$B,2,1)),1+(1-$AU24))</f>
        <v>1.0050000000000001</v>
      </c>
      <c r="ER24" s="102">
        <f>MIN(IF($AU24=100%,1,1+VLOOKUP(($AJ24-$AI24-$AH24-$AG24-$AF24-$AE24*(1+ER$3))/$AJ24,Уголь_коэфф!$A:$B,2,1)-VLOOKUP($AO24,Уголь_коэфф!$A:$B,2,1)),1+(1-$AU24))</f>
        <v>1.0050000000000001</v>
      </c>
      <c r="ES24" s="102">
        <f>MIN(IF($AU24=100%,1,1+VLOOKUP(($AJ24-$AI24-$AH24-$AG24-$AF24-$AE24*(1+ES$3))/$AJ24,Уголь_коэфф!$A:$B,2,1)-VLOOKUP($AO24,Уголь_коэфф!$A:$B,2,1)),1+(1-$AU24))</f>
        <v>1.0000000000000002</v>
      </c>
      <c r="ET24" s="102">
        <f>MIN(IF($AU24=100%,1,1+VLOOKUP(($AJ24-$AI24-$AH24-$AG24-$AF24-$AE24*(1+ET$3))/$AJ24,Уголь_коэфф!$A:$B,2,1)-VLOOKUP($AO24,Уголь_коэфф!$A:$B,2,1)),1+(1-$AU24))</f>
        <v>1.0000000000000002</v>
      </c>
      <c r="EU24" s="102">
        <f>MIN(IF($AU24=100%,1,1+VLOOKUP(($AJ24-$AI24-$AH24-$AG24-$AF24-$AE24*(1+EU$3))/$AJ24,Уголь_коэфф!$A:$B,2,1)-VLOOKUP($AO24,Уголь_коэфф!$A:$B,2,1)),1+(1-$AU24))</f>
        <v>1.0000000000000002</v>
      </c>
      <c r="EV24" s="103">
        <v>1</v>
      </c>
      <c r="EW24" s="102">
        <f>MIN(1,MAX(VLOOKUP(($AJ24-$AI24-$AH24-$AG24-$AF24-$AE24*(1+EW$3))/$AJ24,Уголь_коэфф!$A:$B,2,1),(EV24-0.05)))</f>
        <v>1</v>
      </c>
      <c r="EX24" s="102">
        <f>MIN(1,MAX(VLOOKUP(($AJ24-$AI24-$AH24-$AG24-$AF24-$AE24*(1+EX$3))/$AJ24,Уголь_коэфф!$A:$B,2,1),(EW24-0.05)))</f>
        <v>1</v>
      </c>
      <c r="EY24" s="102">
        <f>MIN(1,MAX(VLOOKUP(($AJ24-$AI24-$AH24-$AG24-$AF24-$AE24*(1+EY$3))/$AJ24,Уголь_коэфф!$A:$B,2,1),(EX24-0.05)))</f>
        <v>1</v>
      </c>
      <c r="EZ24" s="102">
        <f>MIN(1,MAX(VLOOKUP(($AJ24-$AI24-$AH24-$AG24-$AF24-$AE24*(1+EZ$3))/$AJ24,Уголь_коэфф!$A:$B,2,1),(EY24-0.05)))</f>
        <v>1</v>
      </c>
      <c r="FA24" s="102">
        <f>MIN(1,MAX(VLOOKUP(($AJ24-$AI24-$AH24-$AG24-$AF24-$AE24*(1+FA$3))/$AJ24,Уголь_коэфф!$A:$B,2,1),(EZ24-0.05)))</f>
        <v>1</v>
      </c>
      <c r="FB24" s="102">
        <f>MIN(1,MAX(VLOOKUP(($AJ24-$AI24-$AH24-$AG24-$AF24-$AE24*(1+FB$3))/$AJ24,Уголь_коэфф!$A:$B,2,1),(FA24-0.05)))</f>
        <v>1</v>
      </c>
      <c r="FC24" s="102">
        <f>MIN(1,MAX(VLOOKUP(($AJ24-$AI24-$AH24-$AG24-$AF24-$AE24*(1+FC$3))/$AJ24,Уголь_коэфф!$A:$B,2,1),(FB24-0.05)))</f>
        <v>1</v>
      </c>
      <c r="FD24" s="102">
        <f>MIN(1,MAX(VLOOKUP(($AJ24-$AI24-$AH24-$AG24-$AF24-$AE24*(1+FD$3))/$AJ24,Уголь_коэфф!$A:$B,2,1),(FC24-0.05)))</f>
        <v>1</v>
      </c>
      <c r="FE24" s="102">
        <f>MIN(1,MAX(VLOOKUP(($AJ24-$AI24-$AH24-$AG24-$AF24-$AE24*(1+FE$3))/$AJ24,Уголь_коэфф!$A:$B,2,1),(FD24-0.05)))</f>
        <v>1</v>
      </c>
      <c r="FF24" s="102">
        <f>MIN(1,MAX(VLOOKUP(($AJ24-$AI24-$AH24-$AG24-$AF24-$AE24*(1+FF$3))/$AJ24,Уголь_коэфф!$A:$B,2,1),(FE24-0.05)))</f>
        <v>1</v>
      </c>
      <c r="FG24" s="102">
        <f>MIN(1,MAX(VLOOKUP(($AJ24-$AI24-$AH24-$AG24-$AF24-$AE24*(1+FG$3))/$AJ24,Уголь_коэфф!$A:$B,2,1),(FF24-0.05)))</f>
        <v>1</v>
      </c>
      <c r="FH24" s="102">
        <f>MIN(1,MAX(VLOOKUP(($AJ24-$AI24-$AH24-$AG24-$AF24-$AE24*(1+FH$3))/$AJ24,Уголь_коэфф!$A:$B,2,1),(FG24-0.05)))</f>
        <v>1</v>
      </c>
      <c r="FI24" s="102">
        <f>MIN(1,MAX(VLOOKUP(($AJ24-$AI24-$AH24-$AG24-$AF24-$AE24*(1+FI$3))/$AJ24,Уголь_коэфф!$A:$B,2,1),(FH24-0.05)))</f>
        <v>1</v>
      </c>
      <c r="FJ24" s="102">
        <f>MIN(1,MAX(VLOOKUP(($AJ24-$AI24-$AH24-$AG24-$AF24-$AE24*(1+FJ$3))/$AJ24,Уголь_коэфф!$A:$B,2,1),(FI24-0.05)))</f>
        <v>1</v>
      </c>
      <c r="FK24" s="102">
        <f>MIN(1,MAX(VLOOKUP(($AJ24-$AI24-$AH24-$AG24-$AF24-$AE24*(1+FK$3))/$AJ24,Уголь_коэфф!$A:$B,2,1),(FJ24-0.05)))</f>
        <v>1</v>
      </c>
      <c r="FL24" s="102">
        <f>MIN(1,MAX(VLOOKUP(($AJ24-$AI24-$AH24-$AG24-$AF24-$AE24*(1+FL$3))/$AJ24,Уголь_коэфф!$A:$B,2,1),(FK24-0.05)))</f>
        <v>1</v>
      </c>
      <c r="FM24" s="102">
        <f>MIN(1,MAX(VLOOKUP(($AJ24-$AI24-$AH24-$AG24-$AF24-$AE24*(1+FM$3))/$AJ24,Уголь_коэфф!$A:$B,2,1),(FL24-0.05)))</f>
        <v>1</v>
      </c>
      <c r="FN24" s="102">
        <f>MIN(1,MAX(VLOOKUP(($AJ24-$AI24-$AH24-$AG24-$AF24-$AE24*(1+FN$3))/$AJ24,Уголь_коэфф!$A:$B,2,1),(FM24-0.05)))</f>
        <v>1</v>
      </c>
      <c r="FO24" s="102">
        <f>MIN(1,MAX(VLOOKUP(($AJ24-$AI24-$AH24-$AG24-$AF24-$AE24*(1+FO$3))/$AJ24,Уголь_коэфф!$A:$B,2,1),(FN24-0.05)))</f>
        <v>1</v>
      </c>
      <c r="FP24" s="102">
        <f>MIN(1,MAX(VLOOKUP(($AJ24-$AI24-$AH24-$AG24-$AF24-$AE24*(1+FP$3))/$AJ24,Уголь_коэфф!$A:$B,2,1),(FO24-0.05)))</f>
        <v>1</v>
      </c>
      <c r="FQ24" s="102">
        <f>MIN(1,MAX(VLOOKUP(($AJ24-$AI24-$AH24-$AG24-$AF24-$AE24*(1+FQ$3))/$AJ24,Уголь_коэфф!$A:$B,2,1),(FP24-0.05)))</f>
        <v>1</v>
      </c>
      <c r="FR24" s="102">
        <f>MIN(1,MAX(VLOOKUP(($AJ24-$AI24-$AH24-$AG24-$AF24-$AE24*(1+FR$3))/$AJ24,Уголь_коэфф!$A:$B,2,1),(FQ24-0.05)))</f>
        <v>1</v>
      </c>
      <c r="FS24" s="102">
        <f>MIN(1,MAX(VLOOKUP(($AJ24-$AI24-$AH24-$AG24-$AF24-$AE24*(1+FS$3))/$AJ24,Уголь_коэфф!$A:$B,2,1),(FR24-0.05)))</f>
        <v>1</v>
      </c>
      <c r="FT24" s="102">
        <f>MIN(1,MAX(VLOOKUP(($AJ24-$AI24-$AH24-$AG24-$AF24-$AE24*(1+FT$3))/$AJ24,Уголь_коэфф!$A:$B,2,1),(FS24-0.05)))</f>
        <v>1</v>
      </c>
      <c r="FU24" s="102">
        <f>MIN(1,MAX(VLOOKUP(($AJ24-$AI24-$AH24-$AG24-$AF24-$AE24*(1+FU$3))/$AJ24,Уголь_коэфф!$A:$B,2,1),(FT24-0.05)))</f>
        <v>1</v>
      </c>
      <c r="FV24" s="102">
        <f>MIN(1,MAX(VLOOKUP(($AJ24-$AI24-$AH24-$AG24-$AF24-$AE24*(1+FV$3))/$AJ24,Уголь_коэфф!$A:$B,2,1),(FU24-0.05)))</f>
        <v>1</v>
      </c>
      <c r="FW24" s="102">
        <f>MIN(1,MAX(VLOOKUP(($AJ24-$AI24-$AH24-$AG24-$AF24-$AE24*(1+FW$3))/$AJ24,Уголь_коэфф!$A:$B,2,1),(FV24-0.05)))</f>
        <v>1</v>
      </c>
      <c r="FX24" s="102">
        <f>MIN(1,MAX(VLOOKUP(($AJ24-$AI24-$AH24-$AG24-$AF24-$AE24*(1+FX$3))/$AJ24,Уголь_коэфф!$A:$B,2,1),(FW24-0.05)))</f>
        <v>1</v>
      </c>
      <c r="FY24" s="102">
        <f>MIN(1,MAX(VLOOKUP(($AJ24-$AI24-$AH24-$AG24-$AF24-$AE24*(1+FY$3))/$AJ24,Уголь_коэфф!$A:$B,2,1),(FX24-0.05)))</f>
        <v>1</v>
      </c>
      <c r="FZ24" s="102">
        <f>MIN(1,MAX(VLOOKUP(($AJ24-$AI24-$AH24-$AG24-$AF24-$AE24*(1+FZ$3))/$AJ24,Уголь_коэфф!$A:$B,2,1),(FY24-0.05)))</f>
        <v>1</v>
      </c>
      <c r="GA24" s="102">
        <f>MIN(1,MAX(VLOOKUP(($AJ24-$AI24-$AH24-$AG24-$AF24-$AE24*(1+GA$3))/$AJ24,Уголь_коэфф!$A:$B,2,1),(FZ24-0.05)))</f>
        <v>1</v>
      </c>
      <c r="GB24" s="102">
        <f>MIN(1,MAX(VLOOKUP(($AJ24-$AI24-$AH24-$AG24-$AF24-$AE24*(1+GB$3))/$AJ24,Уголь_коэфф!$A:$B,2,1),(GA24-0.05)))</f>
        <v>1</v>
      </c>
      <c r="GC24" s="102">
        <f>MIN(1,MAX(VLOOKUP(($AJ24-$AI24-$AH24-$AG24-$AF24-$AE24*(1+GC$3))/$AJ24,Уголь_коэфф!$A:$B,2,1),(GB24-0.05)))</f>
        <v>1</v>
      </c>
      <c r="GD24" s="102">
        <f>MIN(1,MAX(VLOOKUP(($AJ24-$AI24-$AH24-$AG24-$AF24-$AE24*(1+GD$3))/$AJ24,Уголь_коэфф!$A:$B,2,1),(GC24-0.05)))</f>
        <v>1</v>
      </c>
      <c r="GE24" s="102">
        <f>MIN(1,MAX(VLOOKUP(($AJ24-$AI24-$AH24-$AG24-$AF24-$AE24*(1+GE$3))/$AJ24,Уголь_коэфф!$A:$B,2,1),(GD24-0.05)))</f>
        <v>1</v>
      </c>
      <c r="GF24" s="102">
        <f>MIN(1,MAX(VLOOKUP(($AJ24-$AI24-$AH24-$AG24-$AF24-$AE24*(1+GF$3))/$AJ24,Уголь_коэфф!$A:$B,2,1),(GE24-0.05)))</f>
        <v>1</v>
      </c>
      <c r="GG24" s="102">
        <f>MIN(1,MAX(VLOOKUP(($AJ24-$AI24-$AH24-$AG24-$AF24-$AE24*(1+GG$3))/$AJ24,Уголь_коэфф!$A:$B,2,1),(GF24-0.05)))</f>
        <v>1</v>
      </c>
      <c r="GH24" s="102">
        <f>MIN(1,MAX(VLOOKUP(($AJ24-$AI24-$AH24-$AG24-$AF24-$AE24*(1+GH$3))/$AJ24,Уголь_коэфф!$A:$B,2,1),(GG24-0.05)))</f>
        <v>1</v>
      </c>
      <c r="GI24" s="102">
        <f>MIN(1,MAX(VLOOKUP(($AJ24-$AI24-$AH24-$AG24-$AF24-$AE24*(1+GI$3))/$AJ24,Уголь_коэфф!$A:$B,2,1),(GH24-0.05)))</f>
        <v>1</v>
      </c>
      <c r="GJ24" s="102">
        <f>MIN(1,MAX(VLOOKUP(($AJ24-$AI24-$AH24-$AG24-$AF24-$AE24*(1+GJ$3))/$AJ24,Уголь_коэфф!$A:$B,2,1),(GI24-0.05)))</f>
        <v>1</v>
      </c>
      <c r="GK24" s="102">
        <f>MIN(1,MAX(VLOOKUP(($AJ24-$AI24-$AH24-$AG24-$AF24-$AE24*(1+GK$3))/$AJ24,Уголь_коэфф!$A:$B,2,1),(GJ24-0.05)))</f>
        <v>1</v>
      </c>
      <c r="GL24" s="102">
        <f>MIN(1,MAX(VLOOKUP(($AJ24-$AI24-$AH24-$AG24-$AF24-$AE24*(1+GL$3))/$AJ24,Уголь_коэфф!$A:$B,2,1),(GK24-0.05)))</f>
        <v>1</v>
      </c>
      <c r="GM24" s="102">
        <f>MIN(1,MAX(VLOOKUP(($AJ24-$AI24-$AH24-$AG24-$AF24-$AE24*(1+GM$3))/$AJ24,Уголь_коэфф!$A:$B,2,1),(GL24-0.05)))</f>
        <v>1</v>
      </c>
      <c r="GN24" s="102">
        <f>MIN(1,MAX(VLOOKUP(($AJ24-$AI24-$AH24-$AG24-$AF24-$AE24*(1+GN$3))/$AJ24,Уголь_коэфф!$A:$B,2,1),(GM24-0.05)))</f>
        <v>1</v>
      </c>
      <c r="GO24" s="102">
        <f>MIN(1,MAX(VLOOKUP(($AJ24-$AI24-$AH24-$AG24-$AF24-$AE24*(1+GO$3))/$AJ24,Уголь_коэфф!$A:$B,2,1),(GN24-0.05)))</f>
        <v>1</v>
      </c>
      <c r="GP24" s="102">
        <f>MIN(1,MAX(VLOOKUP(($AJ24-$AI24-$AH24-$AG24-$AF24-$AE24*(1+GP$3))/$AJ24,Уголь_коэфф!$A:$B,2,1),(GO24-0.05)))</f>
        <v>1</v>
      </c>
      <c r="GQ24" s="102">
        <f>MIN(1,MAX(VLOOKUP(($AJ24-$AI24-$AH24-$AG24-$AF24-$AE24*(1+GQ$3))/$AJ24,Уголь_коэфф!$A:$B,2,1),(GP24-0.05)))</f>
        <v>1</v>
      </c>
      <c r="GR24" s="102">
        <f>MIN(1,MAX(VLOOKUP(($AJ24-$AI24-$AH24-$AG24-$AF24-$AE24*(1+GR$3))/$AJ24,Уголь_коэфф!$A:$B,2,1),(GQ24-0.05)))</f>
        <v>1</v>
      </c>
      <c r="GS24" s="102">
        <f>MIN(1,MAX(VLOOKUP(($AJ24-$AI24-$AH24-$AG24-$AF24-$AE24*(1+GS$3))/$AJ24,Уголь_коэфф!$A:$B,2,1),(GR24-0.05)))</f>
        <v>1</v>
      </c>
      <c r="GT24" s="102">
        <f>MIN(1,MAX(VLOOKUP(($AJ24-$AI24-$AH24-$AG24-$AF24-$AE24*(1+GT$3))/$AJ24,Уголь_коэфф!$A:$B,2,1),(GS24-0.05)))</f>
        <v>1</v>
      </c>
      <c r="GU24" s="102">
        <f>MIN(1,MAX(VLOOKUP(($AJ24-$AI24-$AH24-$AG24-$AF24-$AE24*(1+GU$3))/$AJ24,Уголь_коэфф!$A:$B,2,1),(GT24-0.05)))</f>
        <v>1</v>
      </c>
      <c r="GV24" s="102">
        <f>MIN(1,MAX(VLOOKUP(($AJ24-$AI24-$AH24-$AG24-$AF24-$AE24*(1+GV$3))/$AJ24,Уголь_коэфф!$A:$B,2,1),(GU24-0.05)))</f>
        <v>1</v>
      </c>
      <c r="GW24" s="102">
        <f>MIN(1,MAX(VLOOKUP(($AJ24-$AI24-$AH24-$AG24-$AF24-$AE24*(1+GW$3))/$AJ24,Уголь_коэфф!$A:$B,2,1),(GV24-0.05)))</f>
        <v>1</v>
      </c>
      <c r="GX24" s="102">
        <f>MIN(1,MAX(VLOOKUP(($AJ24-$AI24-$AH24-$AG24-$AF24-$AE24*(1+GX$3))/$AJ24,Уголь_коэфф!$A:$B,2,1),(GW24-0.05)))</f>
        <v>1</v>
      </c>
      <c r="GY24" s="102">
        <f>MIN(1,MAX(VLOOKUP(($AJ24-$AI24-$AH24-$AG24-$AF24-$AE24*(1+GY$3))/$AJ24,Уголь_коэфф!$A:$B,2,1),(GX24-0.05)))</f>
        <v>1</v>
      </c>
      <c r="GZ24" s="102">
        <f>MIN(1,MAX(VLOOKUP(($AJ24-$AI24-$AH24-$AG24-$AF24-$AE24*(1+GZ$3))/$AJ24,Уголь_коэфф!$A:$B,2,1),(GY24-0.05)))</f>
        <v>1</v>
      </c>
      <c r="HA24" s="102">
        <f>MIN(1,MAX(VLOOKUP(($AJ24-$AI24-$AH24-$AG24-$AF24-$AE24*(1+HA$3))/$AJ24,Уголь_коэфф!$A:$B,2,1),(GZ24-0.05)))</f>
        <v>1</v>
      </c>
      <c r="HB24" s="102">
        <f>MIN(1,MAX(VLOOKUP(($AJ24-$AI24-$AH24-$AG24-$AF24-$AE24*(1+HB$3))/$AJ24,Уголь_коэфф!$A:$B,2,1),(HA24-0.05)))</f>
        <v>1</v>
      </c>
      <c r="HC24" s="102">
        <f>MIN(1,MAX(VLOOKUP(($AJ24-$AI24-$AH24-$AG24-$AF24-$AE24*(1+HC$3))/$AJ24,Уголь_коэфф!$A:$B,2,1),(HB24-0.05)))</f>
        <v>1</v>
      </c>
      <c r="HD24" s="102">
        <f>MIN(1,MAX(VLOOKUP(($AJ24-$AI24-$AH24-$AG24-$AF24-$AE24*(1+HD$3))/$AJ24,Уголь_коэфф!$A:$B,2,1),(HC24-0.05)))</f>
        <v>1</v>
      </c>
      <c r="HE24" s="102">
        <f>MIN(1,MAX(VLOOKUP(($AJ24-$AI24-$AH24-$AG24-$AF24-$AE24*(1+HE$3))/$AJ24,Уголь_коэфф!$A:$B,2,1),(HD24-0.05)))</f>
        <v>1</v>
      </c>
      <c r="HF24" s="102">
        <f>MIN(1,MAX(VLOOKUP(($AJ24-$AI24-$AH24-$AG24-$AF24-$AE24*(1+HF$3))/$AJ24,Уголь_коэфф!$A:$B,2,1),(HE24-0.05)))</f>
        <v>1</v>
      </c>
      <c r="HG24" s="102">
        <f>MIN(1,MAX(VLOOKUP(($AJ24-$AI24-$AH24-$AG24-$AF24-$AE24*(1+HG$3))/$AJ24,Уголь_коэфф!$A:$B,2,1),(HF24-0.05)))</f>
        <v>1</v>
      </c>
      <c r="HH24" s="102">
        <f>MIN(1,MAX(VLOOKUP(($AJ24-$AI24-$AH24-$AG24-$AF24-$AE24*(1+HH$3))/$AJ24,Уголь_коэфф!$A:$B,2,1),(HG24-0.05)))</f>
        <v>1</v>
      </c>
      <c r="HI24" s="102">
        <f>MIN(1,MAX(VLOOKUP(($AJ24-$AI24-$AH24-$AG24-$AF24-$AE24*(1+HI$3))/$AJ24,Уголь_коэфф!$A:$B,2,1),(HH24-0.05)))</f>
        <v>1</v>
      </c>
      <c r="HJ24" s="102">
        <f>MIN(1,MAX(VLOOKUP(($AJ24-$AI24-$AH24-$AG24-$AF24-$AE24*(1+HJ$3))/$AJ24,Уголь_коэфф!$A:$B,2,1),(HI24-0.05)))</f>
        <v>1</v>
      </c>
      <c r="HK24" s="102">
        <f>MIN(1,MAX(VLOOKUP(($AJ24-$AI24-$AH24-$AG24-$AF24-$AE24*(1+HK$3))/$AJ24,Уголь_коэфф!$A:$B,2,1),(HJ24-0.05)))</f>
        <v>1</v>
      </c>
      <c r="HL24" s="102">
        <f>MIN(1,MAX(VLOOKUP(($AJ24-$AI24-$AH24-$AG24-$AF24-$AE24*(1+HL$3))/$AJ24,Уголь_коэфф!$A:$B,2,1),(HK24-0.05)))</f>
        <v>1</v>
      </c>
      <c r="HM24" s="102">
        <f>MIN(1,MAX(VLOOKUP(($AJ24-$AI24-$AH24-$AG24-$AF24-$AE24*(1+HM$3))/$AJ24,Уголь_коэфф!$A:$B,2,1),(HL24-0.05)))</f>
        <v>1</v>
      </c>
      <c r="HN24" s="102">
        <f>MIN(1,MAX(VLOOKUP(($AJ24-$AI24-$AH24-$AG24-$AF24-$AE24*(1+HN$3))/$AJ24,Уголь_коэфф!$A:$B,2,1),(HM24-0.05)))</f>
        <v>1</v>
      </c>
      <c r="HO24" s="102">
        <f>MIN(1,MAX(VLOOKUP(($AJ24-$AI24-$AH24-$AG24-$AF24-$AE24*(1+HO$3))/$AJ24,Уголь_коэфф!$A:$B,2,1),(HN24-0.05)))</f>
        <v>1</v>
      </c>
      <c r="HP24" s="102">
        <f>MIN(1,MAX(VLOOKUP(($AJ24-$AI24-$AH24-$AG24-$AF24-$AE24*(1+HP$3))/$AJ24,Уголь_коэфф!$A:$B,2,1),(HO24-0.05)))</f>
        <v>1</v>
      </c>
      <c r="HQ24" s="102">
        <f>MIN(1,MAX(VLOOKUP(($AJ24-$AI24-$AH24-$AG24-$AF24-$AE24*(1+HQ$3))/$AJ24,Уголь_коэфф!$A:$B,2,1),(HP24-0.05)))</f>
        <v>1</v>
      </c>
      <c r="HR24" s="102">
        <f>MIN(1,MAX(VLOOKUP(($AJ24-$AI24-$AH24-$AG24-$AF24-$AE24*(1+HR$3))/$AJ24,Уголь_коэфф!$A:$B,2,1),(HQ24-0.05)))</f>
        <v>1</v>
      </c>
      <c r="HS24" s="102">
        <f>MIN(1,MAX(VLOOKUP(($AJ24-$AI24-$AH24-$AG24-$AF24-$AE24*(1+HS$3))/$AJ24,Уголь_коэфф!$A:$B,2,1),(HR24-0.05)))</f>
        <v>1</v>
      </c>
      <c r="HT24" s="102">
        <f>MIN(1,MAX(VLOOKUP(($AJ24-$AI24-$AH24-$AG24-$AF24-$AE24*(1+HT$3))/$AJ24,Уголь_коэфф!$A:$B,2,1),(HS24-0.05)))</f>
        <v>1</v>
      </c>
      <c r="HU24" s="102">
        <f>MIN(1,MAX(VLOOKUP(($AJ24-$AI24-$AH24-$AG24-$AF24-$AE24*(1+HU$3))/$AJ24,Уголь_коэфф!$A:$B,2,1),(HT24-0.05)))</f>
        <v>1</v>
      </c>
      <c r="HV24" s="102">
        <f>MIN(1,MAX(VLOOKUP(($AJ24-$AI24-$AH24-$AG24-$AF24-$AE24*(1+HV$3))/$AJ24,Уголь_коэфф!$A:$B,2,1),(HU24-0.05)))</f>
        <v>1</v>
      </c>
      <c r="HW24" s="102">
        <f>MIN(1,MAX(VLOOKUP(($AJ24-$AI24-$AH24-$AG24-$AF24-$AE24*(1+HW$3))/$AJ24,Уголь_коэфф!$A:$B,2,1),(HV24-0.05)))</f>
        <v>1</v>
      </c>
      <c r="HX24" s="102">
        <f>MIN(1,MAX(VLOOKUP(($AJ24-$AI24-$AH24-$AG24-$AF24-$AE24*(1+HX$3))/$AJ24,Уголь_коэфф!$A:$B,2,1),(HW24-0.05)))</f>
        <v>1</v>
      </c>
      <c r="HY24" s="102">
        <f>MIN(1,MAX(VLOOKUP(($AJ24-$AI24-$AH24-$AG24-$AF24-$AE24*(1+HY$3))/$AJ24,Уголь_коэфф!$A:$B,2,1),(HX24-0.05)))</f>
        <v>1</v>
      </c>
      <c r="HZ24" s="102">
        <f>MIN(1,MAX(VLOOKUP(($AJ24-$AI24-$AH24-$AG24-$AF24-$AE24*(1+HZ$3))/$AJ24,Уголь_коэфф!$A:$B,2,1),(HY24-0.05)))</f>
        <v>1</v>
      </c>
      <c r="IA24" s="102">
        <f>MIN(1,MAX(VLOOKUP(($AJ24-$AI24-$AH24-$AG24-$AF24-$AE24*(1+IA$3))/$AJ24,Уголь_коэфф!$A:$B,2,1),(HZ24-0.05)))</f>
        <v>1</v>
      </c>
      <c r="IB24" s="102">
        <f>MIN(1,MAX(VLOOKUP(($AJ24-$AI24-$AH24-$AG24-$AF24-$AE24*(1+IB$3))/$AJ24,Уголь_коэфф!$A:$B,2,1),(IA24-0.05)))</f>
        <v>1</v>
      </c>
      <c r="IC24" s="102">
        <f>MIN(1,MAX(VLOOKUP(($AJ24-$AI24-$AH24-$AG24-$AF24-$AE24*(1+IC$3))/$AJ24,Уголь_коэфф!$A:$B,2,1),(IB24-0.05)))</f>
        <v>1</v>
      </c>
      <c r="ID24" s="102">
        <f>MIN(1,MAX(VLOOKUP(($AJ24-$AI24-$AH24-$AG24-$AF24-$AE24*(1+ID$3))/$AJ24,Уголь_коэфф!$A:$B,2,1),(IC24-0.05)))</f>
        <v>1</v>
      </c>
      <c r="IE24" s="102">
        <f>MIN(1,MAX(VLOOKUP(($AJ24-$AI24-$AH24-$AG24-$AF24-$AE24*(1+IE$3))/$AJ24,Уголь_коэфф!$A:$B,2,1),(ID24-0.05)))</f>
        <v>1</v>
      </c>
      <c r="IF24" s="102">
        <f>MIN(1,MAX(VLOOKUP(($AJ24-$AI24-$AH24-$AG24-$AF24-$AE24*(1+IF$3))/$AJ24,Уголь_коэфф!$A:$B,2,1),(IE24-0.05)))</f>
        <v>1</v>
      </c>
      <c r="IG24" s="102">
        <f>MIN(1,MAX(VLOOKUP(($AJ24-$AI24-$AH24-$AG24-$AF24-$AE24*(1+IG$3))/$AJ24,Уголь_коэфф!$A:$B,2,1),(IF24-0.05)))</f>
        <v>1</v>
      </c>
      <c r="IH24" s="102">
        <f>MIN(1,MAX(VLOOKUP(($AJ24-$AI24-$AH24-$AG24-$AF24-$AE24*(1+IH$3))/$AJ24,Уголь_коэфф!$A:$B,2,1),(IG24-0.05)))</f>
        <v>1</v>
      </c>
      <c r="II24" s="102">
        <f>MIN(1,MAX(VLOOKUP(($AJ24-$AI24-$AH24-$AG24-$AF24-$AE24*(1+II$3))/$AJ24,Уголь_коэфф!$A:$B,2,1),(IH24-0.05)))</f>
        <v>1</v>
      </c>
      <c r="IJ24" s="102">
        <f>MIN(1,MAX(VLOOKUP(($AJ24-$AI24-$AH24-$AG24-$AF24-$AE24*(1+IJ$3))/$AJ24,Уголь_коэфф!$A:$B,2,1),(II24-0.05)))</f>
        <v>1</v>
      </c>
      <c r="IK24" s="102">
        <f>MIN(1,MAX(VLOOKUP(($AJ24-$AI24-$AH24-$AG24-$AF24-$AE24*(1+IK$3))/$AJ24,Уголь_коэфф!$A:$B,2,1),(IJ24-0.05)))</f>
        <v>0.995</v>
      </c>
      <c r="IL24" s="102">
        <f>MIN(1,MAX(VLOOKUP(($AJ24-$AI24-$AH24-$AG24-$AF24-$AE24*(1+IL$3))/$AJ24,Уголь_коэфф!$A:$B,2,1),(IK24-0.05)))</f>
        <v>0.995</v>
      </c>
      <c r="IM24" s="102">
        <f>MIN(1,MAX(VLOOKUP(($AJ24-$AI24-$AH24-$AG24-$AF24-$AE24*(1+IM$3))/$AJ24,Уголь_коэфф!$A:$B,2,1),(IL24-0.05)))</f>
        <v>0.995</v>
      </c>
      <c r="IN24" s="102">
        <f>MIN(1,MAX(VLOOKUP(($AJ24-$AI24-$AH24-$AG24-$AF24-$AE24*(1+IN$3))/$AJ24,Уголь_коэфф!$A:$B,2,1),(IM24-0.05)))</f>
        <v>0.995</v>
      </c>
      <c r="IO24" s="102">
        <f>MIN(1,MAX(VLOOKUP(($AJ24-$AI24-$AH24-$AG24-$AF24-$AE24*(1+IO$3))/$AJ24,Уголь_коэфф!$A:$B,2,1),(IN24-0.05)))</f>
        <v>0.99</v>
      </c>
      <c r="IP24" s="102">
        <f>MIN(1,MAX(VLOOKUP(($AJ24-$AI24-$AH24-$AG24-$AF24-$AE24*(1+IP$3))/$AJ24,Уголь_коэфф!$A:$B,2,1),(IO24-0.05)))</f>
        <v>0.99</v>
      </c>
      <c r="IQ24" s="102">
        <f>MIN(1,MAX(VLOOKUP(($AJ24-$AI24-$AH24-$AG24-$AF24-$AE24*(1+IQ$3))/$AJ24,Уголь_коэфф!$A:$B,2,1),(IP24-0.05)))</f>
        <v>0.99</v>
      </c>
      <c r="IR24" s="102">
        <f>MIN(1,MAX(VLOOKUP(($AJ24-$AI24-$AH24-$AG24-$AF24-$AE24*(1+IR$3))/$AJ24,Уголь_коэфф!$A:$B,2,1),(IQ24-0.05)))</f>
        <v>0.99</v>
      </c>
      <c r="IS24" s="102">
        <f t="shared" si="20"/>
        <v>1</v>
      </c>
      <c r="IT24" s="102">
        <f t="shared" si="7"/>
        <v>1</v>
      </c>
      <c r="IU24" s="110"/>
    </row>
    <row r="25" spans="1:255" ht="14.6" customHeight="1">
      <c r="A25" t="s">
        <v>240</v>
      </c>
      <c r="B25" s="157">
        <v>1</v>
      </c>
      <c r="C25" s="158" t="s">
        <v>16</v>
      </c>
      <c r="D25" s="159">
        <v>16112</v>
      </c>
      <c r="E25" s="159" t="s">
        <v>28</v>
      </c>
      <c r="F25" s="158" t="s">
        <v>18</v>
      </c>
      <c r="G25" s="158" t="s">
        <v>45</v>
      </c>
      <c r="H25" s="159" t="s">
        <v>30</v>
      </c>
      <c r="I25" s="158" t="s">
        <v>72</v>
      </c>
      <c r="J25" s="159" t="s">
        <v>53</v>
      </c>
      <c r="K25" s="159">
        <v>4229</v>
      </c>
      <c r="L25" s="159" t="s">
        <v>22</v>
      </c>
      <c r="M25" s="159" t="s">
        <v>23</v>
      </c>
      <c r="N25" s="159" t="s">
        <v>24</v>
      </c>
      <c r="O25" s="159" t="s">
        <v>33</v>
      </c>
      <c r="P25" s="160">
        <v>87470970</v>
      </c>
      <c r="Q25" s="160" t="s">
        <v>125</v>
      </c>
      <c r="R25" s="158" t="s">
        <v>124</v>
      </c>
      <c r="S25" s="161">
        <v>3819419</v>
      </c>
      <c r="T25" s="162">
        <v>16151426937</v>
      </c>
      <c r="U25" s="162">
        <v>53944</v>
      </c>
      <c r="V25" s="162"/>
      <c r="W25" s="163">
        <v>6992355439</v>
      </c>
      <c r="X25" s="105">
        <v>69</v>
      </c>
      <c r="Y25" s="105" t="s">
        <v>163</v>
      </c>
      <c r="Z25" s="107">
        <v>11</v>
      </c>
      <c r="AA25" s="107">
        <v>12</v>
      </c>
      <c r="AB25" s="107">
        <v>4</v>
      </c>
      <c r="AC25" s="88">
        <v>2082.23</v>
      </c>
      <c r="AD25" s="88">
        <v>928.75999999999976</v>
      </c>
      <c r="AE25" s="88">
        <f t="shared" si="28"/>
        <v>3010.99</v>
      </c>
      <c r="AF25" s="89">
        <f>'Цены,перевалка,аренда'!$C$27*SUM(Уголь_эластика_экспорт!Z25+Уголь_эластика_экспорт!AA25+Уголь_эластика_экспорт!AB25)/Уголь_эластика_экспорт!X25</f>
        <v>273.91304347826087</v>
      </c>
      <c r="AG25" s="90">
        <f>SUMIF('Цены,перевалка,аренда'!$A$20:$A$22,Уголь_эластика_экспорт!$O25,'Цены,перевалка,аренда'!$D$20:$D$22)</f>
        <v>610.44399999999996</v>
      </c>
      <c r="AH25" s="47"/>
      <c r="AI25" s="91">
        <v>2338</v>
      </c>
      <c r="AJ25" s="92">
        <f>SUMIF('Цены,перевалка,аренда'!$A$5:$A$17,Уголь_эластика_экспорт!A25,'Цены,перевалка,аренда'!$D$5:$D$17)</f>
        <v>6485.9674999999997</v>
      </c>
      <c r="AK25" s="47">
        <f>AJ25/'Цены,перевалка,аренда'!$C$1</f>
        <v>85</v>
      </c>
      <c r="AL25" s="47">
        <f t="shared" si="9"/>
        <v>3895.3470434782607</v>
      </c>
      <c r="AM25" s="47">
        <f t="shared" si="10"/>
        <v>2590.620456521739</v>
      </c>
      <c r="AN25" s="47">
        <f t="shared" si="11"/>
        <v>6233.3470434782612</v>
      </c>
      <c r="AO25" s="93">
        <f t="shared" si="12"/>
        <v>3.8948770021086071E-2</v>
      </c>
      <c r="AP25" s="94">
        <f t="shared" si="13"/>
        <v>0.60058072191670109</v>
      </c>
      <c r="AQ25" s="94">
        <f t="shared" si="5"/>
        <v>0.46423143501721215</v>
      </c>
      <c r="AR25" s="94">
        <f t="shared" si="6"/>
        <v>0.77297092310199023</v>
      </c>
      <c r="AS25" s="167">
        <f t="shared" si="14"/>
        <v>1</v>
      </c>
      <c r="AT25" s="173">
        <f t="shared" si="15"/>
        <v>3819419</v>
      </c>
      <c r="AU25" s="97">
        <v>0.8</v>
      </c>
      <c r="AV25" s="93">
        <f t="shared" si="16"/>
        <v>-1.6759002180979393E-2</v>
      </c>
      <c r="AW25" s="94">
        <f t="shared" si="17"/>
        <v>0.65628849411876666</v>
      </c>
      <c r="AX25" s="94">
        <f t="shared" si="18"/>
        <v>0.51993920721927767</v>
      </c>
      <c r="AY25" s="94">
        <f t="shared" si="19"/>
        <v>0.7922418446744639</v>
      </c>
      <c r="AZ25" s="102">
        <f>MIN(IF($AU25=100%,1,1+VLOOKUP(($AJ25-$AI25-$AH25-$AG25-$AF25-$AE25*(1+AZ$3))/$AJ25,Уголь_коэфф!$A:$B,2,1)-VLOOKUP($AO25,Уголь_коэфф!$A:$B,2,1)),1+(1-$AU25))</f>
        <v>1.1339999999999999</v>
      </c>
      <c r="BA25" s="102">
        <f>MIN(IF($AU25=100%,1,1+VLOOKUP(($AJ25-$AI25-$AH25-$AG25-$AF25-$AE25*(1+BA$3))/$AJ25,Уголь_коэфф!$A:$B,2,1)-VLOOKUP($AO25,Уголь_коэфф!$A:$B,2,1)),1+(1-$AU25))</f>
        <v>1.1280000000000001</v>
      </c>
      <c r="BB25" s="102">
        <f>MIN(IF($AU25=100%,1,1+VLOOKUP(($AJ25-$AI25-$AH25-$AG25-$AF25-$AE25*(1+BB$3))/$AJ25,Уголь_коэфф!$A:$B,2,1)-VLOOKUP($AO25,Уголь_коэфф!$A:$B,2,1)),1+(1-$AU25))</f>
        <v>1.1280000000000001</v>
      </c>
      <c r="BC25" s="102">
        <f>MIN(IF($AU25=100%,1,1+VLOOKUP(($AJ25-$AI25-$AH25-$AG25-$AF25-$AE25*(1+BC$3))/$AJ25,Уголь_коэфф!$A:$B,2,1)-VLOOKUP($AO25,Уголь_коэфф!$A:$B,2,1)),1+(1-$AU25))</f>
        <v>1.1280000000000001</v>
      </c>
      <c r="BD25" s="102">
        <f>MIN(IF($AU25=100%,1,1+VLOOKUP(($AJ25-$AI25-$AH25-$AG25-$AF25-$AE25*(1+BD$3))/$AJ25,Уголь_коэфф!$A:$B,2,1)-VLOOKUP($AO25,Уголь_коэфф!$A:$B,2,1)),1+(1-$AU25))</f>
        <v>1.1280000000000001</v>
      </c>
      <c r="BE25" s="102">
        <f>MIN(IF($AU25=100%,1,1+VLOOKUP(($AJ25-$AI25-$AH25-$AG25-$AF25-$AE25*(1+BE$3))/$AJ25,Уголь_коэфф!$A:$B,2,1)-VLOOKUP($AO25,Уголь_коэфф!$A:$B,2,1)),1+(1-$AU25))</f>
        <v>1.1219999999999999</v>
      </c>
      <c r="BF25" s="102">
        <f>MIN(IF($AU25=100%,1,1+VLOOKUP(($AJ25-$AI25-$AH25-$AG25-$AF25-$AE25*(1+BF$3))/$AJ25,Уголь_коэфф!$A:$B,2,1)-VLOOKUP($AO25,Уголь_коэфф!$A:$B,2,1)),1+(1-$AU25))</f>
        <v>1.1219999999999999</v>
      </c>
      <c r="BG25" s="102">
        <f>MIN(IF($AU25=100%,1,1+VLOOKUP(($AJ25-$AI25-$AH25-$AG25-$AF25-$AE25*(1+BG$3))/$AJ25,Уголь_коэфф!$A:$B,2,1)-VLOOKUP($AO25,Уголь_коэфф!$A:$B,2,1)),1+(1-$AU25))</f>
        <v>1.1219999999999999</v>
      </c>
      <c r="BH25" s="102">
        <f>MIN(IF($AU25=100%,1,1+VLOOKUP(($AJ25-$AI25-$AH25-$AG25-$AF25-$AE25*(1+BH$3))/$AJ25,Уголь_коэфф!$A:$B,2,1)-VLOOKUP($AO25,Уголь_коэфф!$A:$B,2,1)),1+(1-$AU25))</f>
        <v>1.1219999999999999</v>
      </c>
      <c r="BI25" s="102">
        <f>MIN(IF($AU25=100%,1,1+VLOOKUP(($AJ25-$AI25-$AH25-$AG25-$AF25-$AE25*(1+BI$3))/$AJ25,Уголь_коэфф!$A:$B,2,1)-VLOOKUP($AO25,Уголь_коэфф!$A:$B,2,1)),1+(1-$AU25))</f>
        <v>1.1219999999999999</v>
      </c>
      <c r="BJ25" s="102">
        <f>MIN(IF($AU25=100%,1,1+VLOOKUP(($AJ25-$AI25-$AH25-$AG25-$AF25-$AE25*(1+BJ$3))/$AJ25,Уголь_коэфф!$A:$B,2,1)-VLOOKUP($AO25,Уголь_коэфф!$A:$B,2,1)),1+(1-$AU25))</f>
        <v>1.1160000000000001</v>
      </c>
      <c r="BK25" s="102">
        <f>MIN(IF($AU25=100%,1,1+VLOOKUP(($AJ25-$AI25-$AH25-$AG25-$AF25-$AE25*(1+BK$3))/$AJ25,Уголь_коэфф!$A:$B,2,1)-VLOOKUP($AO25,Уголь_коэфф!$A:$B,2,1)),1+(1-$AU25))</f>
        <v>1.1160000000000001</v>
      </c>
      <c r="BL25" s="102">
        <f>MIN(IF($AU25=100%,1,1+VLOOKUP(($AJ25-$AI25-$AH25-$AG25-$AF25-$AE25*(1+BL$3))/$AJ25,Уголь_коэфф!$A:$B,2,1)-VLOOKUP($AO25,Уголь_коэфф!$A:$B,2,1)),1+(1-$AU25))</f>
        <v>1.1160000000000001</v>
      </c>
      <c r="BM25" s="102">
        <f>MIN(IF($AU25=100%,1,1+VLOOKUP(($AJ25-$AI25-$AH25-$AG25-$AF25-$AE25*(1+BM$3))/$AJ25,Уголь_коэфф!$A:$B,2,1)-VLOOKUP($AO25,Уголь_коэфф!$A:$B,2,1)),1+(1-$AU25))</f>
        <v>1.1160000000000001</v>
      </c>
      <c r="BN25" s="102">
        <f>MIN(IF($AU25=100%,1,1+VLOOKUP(($AJ25-$AI25-$AH25-$AG25-$AF25-$AE25*(1+BN$3))/$AJ25,Уголь_коэфф!$A:$B,2,1)-VLOOKUP($AO25,Уголь_коэфф!$A:$B,2,1)),1+(1-$AU25))</f>
        <v>1.1100000000000003</v>
      </c>
      <c r="BO25" s="102">
        <f>MIN(IF($AU25=100%,1,1+VLOOKUP(($AJ25-$AI25-$AH25-$AG25-$AF25-$AE25*(1+BO$3))/$AJ25,Уголь_коэфф!$A:$B,2,1)-VLOOKUP($AO25,Уголь_коэфф!$A:$B,2,1)),1+(1-$AU25))</f>
        <v>1.1100000000000003</v>
      </c>
      <c r="BP25" s="102">
        <f>MIN(IF($AU25=100%,1,1+VLOOKUP(($AJ25-$AI25-$AH25-$AG25-$AF25-$AE25*(1+BP$3))/$AJ25,Уголь_коэфф!$A:$B,2,1)-VLOOKUP($AO25,Уголь_коэфф!$A:$B,2,1)),1+(1-$AU25))</f>
        <v>1.1100000000000003</v>
      </c>
      <c r="BQ25" s="102">
        <f>MIN(IF($AU25=100%,1,1+VLOOKUP(($AJ25-$AI25-$AH25-$AG25-$AF25-$AE25*(1+BQ$3))/$AJ25,Уголь_коэфф!$A:$B,2,1)-VLOOKUP($AO25,Уголь_коэфф!$A:$B,2,1)),1+(1-$AU25))</f>
        <v>1.1100000000000003</v>
      </c>
      <c r="BR25" s="102">
        <f>MIN(IF($AU25=100%,1,1+VLOOKUP(($AJ25-$AI25-$AH25-$AG25-$AF25-$AE25*(1+BR$3))/$AJ25,Уголь_коэфф!$A:$B,2,1)-VLOOKUP($AO25,Уголь_коэфф!$A:$B,2,1)),1+(1-$AU25))</f>
        <v>1.1040000000000001</v>
      </c>
      <c r="BS25" s="102">
        <f>MIN(IF($AU25=100%,1,1+VLOOKUP(($AJ25-$AI25-$AH25-$AG25-$AF25-$AE25*(1+BS$3))/$AJ25,Уголь_коэфф!$A:$B,2,1)-VLOOKUP($AO25,Уголь_коэфф!$A:$B,2,1)),1+(1-$AU25))</f>
        <v>1.1040000000000001</v>
      </c>
      <c r="BT25" s="102">
        <f>MIN(IF($AU25=100%,1,1+VLOOKUP(($AJ25-$AI25-$AH25-$AG25-$AF25-$AE25*(1+BT$3))/$AJ25,Уголь_коэфф!$A:$B,2,1)-VLOOKUP($AO25,Уголь_коэфф!$A:$B,2,1)),1+(1-$AU25))</f>
        <v>1.1040000000000001</v>
      </c>
      <c r="BU25" s="102">
        <f>MIN(IF($AU25=100%,1,1+VLOOKUP(($AJ25-$AI25-$AH25-$AG25-$AF25-$AE25*(1+BU$3))/$AJ25,Уголь_коэфф!$A:$B,2,1)-VLOOKUP($AO25,Уголь_коэфф!$A:$B,2,1)),1+(1-$AU25))</f>
        <v>1.1040000000000001</v>
      </c>
      <c r="BV25" s="102">
        <f>MIN(IF($AU25=100%,1,1+VLOOKUP(($AJ25-$AI25-$AH25-$AG25-$AF25-$AE25*(1+BV$3))/$AJ25,Уголь_коэфф!$A:$B,2,1)-VLOOKUP($AO25,Уголь_коэфф!$A:$B,2,1)),1+(1-$AU25))</f>
        <v>1.0979999999999999</v>
      </c>
      <c r="BW25" s="102">
        <f>MIN(IF($AU25=100%,1,1+VLOOKUP(($AJ25-$AI25-$AH25-$AG25-$AF25-$AE25*(1+BW$3))/$AJ25,Уголь_коэфф!$A:$B,2,1)-VLOOKUP($AO25,Уголь_коэфф!$A:$B,2,1)),1+(1-$AU25))</f>
        <v>1.0979999999999999</v>
      </c>
      <c r="BX25" s="102">
        <f>MIN(IF($AU25=100%,1,1+VLOOKUP(($AJ25-$AI25-$AH25-$AG25-$AF25-$AE25*(1+BX$3))/$AJ25,Уголь_коэфф!$A:$B,2,1)-VLOOKUP($AO25,Уголь_коэфф!$A:$B,2,1)),1+(1-$AU25))</f>
        <v>1.0979999999999999</v>
      </c>
      <c r="BY25" s="102">
        <f>MIN(IF($AU25=100%,1,1+VLOOKUP(($AJ25-$AI25-$AH25-$AG25-$AF25-$AE25*(1+BY$3))/$AJ25,Уголь_коэфф!$A:$B,2,1)-VLOOKUP($AO25,Уголь_коэфф!$A:$B,2,1)),1+(1-$AU25))</f>
        <v>1.0979999999999999</v>
      </c>
      <c r="BZ25" s="102">
        <f>MIN(IF($AU25=100%,1,1+VLOOKUP(($AJ25-$AI25-$AH25-$AG25-$AF25-$AE25*(1+BZ$3))/$AJ25,Уголь_коэфф!$A:$B,2,1)-VLOOKUP($AO25,Уголь_коэфф!$A:$B,2,1)),1+(1-$AU25))</f>
        <v>1.0979999999999999</v>
      </c>
      <c r="CA25" s="102">
        <f>MIN(IF($AU25=100%,1,1+VLOOKUP(($AJ25-$AI25-$AH25-$AG25-$AF25-$AE25*(1+CA$3))/$AJ25,Уголь_коэфф!$A:$B,2,1)-VLOOKUP($AO25,Уголь_коэфф!$A:$B,2,1)),1+(1-$AU25))</f>
        <v>1.0920000000000001</v>
      </c>
      <c r="CB25" s="102">
        <f>MIN(IF($AU25=100%,1,1+VLOOKUP(($AJ25-$AI25-$AH25-$AG25-$AF25-$AE25*(1+CB$3))/$AJ25,Уголь_коэфф!$A:$B,2,1)-VLOOKUP($AO25,Уголь_коэфф!$A:$B,2,1)),1+(1-$AU25))</f>
        <v>1.0920000000000001</v>
      </c>
      <c r="CC25" s="102">
        <f>MIN(IF($AU25=100%,1,1+VLOOKUP(($AJ25-$AI25-$AH25-$AG25-$AF25-$AE25*(1+CC$3))/$AJ25,Уголь_коэфф!$A:$B,2,1)-VLOOKUP($AO25,Уголь_коэфф!$A:$B,2,1)),1+(1-$AU25))</f>
        <v>1.0920000000000001</v>
      </c>
      <c r="CD25" s="102">
        <f>MIN(IF($AU25=100%,1,1+VLOOKUP(($AJ25-$AI25-$AH25-$AG25-$AF25-$AE25*(1+CD$3))/$AJ25,Уголь_коэфф!$A:$B,2,1)-VLOOKUP($AO25,Уголь_коэфф!$A:$B,2,1)),1+(1-$AU25))</f>
        <v>1.0920000000000001</v>
      </c>
      <c r="CE25" s="102">
        <f>MIN(IF($AU25=100%,1,1+VLOOKUP(($AJ25-$AI25-$AH25-$AG25-$AF25-$AE25*(1+CE$3))/$AJ25,Уголь_коэфф!$A:$B,2,1)-VLOOKUP($AO25,Уголь_коэфф!$A:$B,2,1)),1+(1-$AU25))</f>
        <v>1.0860000000000003</v>
      </c>
      <c r="CF25" s="102">
        <f>MIN(IF($AU25=100%,1,1+VLOOKUP(($AJ25-$AI25-$AH25-$AG25-$AF25-$AE25*(1+CF$3))/$AJ25,Уголь_коэфф!$A:$B,2,1)-VLOOKUP($AO25,Уголь_коэфф!$A:$B,2,1)),1+(1-$AU25))</f>
        <v>1.0860000000000003</v>
      </c>
      <c r="CG25" s="102">
        <f>MIN(IF($AU25=100%,1,1+VLOOKUP(($AJ25-$AI25-$AH25-$AG25-$AF25-$AE25*(1+CG$3))/$AJ25,Уголь_коэфф!$A:$B,2,1)-VLOOKUP($AO25,Уголь_коэфф!$A:$B,2,1)),1+(1-$AU25))</f>
        <v>1.0860000000000003</v>
      </c>
      <c r="CH25" s="102">
        <f>MIN(IF($AU25=100%,1,1+VLOOKUP(($AJ25-$AI25-$AH25-$AG25-$AF25-$AE25*(1+CH$3))/$AJ25,Уголь_коэфф!$A:$B,2,1)-VLOOKUP($AO25,Уголь_коэфф!$A:$B,2,1)),1+(1-$AU25))</f>
        <v>1.0860000000000003</v>
      </c>
      <c r="CI25" s="102">
        <f>MIN(IF($AU25=100%,1,1+VLOOKUP(($AJ25-$AI25-$AH25-$AG25-$AF25-$AE25*(1+CI$3))/$AJ25,Уголь_коэфф!$A:$B,2,1)-VLOOKUP($AO25,Уголь_коэфф!$A:$B,2,1)),1+(1-$AU25))</f>
        <v>1.08</v>
      </c>
      <c r="CJ25" s="102">
        <f>MIN(IF($AU25=100%,1,1+VLOOKUP(($AJ25-$AI25-$AH25-$AG25-$AF25-$AE25*(1+CJ$3))/$AJ25,Уголь_коэфф!$A:$B,2,1)-VLOOKUP($AO25,Уголь_коэфф!$A:$B,2,1)),1+(1-$AU25))</f>
        <v>1.08</v>
      </c>
      <c r="CK25" s="102">
        <f>MIN(IF($AU25=100%,1,1+VLOOKUP(($AJ25-$AI25-$AH25-$AG25-$AF25-$AE25*(1+CK$3))/$AJ25,Уголь_коэфф!$A:$B,2,1)-VLOOKUP($AO25,Уголь_коэфф!$A:$B,2,1)),1+(1-$AU25))</f>
        <v>1.08</v>
      </c>
      <c r="CL25" s="102">
        <f>MIN(IF($AU25=100%,1,1+VLOOKUP(($AJ25-$AI25-$AH25-$AG25-$AF25-$AE25*(1+CL$3))/$AJ25,Уголь_коэфф!$A:$B,2,1)-VLOOKUP($AO25,Уголь_коэфф!$A:$B,2,1)),1+(1-$AU25))</f>
        <v>1.08</v>
      </c>
      <c r="CM25" s="102">
        <f>MIN(IF($AU25=100%,1,1+VLOOKUP(($AJ25-$AI25-$AH25-$AG25-$AF25-$AE25*(1+CM$3))/$AJ25,Уголь_коэфф!$A:$B,2,1)-VLOOKUP($AO25,Уголь_коэфф!$A:$B,2,1)),1+(1-$AU25))</f>
        <v>1.08</v>
      </c>
      <c r="CN25" s="102">
        <f>MIN(IF($AU25=100%,1,1+VLOOKUP(($AJ25-$AI25-$AH25-$AG25-$AF25-$AE25*(1+CN$3))/$AJ25,Уголь_коэфф!$A:$B,2,1)-VLOOKUP($AO25,Уголь_коэфф!$A:$B,2,1)),1+(1-$AU25))</f>
        <v>1.0750000000000002</v>
      </c>
      <c r="CO25" s="102">
        <f>MIN(IF($AU25=100%,1,1+VLOOKUP(($AJ25-$AI25-$AH25-$AG25-$AF25-$AE25*(1+CO$3))/$AJ25,Уголь_коэфф!$A:$B,2,1)-VLOOKUP($AO25,Уголь_коэфф!$A:$B,2,1)),1+(1-$AU25))</f>
        <v>1.0750000000000002</v>
      </c>
      <c r="CP25" s="102">
        <f>MIN(IF($AU25=100%,1,1+VLOOKUP(($AJ25-$AI25-$AH25-$AG25-$AF25-$AE25*(1+CP$3))/$AJ25,Уголь_коэфф!$A:$B,2,1)-VLOOKUP($AO25,Уголь_коэфф!$A:$B,2,1)),1+(1-$AU25))</f>
        <v>1.0750000000000002</v>
      </c>
      <c r="CQ25" s="102">
        <f>MIN(IF($AU25=100%,1,1+VLOOKUP(($AJ25-$AI25-$AH25-$AG25-$AF25-$AE25*(1+CQ$3))/$AJ25,Уголь_коэфф!$A:$B,2,1)-VLOOKUP($AO25,Уголь_коэфф!$A:$B,2,1)),1+(1-$AU25))</f>
        <v>1.0750000000000002</v>
      </c>
      <c r="CR25" s="102">
        <f>MIN(IF($AU25=100%,1,1+VLOOKUP(($AJ25-$AI25-$AH25-$AG25-$AF25-$AE25*(1+CR$3))/$AJ25,Уголь_коэфф!$A:$B,2,1)-VLOOKUP($AO25,Уголь_коэфф!$A:$B,2,1)),1+(1-$AU25))</f>
        <v>1.0700000000000003</v>
      </c>
      <c r="CS25" s="102">
        <f>MIN(IF($AU25=100%,1,1+VLOOKUP(($AJ25-$AI25-$AH25-$AG25-$AF25-$AE25*(1+CS$3))/$AJ25,Уголь_коэфф!$A:$B,2,1)-VLOOKUP($AO25,Уголь_коэфф!$A:$B,2,1)),1+(1-$AU25))</f>
        <v>1.0700000000000003</v>
      </c>
      <c r="CT25" s="102">
        <f>MIN(IF($AU25=100%,1,1+VLOOKUP(($AJ25-$AI25-$AH25-$AG25-$AF25-$AE25*(1+CT$3))/$AJ25,Уголь_коэфф!$A:$B,2,1)-VLOOKUP($AO25,Уголь_коэфф!$A:$B,2,1)),1+(1-$AU25))</f>
        <v>1.0700000000000003</v>
      </c>
      <c r="CU25" s="102">
        <f>MIN(IF($AU25=100%,1,1+VLOOKUP(($AJ25-$AI25-$AH25-$AG25-$AF25-$AE25*(1+CU$3))/$AJ25,Уголь_коэфф!$A:$B,2,1)-VLOOKUP($AO25,Уголь_коэфф!$A:$B,2,1)),1+(1-$AU25))</f>
        <v>1.0700000000000003</v>
      </c>
      <c r="CV25" s="102">
        <f>MIN(IF($AU25=100%,1,1+VLOOKUP(($AJ25-$AI25-$AH25-$AG25-$AF25-$AE25*(1+CV$3))/$AJ25,Уголь_коэфф!$A:$B,2,1)-VLOOKUP($AO25,Уголь_коэфф!$A:$B,2,1)),1+(1-$AU25))</f>
        <v>1.0649999999999999</v>
      </c>
      <c r="CW25" s="102">
        <f>MIN(IF($AU25=100%,1,1+VLOOKUP(($AJ25-$AI25-$AH25-$AG25-$AF25-$AE25*(1+CW$3))/$AJ25,Уголь_коэфф!$A:$B,2,1)-VLOOKUP($AO25,Уголь_коэфф!$A:$B,2,1)),1+(1-$AU25))</f>
        <v>1.0649999999999999</v>
      </c>
      <c r="CX25" s="102">
        <f>MIN(IF($AU25=100%,1,1+VLOOKUP(($AJ25-$AI25-$AH25-$AG25-$AF25-$AE25*(1+CX$3))/$AJ25,Уголь_коэфф!$A:$B,2,1)-VLOOKUP($AO25,Уголь_коэфф!$A:$B,2,1)),1+(1-$AU25))</f>
        <v>1.0649999999999999</v>
      </c>
      <c r="CY25" s="102">
        <f>MIN(IF($AU25=100%,1,1+VLOOKUP(($AJ25-$AI25-$AH25-$AG25-$AF25-$AE25*(1+CY$3))/$AJ25,Уголь_коэфф!$A:$B,2,1)-VLOOKUP($AO25,Уголь_коэфф!$A:$B,2,1)),1+(1-$AU25))</f>
        <v>1.0649999999999999</v>
      </c>
      <c r="CZ25" s="102">
        <f>MIN(IF($AU25=100%,1,1+VLOOKUP(($AJ25-$AI25-$AH25-$AG25-$AF25-$AE25*(1+CZ$3))/$AJ25,Уголь_коэфф!$A:$B,2,1)-VLOOKUP($AO25,Уголь_коэфф!$A:$B,2,1)),1+(1-$AU25))</f>
        <v>1.0649999999999999</v>
      </c>
      <c r="DA25" s="102">
        <f>MIN(IF($AU25=100%,1,1+VLOOKUP(($AJ25-$AI25-$AH25-$AG25-$AF25-$AE25*(1+DA$3))/$AJ25,Уголь_коэфф!$A:$B,2,1)-VLOOKUP($AO25,Уголь_коэфф!$A:$B,2,1)),1+(1-$AU25))</f>
        <v>1.06</v>
      </c>
      <c r="DB25" s="102">
        <f>MIN(IF($AU25=100%,1,1+VLOOKUP(($AJ25-$AI25-$AH25-$AG25-$AF25-$AE25*(1+DB$3))/$AJ25,Уголь_коэфф!$A:$B,2,1)-VLOOKUP($AO25,Уголь_коэфф!$A:$B,2,1)),1+(1-$AU25))</f>
        <v>1.06</v>
      </c>
      <c r="DC25" s="102">
        <f>MIN(IF($AU25=100%,1,1+VLOOKUP(($AJ25-$AI25-$AH25-$AG25-$AF25-$AE25*(1+DC$3))/$AJ25,Уголь_коэфф!$A:$B,2,1)-VLOOKUP($AO25,Уголь_коэфф!$A:$B,2,1)),1+(1-$AU25))</f>
        <v>1.06</v>
      </c>
      <c r="DD25" s="102">
        <f>MIN(IF($AU25=100%,1,1+VLOOKUP(($AJ25-$AI25-$AH25-$AG25-$AF25-$AE25*(1+DD$3))/$AJ25,Уголь_коэфф!$A:$B,2,1)-VLOOKUP($AO25,Уголь_коэфф!$A:$B,2,1)),1+(1-$AU25))</f>
        <v>1.06</v>
      </c>
      <c r="DE25" s="102">
        <f>MIN(IF($AU25=100%,1,1+VLOOKUP(($AJ25-$AI25-$AH25-$AG25-$AF25-$AE25*(1+DE$3))/$AJ25,Уголь_коэфф!$A:$B,2,1)-VLOOKUP($AO25,Уголь_коэфф!$A:$B,2,1)),1+(1-$AU25))</f>
        <v>1.0549999999999997</v>
      </c>
      <c r="DF25" s="102">
        <f>MIN(IF($AU25=100%,1,1+VLOOKUP(($AJ25-$AI25-$AH25-$AG25-$AF25-$AE25*(1+DF$3))/$AJ25,Уголь_коэфф!$A:$B,2,1)-VLOOKUP($AO25,Уголь_коэфф!$A:$B,2,1)),1+(1-$AU25))</f>
        <v>1.0549999999999997</v>
      </c>
      <c r="DG25" s="102">
        <f>MIN(IF($AU25=100%,1,1+VLOOKUP(($AJ25-$AI25-$AH25-$AG25-$AF25-$AE25*(1+DG$3))/$AJ25,Уголь_коэфф!$A:$B,2,1)-VLOOKUP($AO25,Уголь_коэфф!$A:$B,2,1)),1+(1-$AU25))</f>
        <v>1.0549999999999997</v>
      </c>
      <c r="DH25" s="102">
        <f>MIN(IF($AU25=100%,1,1+VLOOKUP(($AJ25-$AI25-$AH25-$AG25-$AF25-$AE25*(1+DH$3))/$AJ25,Уголь_коэфф!$A:$B,2,1)-VLOOKUP($AO25,Уголь_коэфф!$A:$B,2,1)),1+(1-$AU25))</f>
        <v>1.0549999999999997</v>
      </c>
      <c r="DI25" s="102">
        <f>MIN(IF($AU25=100%,1,1+VLOOKUP(($AJ25-$AI25-$AH25-$AG25-$AF25-$AE25*(1+DI$3))/$AJ25,Уголь_коэфф!$A:$B,2,1)-VLOOKUP($AO25,Уголь_коэфф!$A:$B,2,1)),1+(1-$AU25))</f>
        <v>1.0499999999999998</v>
      </c>
      <c r="DJ25" s="102">
        <f>MIN(IF($AU25=100%,1,1+VLOOKUP(($AJ25-$AI25-$AH25-$AG25-$AF25-$AE25*(1+DJ$3))/$AJ25,Уголь_коэфф!$A:$B,2,1)-VLOOKUP($AO25,Уголь_коэфф!$A:$B,2,1)),1+(1-$AU25))</f>
        <v>1.0499999999999998</v>
      </c>
      <c r="DK25" s="102">
        <f>MIN(IF($AU25=100%,1,1+VLOOKUP(($AJ25-$AI25-$AH25-$AG25-$AF25-$AE25*(1+DK$3))/$AJ25,Уголь_коэфф!$A:$B,2,1)-VLOOKUP($AO25,Уголь_коэфф!$A:$B,2,1)),1+(1-$AU25))</f>
        <v>1.0499999999999998</v>
      </c>
      <c r="DL25" s="102">
        <f>MIN(IF($AU25=100%,1,1+VLOOKUP(($AJ25-$AI25-$AH25-$AG25-$AF25-$AE25*(1+DL$3))/$AJ25,Уголь_коэфф!$A:$B,2,1)-VLOOKUP($AO25,Уголь_коэфф!$A:$B,2,1)),1+(1-$AU25))</f>
        <v>1.0499999999999998</v>
      </c>
      <c r="DM25" s="102">
        <f>MIN(IF($AU25=100%,1,1+VLOOKUP(($AJ25-$AI25-$AH25-$AG25-$AF25-$AE25*(1+DM$3))/$AJ25,Уголь_коэфф!$A:$B,2,1)-VLOOKUP($AO25,Уголь_коэфф!$A:$B,2,1)),1+(1-$AU25))</f>
        <v>1.0499999999999998</v>
      </c>
      <c r="DN25" s="102">
        <f>MIN(IF($AU25=100%,1,1+VLOOKUP(($AJ25-$AI25-$AH25-$AG25-$AF25-$AE25*(1+DN$3))/$AJ25,Уголь_коэфф!$A:$B,2,1)-VLOOKUP($AO25,Уголь_коэфф!$A:$B,2,1)),1+(1-$AU25))</f>
        <v>1.0449999999999999</v>
      </c>
      <c r="DO25" s="102">
        <f>MIN(IF($AU25=100%,1,1+VLOOKUP(($AJ25-$AI25-$AH25-$AG25-$AF25-$AE25*(1+DO$3))/$AJ25,Уголь_коэфф!$A:$B,2,1)-VLOOKUP($AO25,Уголь_коэфф!$A:$B,2,1)),1+(1-$AU25))</f>
        <v>1.0449999999999999</v>
      </c>
      <c r="DP25" s="102">
        <f>MIN(IF($AU25=100%,1,1+VLOOKUP(($AJ25-$AI25-$AH25-$AG25-$AF25-$AE25*(1+DP$3))/$AJ25,Уголь_коэфф!$A:$B,2,1)-VLOOKUP($AO25,Уголь_коэфф!$A:$B,2,1)),1+(1-$AU25))</f>
        <v>1.0449999999999999</v>
      </c>
      <c r="DQ25" s="102">
        <f>MIN(IF($AU25=100%,1,1+VLOOKUP(($AJ25-$AI25-$AH25-$AG25-$AF25-$AE25*(1+DQ$3))/$AJ25,Уголь_коэфф!$A:$B,2,1)-VLOOKUP($AO25,Уголь_коэфф!$A:$B,2,1)),1+(1-$AU25))</f>
        <v>1.0449999999999999</v>
      </c>
      <c r="DR25" s="102">
        <f>MIN(IF($AU25=100%,1,1+VLOOKUP(($AJ25-$AI25-$AH25-$AG25-$AF25-$AE25*(1+DR$3))/$AJ25,Уголь_коэфф!$A:$B,2,1)-VLOOKUP($AO25,Уголь_коэфф!$A:$B,2,1)),1+(1-$AU25))</f>
        <v>1.04</v>
      </c>
      <c r="DS25" s="102">
        <f>MIN(IF($AU25=100%,1,1+VLOOKUP(($AJ25-$AI25-$AH25-$AG25-$AF25-$AE25*(1+DS$3))/$AJ25,Уголь_коэфф!$A:$B,2,1)-VLOOKUP($AO25,Уголь_коэфф!$A:$B,2,1)),1+(1-$AU25))</f>
        <v>1.04</v>
      </c>
      <c r="DT25" s="102">
        <f>MIN(IF($AU25=100%,1,1+VLOOKUP(($AJ25-$AI25-$AH25-$AG25-$AF25-$AE25*(1+DT$3))/$AJ25,Уголь_коэфф!$A:$B,2,1)-VLOOKUP($AO25,Уголь_коэфф!$A:$B,2,1)),1+(1-$AU25))</f>
        <v>1.04</v>
      </c>
      <c r="DU25" s="102">
        <f>MIN(IF($AU25=100%,1,1+VLOOKUP(($AJ25-$AI25-$AH25-$AG25-$AF25-$AE25*(1+DU$3))/$AJ25,Уголь_коэфф!$A:$B,2,1)-VLOOKUP($AO25,Уголь_коэфф!$A:$B,2,1)),1+(1-$AU25))</f>
        <v>1.04</v>
      </c>
      <c r="DV25" s="102">
        <f>MIN(IF($AU25=100%,1,1+VLOOKUP(($AJ25-$AI25-$AH25-$AG25-$AF25-$AE25*(1+DV$3))/$AJ25,Уголь_коэфф!$A:$B,2,1)-VLOOKUP($AO25,Уголь_коэфф!$A:$B,2,1)),1+(1-$AU25))</f>
        <v>1.0350000000000001</v>
      </c>
      <c r="DW25" s="102">
        <f>MIN(IF($AU25=100%,1,1+VLOOKUP(($AJ25-$AI25-$AH25-$AG25-$AF25-$AE25*(1+DW$3))/$AJ25,Уголь_коэфф!$A:$B,2,1)-VLOOKUP($AO25,Уголь_коэфф!$A:$B,2,1)),1+(1-$AU25))</f>
        <v>1.0350000000000001</v>
      </c>
      <c r="DX25" s="102">
        <f>MIN(IF($AU25=100%,1,1+VLOOKUP(($AJ25-$AI25-$AH25-$AG25-$AF25-$AE25*(1+DX$3))/$AJ25,Уголь_коэфф!$A:$B,2,1)-VLOOKUP($AO25,Уголь_коэфф!$A:$B,2,1)),1+(1-$AU25))</f>
        <v>1.0350000000000001</v>
      </c>
      <c r="DY25" s="102">
        <f>MIN(IF($AU25=100%,1,1+VLOOKUP(($AJ25-$AI25-$AH25-$AG25-$AF25-$AE25*(1+DY$3))/$AJ25,Уголь_коэфф!$A:$B,2,1)-VLOOKUP($AO25,Уголь_коэфф!$A:$B,2,1)),1+(1-$AU25))</f>
        <v>1.0350000000000001</v>
      </c>
      <c r="DZ25" s="102">
        <f>MIN(IF($AU25=100%,1,1+VLOOKUP(($AJ25-$AI25-$AH25-$AG25-$AF25-$AE25*(1+DZ$3))/$AJ25,Уголь_коэфф!$A:$B,2,1)-VLOOKUP($AO25,Уголь_коэфф!$A:$B,2,1)),1+(1-$AU25))</f>
        <v>1.0350000000000001</v>
      </c>
      <c r="EA25" s="102">
        <f>MIN(IF($AU25=100%,1,1+VLOOKUP(($AJ25-$AI25-$AH25-$AG25-$AF25-$AE25*(1+EA$3))/$AJ25,Уголь_коэфф!$A:$B,2,1)-VLOOKUP($AO25,Уголь_коэфф!$A:$B,2,1)),1+(1-$AU25))</f>
        <v>1.0300000000000002</v>
      </c>
      <c r="EB25" s="102">
        <f>MIN(IF($AU25=100%,1,1+VLOOKUP(($AJ25-$AI25-$AH25-$AG25-$AF25-$AE25*(1+EB$3))/$AJ25,Уголь_коэфф!$A:$B,2,1)-VLOOKUP($AO25,Уголь_коэфф!$A:$B,2,1)),1+(1-$AU25))</f>
        <v>1.0300000000000002</v>
      </c>
      <c r="EC25" s="102">
        <f>MIN(IF($AU25=100%,1,1+VLOOKUP(($AJ25-$AI25-$AH25-$AG25-$AF25-$AE25*(1+EC$3))/$AJ25,Уголь_коэфф!$A:$B,2,1)-VLOOKUP($AO25,Уголь_коэфф!$A:$B,2,1)),1+(1-$AU25))</f>
        <v>1.0300000000000002</v>
      </c>
      <c r="ED25" s="102">
        <f>MIN(IF($AU25=100%,1,1+VLOOKUP(($AJ25-$AI25-$AH25-$AG25-$AF25-$AE25*(1+ED$3))/$AJ25,Уголь_коэфф!$A:$B,2,1)-VLOOKUP($AO25,Уголь_коэфф!$A:$B,2,1)),1+(1-$AU25))</f>
        <v>1.0300000000000002</v>
      </c>
      <c r="EE25" s="102">
        <f>MIN(IF($AU25=100%,1,1+VLOOKUP(($AJ25-$AI25-$AH25-$AG25-$AF25-$AE25*(1+EE$3))/$AJ25,Уголь_коэфф!$A:$B,2,1)-VLOOKUP($AO25,Уголь_коэфф!$A:$B,2,1)),1+(1-$AU25))</f>
        <v>1.0249999999999999</v>
      </c>
      <c r="EF25" s="102">
        <f>MIN(IF($AU25=100%,1,1+VLOOKUP(($AJ25-$AI25-$AH25-$AG25-$AF25-$AE25*(1+EF$3))/$AJ25,Уголь_коэфф!$A:$B,2,1)-VLOOKUP($AO25,Уголь_коэфф!$A:$B,2,1)),1+(1-$AU25))</f>
        <v>1.0249999999999999</v>
      </c>
      <c r="EG25" s="102">
        <f>MIN(IF($AU25=100%,1,1+VLOOKUP(($AJ25-$AI25-$AH25-$AG25-$AF25-$AE25*(1+EG$3))/$AJ25,Уголь_коэфф!$A:$B,2,1)-VLOOKUP($AO25,Уголь_коэфф!$A:$B,2,1)),1+(1-$AU25))</f>
        <v>1.0249999999999999</v>
      </c>
      <c r="EH25" s="102">
        <f>MIN(IF($AU25=100%,1,1+VLOOKUP(($AJ25-$AI25-$AH25-$AG25-$AF25-$AE25*(1+EH$3))/$AJ25,Уголь_коэфф!$A:$B,2,1)-VLOOKUP($AO25,Уголь_коэфф!$A:$B,2,1)),1+(1-$AU25))</f>
        <v>1.0249999999999999</v>
      </c>
      <c r="EI25" s="102">
        <f>MIN(IF($AU25=100%,1,1+VLOOKUP(($AJ25-$AI25-$AH25-$AG25-$AF25-$AE25*(1+EI$3))/$AJ25,Уголь_коэфф!$A:$B,2,1)-VLOOKUP($AO25,Уголь_коэфф!$A:$B,2,1)),1+(1-$AU25))</f>
        <v>1.0249999999999999</v>
      </c>
      <c r="EJ25" s="102">
        <f>MIN(IF($AU25=100%,1,1+VLOOKUP(($AJ25-$AI25-$AH25-$AG25-$AF25-$AE25*(1+EJ$3))/$AJ25,Уголь_коэфф!$A:$B,2,1)-VLOOKUP($AO25,Уголь_коэфф!$A:$B,2,1)),1+(1-$AU25))</f>
        <v>1.0249999999999999</v>
      </c>
      <c r="EK25" s="102">
        <f>MIN(IF($AU25=100%,1,1+VLOOKUP(($AJ25-$AI25-$AH25-$AG25-$AF25-$AE25*(1+EK$3))/$AJ25,Уголь_коэфф!$A:$B,2,1)-VLOOKUP($AO25,Уголь_коэфф!$A:$B,2,1)),1+(1-$AU25))</f>
        <v>1.0249999999999999</v>
      </c>
      <c r="EL25" s="102">
        <f>MIN(IF($AU25=100%,1,1+VLOOKUP(($AJ25-$AI25-$AH25-$AG25-$AF25-$AE25*(1+EL$3))/$AJ25,Уголь_коэфф!$A:$B,2,1)-VLOOKUP($AO25,Уголь_коэфф!$A:$B,2,1)),1+(1-$AU25))</f>
        <v>1.0249999999999999</v>
      </c>
      <c r="EM25" s="102">
        <f>MIN(IF($AU25=100%,1,1+VLOOKUP(($AJ25-$AI25-$AH25-$AG25-$AF25-$AE25*(1+EM$3))/$AJ25,Уголь_коэфф!$A:$B,2,1)-VLOOKUP($AO25,Уголь_коэфф!$A:$B,2,1)),1+(1-$AU25))</f>
        <v>1.0249999999999999</v>
      </c>
      <c r="EN25" s="102">
        <f>MIN(IF($AU25=100%,1,1+VLOOKUP(($AJ25-$AI25-$AH25-$AG25-$AF25-$AE25*(1+EN$3))/$AJ25,Уголь_коэфф!$A:$B,2,1)-VLOOKUP($AO25,Уголь_коэфф!$A:$B,2,1)),1+(1-$AU25))</f>
        <v>1.0249999999999999</v>
      </c>
      <c r="EO25" s="102">
        <f>MIN(IF($AU25=100%,1,1+VLOOKUP(($AJ25-$AI25-$AH25-$AG25-$AF25-$AE25*(1+EO$3))/$AJ25,Уголь_коэфф!$A:$B,2,1)-VLOOKUP($AO25,Уголь_коэфф!$A:$B,2,1)),1+(1-$AU25))</f>
        <v>1.0249999999999999</v>
      </c>
      <c r="EP25" s="102">
        <f>MIN(IF($AU25=100%,1,1+VLOOKUP(($AJ25-$AI25-$AH25-$AG25-$AF25-$AE25*(1+EP$3))/$AJ25,Уголь_коэфф!$A:$B,2,1)-VLOOKUP($AO25,Уголь_коэфф!$A:$B,2,1)),1+(1-$AU25))</f>
        <v>1.0249999999999999</v>
      </c>
      <c r="EQ25" s="102">
        <f>MIN(IF($AU25=100%,1,1+VLOOKUP(($AJ25-$AI25-$AH25-$AG25-$AF25-$AE25*(1+EQ$3))/$AJ25,Уголь_коэфф!$A:$B,2,1)-VLOOKUP($AO25,Уголь_коэфф!$A:$B,2,1)),1+(1-$AU25))</f>
        <v>1.0249999999999999</v>
      </c>
      <c r="ER25" s="102">
        <f>MIN(IF($AU25=100%,1,1+VLOOKUP(($AJ25-$AI25-$AH25-$AG25-$AF25-$AE25*(1+ER$3))/$AJ25,Уголь_коэфф!$A:$B,2,1)-VLOOKUP($AO25,Уголь_коэфф!$A:$B,2,1)),1+(1-$AU25))</f>
        <v>1</v>
      </c>
      <c r="ES25" s="102">
        <f>MIN(IF($AU25=100%,1,1+VLOOKUP(($AJ25-$AI25-$AH25-$AG25-$AF25-$AE25*(1+ES$3))/$AJ25,Уголь_коэфф!$A:$B,2,1)-VLOOKUP($AO25,Уголь_коэфф!$A:$B,2,1)),1+(1-$AU25))</f>
        <v>1</v>
      </c>
      <c r="ET25" s="102">
        <f>MIN(IF($AU25=100%,1,1+VLOOKUP(($AJ25-$AI25-$AH25-$AG25-$AF25-$AE25*(1+ET$3))/$AJ25,Уголь_коэфф!$A:$B,2,1)-VLOOKUP($AO25,Уголь_коэфф!$A:$B,2,1)),1+(1-$AU25))</f>
        <v>1</v>
      </c>
      <c r="EU25" s="102">
        <f>MIN(IF($AU25=100%,1,1+VLOOKUP(($AJ25-$AI25-$AH25-$AG25-$AF25-$AE25*(1+EU$3))/$AJ25,Уголь_коэфф!$A:$B,2,1)-VLOOKUP($AO25,Уголь_коэфф!$A:$B,2,1)),1+(1-$AU25))</f>
        <v>1</v>
      </c>
      <c r="EV25" s="103">
        <v>1</v>
      </c>
      <c r="EW25" s="102">
        <f>MIN(1,MAX(VLOOKUP(($AJ25-$AI25-$AH25-$AG25-$AF25-$AE25*(1+EW$3))/$AJ25,Уголь_коэфф!$A:$B,2,1),(EV25-0.05)))</f>
        <v>1</v>
      </c>
      <c r="EX25" s="102">
        <f>MIN(1,MAX(VLOOKUP(($AJ25-$AI25-$AH25-$AG25-$AF25-$AE25*(1+EX$3))/$AJ25,Уголь_коэфф!$A:$B,2,1),(EW25-0.05)))</f>
        <v>1</v>
      </c>
      <c r="EY25" s="102">
        <f>MIN(1,MAX(VLOOKUP(($AJ25-$AI25-$AH25-$AG25-$AF25-$AE25*(1+EY$3))/$AJ25,Уголь_коэфф!$A:$B,2,1),(EX25-0.05)))</f>
        <v>1</v>
      </c>
      <c r="EZ25" s="102">
        <f>MIN(1,MAX(VLOOKUP(($AJ25-$AI25-$AH25-$AG25-$AF25-$AE25*(1+EZ$3))/$AJ25,Уголь_коэфф!$A:$B,2,1),(EY25-0.05)))</f>
        <v>1</v>
      </c>
      <c r="FA25" s="102">
        <f>MIN(1,MAX(VLOOKUP(($AJ25-$AI25-$AH25-$AG25-$AF25-$AE25*(1+FA$3))/$AJ25,Уголь_коэфф!$A:$B,2,1),(EZ25-0.05)))</f>
        <v>1</v>
      </c>
      <c r="FB25" s="102">
        <f>MIN(1,MAX(VLOOKUP(($AJ25-$AI25-$AH25-$AG25-$AF25-$AE25*(1+FB$3))/$AJ25,Уголь_коэфф!$A:$B,2,1),(FA25-0.05)))</f>
        <v>1</v>
      </c>
      <c r="FC25" s="102">
        <f>MIN(1,MAX(VLOOKUP(($AJ25-$AI25-$AH25-$AG25-$AF25-$AE25*(1+FC$3))/$AJ25,Уголь_коэфф!$A:$B,2,1),(FB25-0.05)))</f>
        <v>1</v>
      </c>
      <c r="FD25" s="102">
        <f>MIN(1,MAX(VLOOKUP(($AJ25-$AI25-$AH25-$AG25-$AF25-$AE25*(1+FD$3))/$AJ25,Уголь_коэфф!$A:$B,2,1),(FC25-0.05)))</f>
        <v>1</v>
      </c>
      <c r="FE25" s="102">
        <f>MIN(1,MAX(VLOOKUP(($AJ25-$AI25-$AH25-$AG25-$AF25-$AE25*(1+FE$3))/$AJ25,Уголь_коэфф!$A:$B,2,1),(FD25-0.05)))</f>
        <v>1</v>
      </c>
      <c r="FF25" s="102">
        <f>MIN(1,MAX(VLOOKUP(($AJ25-$AI25-$AH25-$AG25-$AF25-$AE25*(1+FF$3))/$AJ25,Уголь_коэфф!$A:$B,2,1),(FE25-0.05)))</f>
        <v>1</v>
      </c>
      <c r="FG25" s="102">
        <f>MIN(1,MAX(VLOOKUP(($AJ25-$AI25-$AH25-$AG25-$AF25-$AE25*(1+FG$3))/$AJ25,Уголь_коэфф!$A:$B,2,1),(FF25-0.05)))</f>
        <v>1</v>
      </c>
      <c r="FH25" s="102">
        <f>MIN(1,MAX(VLOOKUP(($AJ25-$AI25-$AH25-$AG25-$AF25-$AE25*(1+FH$3))/$AJ25,Уголь_коэфф!$A:$B,2,1),(FG25-0.05)))</f>
        <v>1</v>
      </c>
      <c r="FI25" s="102">
        <f>MIN(1,MAX(VLOOKUP(($AJ25-$AI25-$AH25-$AG25-$AF25-$AE25*(1+FI$3))/$AJ25,Уголь_коэфф!$A:$B,2,1),(FH25-0.05)))</f>
        <v>1</v>
      </c>
      <c r="FJ25" s="102">
        <f>MIN(1,MAX(VLOOKUP(($AJ25-$AI25-$AH25-$AG25-$AF25-$AE25*(1+FJ$3))/$AJ25,Уголь_коэфф!$A:$B,2,1),(FI25-0.05)))</f>
        <v>1</v>
      </c>
      <c r="FK25" s="102">
        <f>MIN(1,MAX(VLOOKUP(($AJ25-$AI25-$AH25-$AG25-$AF25-$AE25*(1+FK$3))/$AJ25,Уголь_коэфф!$A:$B,2,1),(FJ25-0.05)))</f>
        <v>1</v>
      </c>
      <c r="FL25" s="102">
        <f>MIN(1,MAX(VLOOKUP(($AJ25-$AI25-$AH25-$AG25-$AF25-$AE25*(1+FL$3))/$AJ25,Уголь_коэфф!$A:$B,2,1),(FK25-0.05)))</f>
        <v>1</v>
      </c>
      <c r="FM25" s="102">
        <f>MIN(1,MAX(VLOOKUP(($AJ25-$AI25-$AH25-$AG25-$AF25-$AE25*(1+FM$3))/$AJ25,Уголь_коэфф!$A:$B,2,1),(FL25-0.05)))</f>
        <v>1</v>
      </c>
      <c r="FN25" s="102">
        <f>MIN(1,MAX(VLOOKUP(($AJ25-$AI25-$AH25-$AG25-$AF25-$AE25*(1+FN$3))/$AJ25,Уголь_коэфф!$A:$B,2,1),(FM25-0.05)))</f>
        <v>1</v>
      </c>
      <c r="FO25" s="102">
        <f>MIN(1,MAX(VLOOKUP(($AJ25-$AI25-$AH25-$AG25-$AF25-$AE25*(1+FO$3))/$AJ25,Уголь_коэфф!$A:$B,2,1),(FN25-0.05)))</f>
        <v>1</v>
      </c>
      <c r="FP25" s="102">
        <f>MIN(1,MAX(VLOOKUP(($AJ25-$AI25-$AH25-$AG25-$AF25-$AE25*(1+FP$3))/$AJ25,Уголь_коэфф!$A:$B,2,1),(FO25-0.05)))</f>
        <v>1</v>
      </c>
      <c r="FQ25" s="102">
        <f>MIN(1,MAX(VLOOKUP(($AJ25-$AI25-$AH25-$AG25-$AF25-$AE25*(1+FQ$3))/$AJ25,Уголь_коэфф!$A:$B,2,1),(FP25-0.05)))</f>
        <v>1</v>
      </c>
      <c r="FR25" s="102">
        <f>MIN(1,MAX(VLOOKUP(($AJ25-$AI25-$AH25-$AG25-$AF25-$AE25*(1+FR$3))/$AJ25,Уголь_коэфф!$A:$B,2,1),(FQ25-0.05)))</f>
        <v>1</v>
      </c>
      <c r="FS25" s="102">
        <f>MIN(1,MAX(VLOOKUP(($AJ25-$AI25-$AH25-$AG25-$AF25-$AE25*(1+FS$3))/$AJ25,Уголь_коэфф!$A:$B,2,1),(FR25-0.05)))</f>
        <v>1</v>
      </c>
      <c r="FT25" s="102">
        <f>MIN(1,MAX(VLOOKUP(($AJ25-$AI25-$AH25-$AG25-$AF25-$AE25*(1+FT$3))/$AJ25,Уголь_коэфф!$A:$B,2,1),(FS25-0.05)))</f>
        <v>1</v>
      </c>
      <c r="FU25" s="102">
        <f>MIN(1,MAX(VLOOKUP(($AJ25-$AI25-$AH25-$AG25-$AF25-$AE25*(1+FU$3))/$AJ25,Уголь_коэфф!$A:$B,2,1),(FT25-0.05)))</f>
        <v>1</v>
      </c>
      <c r="FV25" s="102">
        <f>MIN(1,MAX(VLOOKUP(($AJ25-$AI25-$AH25-$AG25-$AF25-$AE25*(1+FV$3))/$AJ25,Уголь_коэфф!$A:$B,2,1),(FU25-0.05)))</f>
        <v>0.995</v>
      </c>
      <c r="FW25" s="102">
        <f>MIN(1,MAX(VLOOKUP(($AJ25-$AI25-$AH25-$AG25-$AF25-$AE25*(1+FW$3))/$AJ25,Уголь_коэфф!$A:$B,2,1),(FV25-0.05)))</f>
        <v>0.995</v>
      </c>
      <c r="FX25" s="102">
        <f>MIN(1,MAX(VLOOKUP(($AJ25-$AI25-$AH25-$AG25-$AF25-$AE25*(1+FX$3))/$AJ25,Уголь_коэфф!$A:$B,2,1),(FW25-0.05)))</f>
        <v>0.995</v>
      </c>
      <c r="FY25" s="102">
        <f>MIN(1,MAX(VLOOKUP(($AJ25-$AI25-$AH25-$AG25-$AF25-$AE25*(1+FY$3))/$AJ25,Уголь_коэфф!$A:$B,2,1),(FX25-0.05)))</f>
        <v>0.995</v>
      </c>
      <c r="FZ25" s="102">
        <f>MIN(1,MAX(VLOOKUP(($AJ25-$AI25-$AH25-$AG25-$AF25-$AE25*(1+FZ$3))/$AJ25,Уголь_коэфф!$A:$B,2,1),(FY25-0.05)))</f>
        <v>0.99</v>
      </c>
      <c r="GA25" s="102">
        <f>MIN(1,MAX(VLOOKUP(($AJ25-$AI25-$AH25-$AG25-$AF25-$AE25*(1+GA$3))/$AJ25,Уголь_коэфф!$A:$B,2,1),(FZ25-0.05)))</f>
        <v>0.99</v>
      </c>
      <c r="GB25" s="102">
        <f>MIN(1,MAX(VLOOKUP(($AJ25-$AI25-$AH25-$AG25-$AF25-$AE25*(1+GB$3))/$AJ25,Уголь_коэфф!$A:$B,2,1),(GA25-0.05)))</f>
        <v>0.99</v>
      </c>
      <c r="GC25" s="102">
        <f>MIN(1,MAX(VLOOKUP(($AJ25-$AI25-$AH25-$AG25-$AF25-$AE25*(1+GC$3))/$AJ25,Уголь_коэфф!$A:$B,2,1),(GB25-0.05)))</f>
        <v>0.99</v>
      </c>
      <c r="GD25" s="102">
        <f>MIN(1,MAX(VLOOKUP(($AJ25-$AI25-$AH25-$AG25-$AF25-$AE25*(1+GD$3))/$AJ25,Уголь_коэфф!$A:$B,2,1),(GC25-0.05)))</f>
        <v>0.99</v>
      </c>
      <c r="GE25" s="102">
        <f>MIN(1,MAX(VLOOKUP(($AJ25-$AI25-$AH25-$AG25-$AF25-$AE25*(1+GE$3))/$AJ25,Уголь_коэфф!$A:$B,2,1),(GD25-0.05)))</f>
        <v>0.98499999999999999</v>
      </c>
      <c r="GF25" s="102">
        <f>MIN(1,MAX(VLOOKUP(($AJ25-$AI25-$AH25-$AG25-$AF25-$AE25*(1+GF$3))/$AJ25,Уголь_коэфф!$A:$B,2,1),(GE25-0.05)))</f>
        <v>0.98499999999999999</v>
      </c>
      <c r="GG25" s="102">
        <f>MIN(1,MAX(VLOOKUP(($AJ25-$AI25-$AH25-$AG25-$AF25-$AE25*(1+GG$3))/$AJ25,Уголь_коэфф!$A:$B,2,1),(GF25-0.05)))</f>
        <v>0.98499999999999999</v>
      </c>
      <c r="GH25" s="102">
        <f>MIN(1,MAX(VLOOKUP(($AJ25-$AI25-$AH25-$AG25-$AF25-$AE25*(1+GH$3))/$AJ25,Уголь_коэфф!$A:$B,2,1),(GG25-0.05)))</f>
        <v>0.98499999999999999</v>
      </c>
      <c r="GI25" s="102">
        <f>MIN(1,MAX(VLOOKUP(($AJ25-$AI25-$AH25-$AG25-$AF25-$AE25*(1+GI$3))/$AJ25,Уголь_коэфф!$A:$B,2,1),(GH25-0.05)))</f>
        <v>0.98</v>
      </c>
      <c r="GJ25" s="102">
        <f>MIN(1,MAX(VLOOKUP(($AJ25-$AI25-$AH25-$AG25-$AF25-$AE25*(1+GJ$3))/$AJ25,Уголь_коэфф!$A:$B,2,1),(GI25-0.05)))</f>
        <v>0.98</v>
      </c>
      <c r="GK25" s="102">
        <f>MIN(1,MAX(VLOOKUP(($AJ25-$AI25-$AH25-$AG25-$AF25-$AE25*(1+GK$3))/$AJ25,Уголь_коэфф!$A:$B,2,1),(GJ25-0.05)))</f>
        <v>0.98</v>
      </c>
      <c r="GL25" s="102">
        <f>MIN(1,MAX(VLOOKUP(($AJ25-$AI25-$AH25-$AG25-$AF25-$AE25*(1+GL$3))/$AJ25,Уголь_коэфф!$A:$B,2,1),(GK25-0.05)))</f>
        <v>0.98</v>
      </c>
      <c r="GM25" s="102">
        <f>MIN(1,MAX(VLOOKUP(($AJ25-$AI25-$AH25-$AG25-$AF25-$AE25*(1+GM$3))/$AJ25,Уголь_коэфф!$A:$B,2,1),(GL25-0.05)))</f>
        <v>0.97499999999999998</v>
      </c>
      <c r="GN25" s="102">
        <f>MIN(1,MAX(VLOOKUP(($AJ25-$AI25-$AH25-$AG25-$AF25-$AE25*(1+GN$3))/$AJ25,Уголь_коэфф!$A:$B,2,1),(GM25-0.05)))</f>
        <v>0.97499999999999998</v>
      </c>
      <c r="GO25" s="102">
        <f>MIN(1,MAX(VLOOKUP(($AJ25-$AI25-$AH25-$AG25-$AF25-$AE25*(1+GO$3))/$AJ25,Уголь_коэфф!$A:$B,2,1),(GN25-0.05)))</f>
        <v>0.97499999999999998</v>
      </c>
      <c r="GP25" s="102">
        <f>MIN(1,MAX(VLOOKUP(($AJ25-$AI25-$AH25-$AG25-$AF25-$AE25*(1+GP$3))/$AJ25,Уголь_коэфф!$A:$B,2,1),(GO25-0.05)))</f>
        <v>0.97499999999999998</v>
      </c>
      <c r="GQ25" s="102">
        <f>MIN(1,MAX(VLOOKUP(($AJ25-$AI25-$AH25-$AG25-$AF25-$AE25*(1+GQ$3))/$AJ25,Уголь_коэфф!$A:$B,2,1),(GP25-0.05)))</f>
        <v>0.97</v>
      </c>
      <c r="GR25" s="102">
        <f>MIN(1,MAX(VLOOKUP(($AJ25-$AI25-$AH25-$AG25-$AF25-$AE25*(1+GR$3))/$AJ25,Уголь_коэфф!$A:$B,2,1),(GQ25-0.05)))</f>
        <v>0.97</v>
      </c>
      <c r="GS25" s="102">
        <f>MIN(1,MAX(VLOOKUP(($AJ25-$AI25-$AH25-$AG25-$AF25-$AE25*(1+GS$3))/$AJ25,Уголь_коэфф!$A:$B,2,1),(GR25-0.05)))</f>
        <v>0.97</v>
      </c>
      <c r="GT25" s="102">
        <f>MIN(1,MAX(VLOOKUP(($AJ25-$AI25-$AH25-$AG25-$AF25-$AE25*(1+GT$3))/$AJ25,Уголь_коэфф!$A:$B,2,1),(GS25-0.05)))</f>
        <v>0.97</v>
      </c>
      <c r="GU25" s="102">
        <f>MIN(1,MAX(VLOOKUP(($AJ25-$AI25-$AH25-$AG25-$AF25-$AE25*(1+GU$3))/$AJ25,Уголь_коэфф!$A:$B,2,1),(GT25-0.05)))</f>
        <v>0.97</v>
      </c>
      <c r="GV25" s="102">
        <f>MIN(1,MAX(VLOOKUP(($AJ25-$AI25-$AH25-$AG25-$AF25-$AE25*(1+GV$3))/$AJ25,Уголь_коэфф!$A:$B,2,1),(GU25-0.05)))</f>
        <v>0.96499999999999997</v>
      </c>
      <c r="GW25" s="102">
        <f>MIN(1,MAX(VLOOKUP(($AJ25-$AI25-$AH25-$AG25-$AF25-$AE25*(1+GW$3))/$AJ25,Уголь_коэфф!$A:$B,2,1),(GV25-0.05)))</f>
        <v>0.96499999999999997</v>
      </c>
      <c r="GX25" s="102">
        <f>MIN(1,MAX(VLOOKUP(($AJ25-$AI25-$AH25-$AG25-$AF25-$AE25*(1+GX$3))/$AJ25,Уголь_коэфф!$A:$B,2,1),(GW25-0.05)))</f>
        <v>0.96499999999999997</v>
      </c>
      <c r="GY25" s="102">
        <f>MIN(1,MAX(VLOOKUP(($AJ25-$AI25-$AH25-$AG25-$AF25-$AE25*(1+GY$3))/$AJ25,Уголь_коэфф!$A:$B,2,1),(GX25-0.05)))</f>
        <v>0.96499999999999997</v>
      </c>
      <c r="GZ25" s="102">
        <f>MIN(1,MAX(VLOOKUP(($AJ25-$AI25-$AH25-$AG25-$AF25-$AE25*(1+GZ$3))/$AJ25,Уголь_коэфф!$A:$B,2,1),(GY25-0.05)))</f>
        <v>0.96</v>
      </c>
      <c r="HA25" s="102">
        <f>MIN(1,MAX(VLOOKUP(($AJ25-$AI25-$AH25-$AG25-$AF25-$AE25*(1+HA$3))/$AJ25,Уголь_коэфф!$A:$B,2,1),(GZ25-0.05)))</f>
        <v>0.96</v>
      </c>
      <c r="HB25" s="102">
        <f>MIN(1,MAX(VLOOKUP(($AJ25-$AI25-$AH25-$AG25-$AF25-$AE25*(1+HB$3))/$AJ25,Уголь_коэфф!$A:$B,2,1),(HA25-0.05)))</f>
        <v>0.96</v>
      </c>
      <c r="HC25" s="102">
        <f>MIN(1,MAX(VLOOKUP(($AJ25-$AI25-$AH25-$AG25-$AF25-$AE25*(1+HC$3))/$AJ25,Уголь_коэфф!$A:$B,2,1),(HB25-0.05)))</f>
        <v>0.96</v>
      </c>
      <c r="HD25" s="102">
        <f>MIN(1,MAX(VLOOKUP(($AJ25-$AI25-$AH25-$AG25-$AF25-$AE25*(1+HD$3))/$AJ25,Уголь_коэфф!$A:$B,2,1),(HC25-0.05)))</f>
        <v>0.95499999999999996</v>
      </c>
      <c r="HE25" s="102">
        <f>MIN(1,MAX(VLOOKUP(($AJ25-$AI25-$AH25-$AG25-$AF25-$AE25*(1+HE$3))/$AJ25,Уголь_коэфф!$A:$B,2,1),(HD25-0.05)))</f>
        <v>0.95499999999999996</v>
      </c>
      <c r="HF25" s="102">
        <f>MIN(1,MAX(VLOOKUP(($AJ25-$AI25-$AH25-$AG25-$AF25-$AE25*(1+HF$3))/$AJ25,Уголь_коэфф!$A:$B,2,1),(HE25-0.05)))</f>
        <v>0.95499999999999996</v>
      </c>
      <c r="HG25" s="102">
        <f>MIN(1,MAX(VLOOKUP(($AJ25-$AI25-$AH25-$AG25-$AF25-$AE25*(1+HG$3))/$AJ25,Уголь_коэфф!$A:$B,2,1),(HF25-0.05)))</f>
        <v>0.95499999999999996</v>
      </c>
      <c r="HH25" s="102">
        <f>MIN(1,MAX(VLOOKUP(($AJ25-$AI25-$AH25-$AG25-$AF25-$AE25*(1+HH$3))/$AJ25,Уголь_коэфф!$A:$B,2,1),(HG25-0.05)))</f>
        <v>0.95499999999999996</v>
      </c>
      <c r="HI25" s="102">
        <f>MIN(1,MAX(VLOOKUP(($AJ25-$AI25-$AH25-$AG25-$AF25-$AE25*(1+HI$3))/$AJ25,Уголь_коэфф!$A:$B,2,1),(HH25-0.05)))</f>
        <v>0.95</v>
      </c>
      <c r="HJ25" s="102">
        <f>MIN(1,MAX(VLOOKUP(($AJ25-$AI25-$AH25-$AG25-$AF25-$AE25*(1+HJ$3))/$AJ25,Уголь_коэфф!$A:$B,2,1),(HI25-0.05)))</f>
        <v>0.95</v>
      </c>
      <c r="HK25" s="102">
        <f>MIN(1,MAX(VLOOKUP(($AJ25-$AI25-$AH25-$AG25-$AF25-$AE25*(1+HK$3))/$AJ25,Уголь_коэфф!$A:$B,2,1),(HJ25-0.05)))</f>
        <v>0.95</v>
      </c>
      <c r="HL25" s="102">
        <f>MIN(1,MAX(VLOOKUP(($AJ25-$AI25-$AH25-$AG25-$AF25-$AE25*(1+HL$3))/$AJ25,Уголь_коэфф!$A:$B,2,1),(HK25-0.05)))</f>
        <v>0.95</v>
      </c>
      <c r="HM25" s="102">
        <f>MIN(1,MAX(VLOOKUP(($AJ25-$AI25-$AH25-$AG25-$AF25-$AE25*(1+HM$3))/$AJ25,Уголь_коэфф!$A:$B,2,1),(HL25-0.05)))</f>
        <v>0.94499999999999995</v>
      </c>
      <c r="HN25" s="102">
        <f>MIN(1,MAX(VLOOKUP(($AJ25-$AI25-$AH25-$AG25-$AF25-$AE25*(1+HN$3))/$AJ25,Уголь_коэфф!$A:$B,2,1),(HM25-0.05)))</f>
        <v>0.94499999999999995</v>
      </c>
      <c r="HO25" s="102">
        <f>MIN(1,MAX(VLOOKUP(($AJ25-$AI25-$AH25-$AG25-$AF25-$AE25*(1+HO$3))/$AJ25,Уголь_коэфф!$A:$B,2,1),(HN25-0.05)))</f>
        <v>0.94499999999999995</v>
      </c>
      <c r="HP25" s="102">
        <f>MIN(1,MAX(VLOOKUP(($AJ25-$AI25-$AH25-$AG25-$AF25-$AE25*(1+HP$3))/$AJ25,Уголь_коэфф!$A:$B,2,1),(HO25-0.05)))</f>
        <v>0.94499999999999995</v>
      </c>
      <c r="HQ25" s="102">
        <f>MIN(1,MAX(VLOOKUP(($AJ25-$AI25-$AH25-$AG25-$AF25-$AE25*(1+HQ$3))/$AJ25,Уголь_коэфф!$A:$B,2,1),(HP25-0.05)))</f>
        <v>0.94</v>
      </c>
      <c r="HR25" s="102">
        <f>MIN(1,MAX(VLOOKUP(($AJ25-$AI25-$AH25-$AG25-$AF25-$AE25*(1+HR$3))/$AJ25,Уголь_коэфф!$A:$B,2,1),(HQ25-0.05)))</f>
        <v>0.94</v>
      </c>
      <c r="HS25" s="102">
        <f>MIN(1,MAX(VLOOKUP(($AJ25-$AI25-$AH25-$AG25-$AF25-$AE25*(1+HS$3))/$AJ25,Уголь_коэфф!$A:$B,2,1),(HR25-0.05)))</f>
        <v>0.94</v>
      </c>
      <c r="HT25" s="102">
        <f>MIN(1,MAX(VLOOKUP(($AJ25-$AI25-$AH25-$AG25-$AF25-$AE25*(1+HT$3))/$AJ25,Уголь_коэфф!$A:$B,2,1),(HS25-0.05)))</f>
        <v>0.94</v>
      </c>
      <c r="HU25" s="102">
        <f>MIN(1,MAX(VLOOKUP(($AJ25-$AI25-$AH25-$AG25-$AF25-$AE25*(1+HU$3))/$AJ25,Уголь_коэфф!$A:$B,2,1),(HT25-0.05)))</f>
        <v>0.94</v>
      </c>
      <c r="HV25" s="102">
        <f>MIN(1,MAX(VLOOKUP(($AJ25-$AI25-$AH25-$AG25-$AF25-$AE25*(1+HV$3))/$AJ25,Уголь_коэфф!$A:$B,2,1),(HU25-0.05)))</f>
        <v>0.93500000000000005</v>
      </c>
      <c r="HW25" s="102">
        <f>MIN(1,MAX(VLOOKUP(($AJ25-$AI25-$AH25-$AG25-$AF25-$AE25*(1+HW$3))/$AJ25,Уголь_коэфф!$A:$B,2,1),(HV25-0.05)))</f>
        <v>0.93500000000000005</v>
      </c>
      <c r="HX25" s="102">
        <f>MIN(1,MAX(VLOOKUP(($AJ25-$AI25-$AH25-$AG25-$AF25-$AE25*(1+HX$3))/$AJ25,Уголь_коэфф!$A:$B,2,1),(HW25-0.05)))</f>
        <v>0.93500000000000005</v>
      </c>
      <c r="HY25" s="102">
        <f>MIN(1,MAX(VLOOKUP(($AJ25-$AI25-$AH25-$AG25-$AF25-$AE25*(1+HY$3))/$AJ25,Уголь_коэфф!$A:$B,2,1),(HX25-0.05)))</f>
        <v>0.93500000000000005</v>
      </c>
      <c r="HZ25" s="102">
        <f>MIN(1,MAX(VLOOKUP(($AJ25-$AI25-$AH25-$AG25-$AF25-$AE25*(1+HZ$3))/$AJ25,Уголь_коэфф!$A:$B,2,1),(HY25-0.05)))</f>
        <v>0.93</v>
      </c>
      <c r="IA25" s="102">
        <f>MIN(1,MAX(VLOOKUP(($AJ25-$AI25-$AH25-$AG25-$AF25-$AE25*(1+IA$3))/$AJ25,Уголь_коэфф!$A:$B,2,1),(HZ25-0.05)))</f>
        <v>0.93</v>
      </c>
      <c r="IB25" s="102">
        <f>MIN(1,MAX(VLOOKUP(($AJ25-$AI25-$AH25-$AG25-$AF25-$AE25*(1+IB$3))/$AJ25,Уголь_коэфф!$A:$B,2,1),(IA25-0.05)))</f>
        <v>0.93</v>
      </c>
      <c r="IC25" s="102">
        <f>MIN(1,MAX(VLOOKUP(($AJ25-$AI25-$AH25-$AG25-$AF25-$AE25*(1+IC$3))/$AJ25,Уголь_коэфф!$A:$B,2,1),(IB25-0.05)))</f>
        <v>0.93</v>
      </c>
      <c r="ID25" s="102">
        <f>MIN(1,MAX(VLOOKUP(($AJ25-$AI25-$AH25-$AG25-$AF25-$AE25*(1+ID$3))/$AJ25,Уголь_коэфф!$A:$B,2,1),(IC25-0.05)))</f>
        <v>0.92500000000000004</v>
      </c>
      <c r="IE25" s="102">
        <f>MIN(1,MAX(VLOOKUP(($AJ25-$AI25-$AH25-$AG25-$AF25-$AE25*(1+IE$3))/$AJ25,Уголь_коэфф!$A:$B,2,1),(ID25-0.05)))</f>
        <v>0.92500000000000004</v>
      </c>
      <c r="IF25" s="102">
        <f>MIN(1,MAX(VLOOKUP(($AJ25-$AI25-$AH25-$AG25-$AF25-$AE25*(1+IF$3))/$AJ25,Уголь_коэфф!$A:$B,2,1),(IE25-0.05)))</f>
        <v>0.92500000000000004</v>
      </c>
      <c r="IG25" s="102">
        <f>MIN(1,MAX(VLOOKUP(($AJ25-$AI25-$AH25-$AG25-$AF25-$AE25*(1+IG$3))/$AJ25,Уголь_коэфф!$A:$B,2,1),(IF25-0.05)))</f>
        <v>0.92500000000000004</v>
      </c>
      <c r="IH25" s="102">
        <f>MIN(1,MAX(VLOOKUP(($AJ25-$AI25-$AH25-$AG25-$AF25-$AE25*(1+IH$3))/$AJ25,Уголь_коэфф!$A:$B,2,1),(IG25-0.05)))</f>
        <v>0.92500000000000004</v>
      </c>
      <c r="II25" s="102">
        <f>MIN(1,MAX(VLOOKUP(($AJ25-$AI25-$AH25-$AG25-$AF25-$AE25*(1+II$3))/$AJ25,Уголь_коэфф!$A:$B,2,1),(IH25-0.05)))</f>
        <v>0.92</v>
      </c>
      <c r="IJ25" s="102">
        <f>MIN(1,MAX(VLOOKUP(($AJ25-$AI25-$AH25-$AG25-$AF25-$AE25*(1+IJ$3))/$AJ25,Уголь_коэфф!$A:$B,2,1),(II25-0.05)))</f>
        <v>0.92</v>
      </c>
      <c r="IK25" s="102">
        <f>MIN(1,MAX(VLOOKUP(($AJ25-$AI25-$AH25-$AG25-$AF25-$AE25*(1+IK$3))/$AJ25,Уголь_коэфф!$A:$B,2,1),(IJ25-0.05)))</f>
        <v>0.92</v>
      </c>
      <c r="IL25" s="102">
        <f>MIN(1,MAX(VLOOKUP(($AJ25-$AI25-$AH25-$AG25-$AF25-$AE25*(1+IL$3))/$AJ25,Уголь_коэфф!$A:$B,2,1),(IK25-0.05)))</f>
        <v>0.92</v>
      </c>
      <c r="IM25" s="102">
        <f>MIN(1,MAX(VLOOKUP(($AJ25-$AI25-$AH25-$AG25-$AF25-$AE25*(1+IM$3))/$AJ25,Уголь_коэфф!$A:$B,2,1),(IL25-0.05)))</f>
        <v>0.91400000000000003</v>
      </c>
      <c r="IN25" s="102">
        <f>MIN(1,MAX(VLOOKUP(($AJ25-$AI25-$AH25-$AG25-$AF25-$AE25*(1+IN$3))/$AJ25,Уголь_коэфф!$A:$B,2,1),(IM25-0.05)))</f>
        <v>0.91400000000000003</v>
      </c>
      <c r="IO25" s="102">
        <f>MIN(1,MAX(VLOOKUP(($AJ25-$AI25-$AH25-$AG25-$AF25-$AE25*(1+IO$3))/$AJ25,Уголь_коэфф!$A:$B,2,1),(IN25-0.05)))</f>
        <v>0.91400000000000003</v>
      </c>
      <c r="IP25" s="102">
        <f>MIN(1,MAX(VLOOKUP(($AJ25-$AI25-$AH25-$AG25-$AF25-$AE25*(1+IP$3))/$AJ25,Уголь_коэфф!$A:$B,2,1),(IO25-0.05)))</f>
        <v>0.91400000000000003</v>
      </c>
      <c r="IQ25" s="102">
        <f>MIN(1,MAX(VLOOKUP(($AJ25-$AI25-$AH25-$AG25-$AF25-$AE25*(1+IQ$3))/$AJ25,Уголь_коэфф!$A:$B,2,1),(IP25-0.05)))</f>
        <v>0.90800000000000003</v>
      </c>
      <c r="IR25" s="102">
        <f>MIN(1,MAX(VLOOKUP(($AJ25-$AI25-$AH25-$AG25-$AF25-$AE25*(1+IR$3))/$AJ25,Уголь_коэфф!$A:$B,2,1),(IQ25-0.05)))</f>
        <v>0.90800000000000003</v>
      </c>
      <c r="IS25" s="102">
        <f t="shared" si="20"/>
        <v>1</v>
      </c>
      <c r="IT25" s="102">
        <f t="shared" si="7"/>
        <v>1</v>
      </c>
      <c r="IU25" s="110"/>
    </row>
    <row r="26" spans="1:255" ht="14.6" customHeight="1">
      <c r="A26" t="s">
        <v>241</v>
      </c>
      <c r="B26" s="157">
        <v>1</v>
      </c>
      <c r="C26" s="158" t="s">
        <v>16</v>
      </c>
      <c r="D26" s="159">
        <v>16112</v>
      </c>
      <c r="E26" s="159" t="s">
        <v>28</v>
      </c>
      <c r="F26" s="158" t="s">
        <v>18</v>
      </c>
      <c r="G26" s="158" t="s">
        <v>45</v>
      </c>
      <c r="H26" s="159" t="s">
        <v>34</v>
      </c>
      <c r="I26" s="158" t="s">
        <v>72</v>
      </c>
      <c r="J26" s="159" t="s">
        <v>55</v>
      </c>
      <c r="K26" s="159">
        <v>4598</v>
      </c>
      <c r="L26" s="159" t="s">
        <v>22</v>
      </c>
      <c r="M26" s="159" t="s">
        <v>23</v>
      </c>
      <c r="N26" s="159" t="s">
        <v>24</v>
      </c>
      <c r="O26" s="159" t="s">
        <v>36</v>
      </c>
      <c r="P26" s="164">
        <v>87470970</v>
      </c>
      <c r="Q26" s="160" t="s">
        <v>125</v>
      </c>
      <c r="R26" s="158" t="s">
        <v>124</v>
      </c>
      <c r="S26" s="161">
        <v>505459</v>
      </c>
      <c r="T26" s="162">
        <v>2324319541</v>
      </c>
      <c r="U26" s="162">
        <v>6990</v>
      </c>
      <c r="V26" s="162"/>
      <c r="W26" s="163">
        <v>965306586</v>
      </c>
      <c r="X26" s="105">
        <v>69</v>
      </c>
      <c r="Y26" s="105" t="s">
        <v>163</v>
      </c>
      <c r="Z26" s="107">
        <v>11</v>
      </c>
      <c r="AA26" s="107">
        <v>12</v>
      </c>
      <c r="AB26" s="107">
        <v>4</v>
      </c>
      <c r="AC26" s="88">
        <v>2192.58</v>
      </c>
      <c r="AD26" s="88">
        <v>993.42000000000007</v>
      </c>
      <c r="AE26" s="88">
        <f t="shared" si="28"/>
        <v>3186</v>
      </c>
      <c r="AF26" s="89">
        <f>'Цены,перевалка,аренда'!$C$27*SUM(Уголь_эластика_экспорт!Z26+Уголь_эластика_экспорт!AA26+Уголь_эластика_экспорт!AB26)/Уголь_эластика_экспорт!X26</f>
        <v>273.91304347826087</v>
      </c>
      <c r="AG26" s="90">
        <f>SUMIF('Цены,перевалка,аренда'!$A$20:$A$22,Уголь_эластика_экспорт!$O26,'Цены,перевалка,аренда'!$D$20:$D$22)</f>
        <v>991.97149999999988</v>
      </c>
      <c r="AH26" s="47"/>
      <c r="AI26" s="91">
        <v>2338</v>
      </c>
      <c r="AJ26" s="92">
        <f>SUMIF('Цены,перевалка,аренда'!$A$5:$A$17,Уголь_эластика_экспорт!A26,'Цены,перевалка,аренда'!$D$5:$D$17)</f>
        <v>7249.0224999999991</v>
      </c>
      <c r="AK26" s="47">
        <f>AJ26/'Цены,перевалка,аренда'!$C$1</f>
        <v>95</v>
      </c>
      <c r="AL26" s="47">
        <f t="shared" si="9"/>
        <v>4451.8845434782606</v>
      </c>
      <c r="AM26" s="47">
        <f t="shared" si="10"/>
        <v>2797.1379565217385</v>
      </c>
      <c r="AN26" s="47">
        <f t="shared" si="11"/>
        <v>6789.8845434782606</v>
      </c>
      <c r="AO26" s="93">
        <f t="shared" si="12"/>
        <v>6.3337913011269939E-2</v>
      </c>
      <c r="AP26" s="94">
        <f t="shared" si="13"/>
        <v>0.614135842933066</v>
      </c>
      <c r="AQ26" s="94">
        <f t="shared" si="5"/>
        <v>0.43950753360194433</v>
      </c>
      <c r="AR26" s="94">
        <f t="shared" si="6"/>
        <v>0.71565198263447682</v>
      </c>
      <c r="AS26" s="167">
        <f t="shared" si="14"/>
        <v>1</v>
      </c>
      <c r="AT26" s="173">
        <f t="shared" si="15"/>
        <v>505459</v>
      </c>
      <c r="AU26" s="97">
        <v>0.8</v>
      </c>
      <c r="AV26" s="93">
        <f t="shared" si="16"/>
        <v>1.0597008979036536E-2</v>
      </c>
      <c r="AW26" s="94">
        <f t="shared" si="17"/>
        <v>0.66687674696529942</v>
      </c>
      <c r="AX26" s="94">
        <f t="shared" si="18"/>
        <v>0.49224843763417764</v>
      </c>
      <c r="AY26" s="94">
        <f t="shared" si="19"/>
        <v>0.73814005342698141</v>
      </c>
      <c r="AZ26" s="102">
        <f>MIN(IF($AU26=100%,1,1+VLOOKUP(($AJ26-$AI26-$AH26-$AG26-$AF26-$AE26*(1+AZ$3))/$AJ26,Уголь_коэфф!$A:$B,2,1)-VLOOKUP($AO26,Уголь_коэфф!$A:$B,2,1)),1+(1-$AU26))</f>
        <v>1.1149999999999998</v>
      </c>
      <c r="BA26" s="102">
        <f>MIN(IF($AU26=100%,1,1+VLOOKUP(($AJ26-$AI26-$AH26-$AG26-$AF26-$AE26*(1+BA$3))/$AJ26,Уголь_коэфф!$A:$B,2,1)-VLOOKUP($AO26,Уголь_коэфф!$A:$B,2,1)),1+(1-$AU26))</f>
        <v>1.1149999999999998</v>
      </c>
      <c r="BB26" s="102">
        <f>MIN(IF($AU26=100%,1,1+VLOOKUP(($AJ26-$AI26-$AH26-$AG26-$AF26-$AE26*(1+BB$3))/$AJ26,Уголь_коэфф!$A:$B,2,1)-VLOOKUP($AO26,Уголь_коэфф!$A:$B,2,1)),1+(1-$AU26))</f>
        <v>1.109</v>
      </c>
      <c r="BC26" s="102">
        <f>MIN(IF($AU26=100%,1,1+VLOOKUP(($AJ26-$AI26-$AH26-$AG26-$AF26-$AE26*(1+BC$3))/$AJ26,Уголь_коэфф!$A:$B,2,1)-VLOOKUP($AO26,Уголь_коэфф!$A:$B,2,1)),1+(1-$AU26))</f>
        <v>1.109</v>
      </c>
      <c r="BD26" s="102">
        <f>MIN(IF($AU26=100%,1,1+VLOOKUP(($AJ26-$AI26-$AH26-$AG26-$AF26-$AE26*(1+BD$3))/$AJ26,Уголь_коэфф!$A:$B,2,1)-VLOOKUP($AO26,Уголь_коэфф!$A:$B,2,1)),1+(1-$AU26))</f>
        <v>1.109</v>
      </c>
      <c r="BE26" s="102">
        <f>MIN(IF($AU26=100%,1,1+VLOOKUP(($AJ26-$AI26-$AH26-$AG26-$AF26-$AE26*(1+BE$3))/$AJ26,Уголь_коэфф!$A:$B,2,1)-VLOOKUP($AO26,Уголь_коэфф!$A:$B,2,1)),1+(1-$AU26))</f>
        <v>1.109</v>
      </c>
      <c r="BF26" s="102">
        <f>MIN(IF($AU26=100%,1,1+VLOOKUP(($AJ26-$AI26-$AH26-$AG26-$AF26-$AE26*(1+BF$3))/$AJ26,Уголь_коэфф!$A:$B,2,1)-VLOOKUP($AO26,Уголь_коэфф!$A:$B,2,1)),1+(1-$AU26))</f>
        <v>1.1030000000000002</v>
      </c>
      <c r="BG26" s="102">
        <f>MIN(IF($AU26=100%,1,1+VLOOKUP(($AJ26-$AI26-$AH26-$AG26-$AF26-$AE26*(1+BG$3))/$AJ26,Уголь_коэфф!$A:$B,2,1)-VLOOKUP($AO26,Уголь_коэфф!$A:$B,2,1)),1+(1-$AU26))</f>
        <v>1.1030000000000002</v>
      </c>
      <c r="BH26" s="102">
        <f>MIN(IF($AU26=100%,1,1+VLOOKUP(($AJ26-$AI26-$AH26-$AG26-$AF26-$AE26*(1+BH$3))/$AJ26,Уголь_коэфф!$A:$B,2,1)-VLOOKUP($AO26,Уголь_коэфф!$A:$B,2,1)),1+(1-$AU26))</f>
        <v>1.1030000000000002</v>
      </c>
      <c r="BI26" s="102">
        <f>MIN(IF($AU26=100%,1,1+VLOOKUP(($AJ26-$AI26-$AH26-$AG26-$AF26-$AE26*(1+BI$3))/$AJ26,Уголь_коэфф!$A:$B,2,1)-VLOOKUP($AO26,Уголь_коэфф!$A:$B,2,1)),1+(1-$AU26))</f>
        <v>1.1030000000000002</v>
      </c>
      <c r="BJ26" s="102">
        <f>MIN(IF($AU26=100%,1,1+VLOOKUP(($AJ26-$AI26-$AH26-$AG26-$AF26-$AE26*(1+BJ$3))/$AJ26,Уголь_коэфф!$A:$B,2,1)-VLOOKUP($AO26,Уголь_коэфф!$A:$B,2,1)),1+(1-$AU26))</f>
        <v>1.1030000000000002</v>
      </c>
      <c r="BK26" s="102">
        <f>MIN(IF($AU26=100%,1,1+VLOOKUP(($AJ26-$AI26-$AH26-$AG26-$AF26-$AE26*(1+BK$3))/$AJ26,Уголь_коэфф!$A:$B,2,1)-VLOOKUP($AO26,Уголь_коэфф!$A:$B,2,1)),1+(1-$AU26))</f>
        <v>1.097</v>
      </c>
      <c r="BL26" s="102">
        <f>MIN(IF($AU26=100%,1,1+VLOOKUP(($AJ26-$AI26-$AH26-$AG26-$AF26-$AE26*(1+BL$3))/$AJ26,Уголь_коэфф!$A:$B,2,1)-VLOOKUP($AO26,Уголь_коэфф!$A:$B,2,1)),1+(1-$AU26))</f>
        <v>1.097</v>
      </c>
      <c r="BM26" s="102">
        <f>MIN(IF($AU26=100%,1,1+VLOOKUP(($AJ26-$AI26-$AH26-$AG26-$AF26-$AE26*(1+BM$3))/$AJ26,Уголь_коэфф!$A:$B,2,1)-VLOOKUP($AO26,Уголь_коэфф!$A:$B,2,1)),1+(1-$AU26))</f>
        <v>1.097</v>
      </c>
      <c r="BN26" s="102">
        <f>MIN(IF($AU26=100%,1,1+VLOOKUP(($AJ26-$AI26-$AH26-$AG26-$AF26-$AE26*(1+BN$3))/$AJ26,Уголь_коэфф!$A:$B,2,1)-VLOOKUP($AO26,Уголь_коэфф!$A:$B,2,1)),1+(1-$AU26))</f>
        <v>1.097</v>
      </c>
      <c r="BO26" s="102">
        <f>MIN(IF($AU26=100%,1,1+VLOOKUP(($AJ26-$AI26-$AH26-$AG26-$AF26-$AE26*(1+BO$3))/$AJ26,Уголь_коэфф!$A:$B,2,1)-VLOOKUP($AO26,Уголь_коэфф!$A:$B,2,1)),1+(1-$AU26))</f>
        <v>1.097</v>
      </c>
      <c r="BP26" s="102">
        <f>MIN(IF($AU26=100%,1,1+VLOOKUP(($AJ26-$AI26-$AH26-$AG26-$AF26-$AE26*(1+BP$3))/$AJ26,Уголь_коэфф!$A:$B,2,1)-VLOOKUP($AO26,Уголь_коэфф!$A:$B,2,1)),1+(1-$AU26))</f>
        <v>1.0910000000000002</v>
      </c>
      <c r="BQ26" s="102">
        <f>MIN(IF($AU26=100%,1,1+VLOOKUP(($AJ26-$AI26-$AH26-$AG26-$AF26-$AE26*(1+BQ$3))/$AJ26,Уголь_коэфф!$A:$B,2,1)-VLOOKUP($AO26,Уголь_коэфф!$A:$B,2,1)),1+(1-$AU26))</f>
        <v>1.0910000000000002</v>
      </c>
      <c r="BR26" s="102">
        <f>MIN(IF($AU26=100%,1,1+VLOOKUP(($AJ26-$AI26-$AH26-$AG26-$AF26-$AE26*(1+BR$3))/$AJ26,Уголь_коэфф!$A:$B,2,1)-VLOOKUP($AO26,Уголь_коэфф!$A:$B,2,1)),1+(1-$AU26))</f>
        <v>1.0910000000000002</v>
      </c>
      <c r="BS26" s="102">
        <f>MIN(IF($AU26=100%,1,1+VLOOKUP(($AJ26-$AI26-$AH26-$AG26-$AF26-$AE26*(1+BS$3))/$AJ26,Уголь_коэфф!$A:$B,2,1)-VLOOKUP($AO26,Уголь_коэфф!$A:$B,2,1)),1+(1-$AU26))</f>
        <v>1.0910000000000002</v>
      </c>
      <c r="BT26" s="102">
        <f>MIN(IF($AU26=100%,1,1+VLOOKUP(($AJ26-$AI26-$AH26-$AG26-$AF26-$AE26*(1+BT$3))/$AJ26,Уголь_коэфф!$A:$B,2,1)-VLOOKUP($AO26,Уголь_коэфф!$A:$B,2,1)),1+(1-$AU26))</f>
        <v>1.0850000000000004</v>
      </c>
      <c r="BU26" s="102">
        <f>MIN(IF($AU26=100%,1,1+VLOOKUP(($AJ26-$AI26-$AH26-$AG26-$AF26-$AE26*(1+BU$3))/$AJ26,Уголь_коэфф!$A:$B,2,1)-VLOOKUP($AO26,Уголь_коэфф!$A:$B,2,1)),1+(1-$AU26))</f>
        <v>1.0850000000000004</v>
      </c>
      <c r="BV26" s="102">
        <f>MIN(IF($AU26=100%,1,1+VLOOKUP(($AJ26-$AI26-$AH26-$AG26-$AF26-$AE26*(1+BV$3))/$AJ26,Уголь_коэфф!$A:$B,2,1)-VLOOKUP($AO26,Уголь_коэфф!$A:$B,2,1)),1+(1-$AU26))</f>
        <v>1.0850000000000004</v>
      </c>
      <c r="BW26" s="102">
        <f>MIN(IF($AU26=100%,1,1+VLOOKUP(($AJ26-$AI26-$AH26-$AG26-$AF26-$AE26*(1+BW$3))/$AJ26,Уголь_коэфф!$A:$B,2,1)-VLOOKUP($AO26,Уголь_коэфф!$A:$B,2,1)),1+(1-$AU26))</f>
        <v>1.0850000000000004</v>
      </c>
      <c r="BX26" s="102">
        <f>MIN(IF($AU26=100%,1,1+VLOOKUP(($AJ26-$AI26-$AH26-$AG26-$AF26-$AE26*(1+BX$3))/$AJ26,Уголь_коэфф!$A:$B,2,1)-VLOOKUP($AO26,Уголь_коэфф!$A:$B,2,1)),1+(1-$AU26))</f>
        <v>1.0850000000000004</v>
      </c>
      <c r="BY26" s="102">
        <f>MIN(IF($AU26=100%,1,1+VLOOKUP(($AJ26-$AI26-$AH26-$AG26-$AF26-$AE26*(1+BY$3))/$AJ26,Уголь_коэфф!$A:$B,2,1)-VLOOKUP($AO26,Уголь_коэфф!$A:$B,2,1)),1+(1-$AU26))</f>
        <v>1.0790000000000002</v>
      </c>
      <c r="BZ26" s="102">
        <f>MIN(IF($AU26=100%,1,1+VLOOKUP(($AJ26-$AI26-$AH26-$AG26-$AF26-$AE26*(1+BZ$3))/$AJ26,Уголь_коэфф!$A:$B,2,1)-VLOOKUP($AO26,Уголь_коэфф!$A:$B,2,1)),1+(1-$AU26))</f>
        <v>1.0790000000000002</v>
      </c>
      <c r="CA26" s="102">
        <f>MIN(IF($AU26=100%,1,1+VLOOKUP(($AJ26-$AI26-$AH26-$AG26-$AF26-$AE26*(1+CA$3))/$AJ26,Уголь_коэфф!$A:$B,2,1)-VLOOKUP($AO26,Уголь_коэфф!$A:$B,2,1)),1+(1-$AU26))</f>
        <v>1.0790000000000002</v>
      </c>
      <c r="CB26" s="102">
        <f>MIN(IF($AU26=100%,1,1+VLOOKUP(($AJ26-$AI26-$AH26-$AG26-$AF26-$AE26*(1+CB$3))/$AJ26,Уголь_коэфф!$A:$B,2,1)-VLOOKUP($AO26,Уголь_коэфф!$A:$B,2,1)),1+(1-$AU26))</f>
        <v>1.0790000000000002</v>
      </c>
      <c r="CC26" s="102">
        <f>MIN(IF($AU26=100%,1,1+VLOOKUP(($AJ26-$AI26-$AH26-$AG26-$AF26-$AE26*(1+CC$3))/$AJ26,Уголь_коэфф!$A:$B,2,1)-VLOOKUP($AO26,Уголь_коэфф!$A:$B,2,1)),1+(1-$AU26))</f>
        <v>1.073</v>
      </c>
      <c r="CD26" s="102">
        <f>MIN(IF($AU26=100%,1,1+VLOOKUP(($AJ26-$AI26-$AH26-$AG26-$AF26-$AE26*(1+CD$3))/$AJ26,Уголь_коэфф!$A:$B,2,1)-VLOOKUP($AO26,Уголь_коэфф!$A:$B,2,1)),1+(1-$AU26))</f>
        <v>1.073</v>
      </c>
      <c r="CE26" s="102">
        <f>MIN(IF($AU26=100%,1,1+VLOOKUP(($AJ26-$AI26-$AH26-$AG26-$AF26-$AE26*(1+CE$3))/$AJ26,Уголь_коэфф!$A:$B,2,1)-VLOOKUP($AO26,Уголь_коэфф!$A:$B,2,1)),1+(1-$AU26))</f>
        <v>1.073</v>
      </c>
      <c r="CF26" s="102">
        <f>MIN(IF($AU26=100%,1,1+VLOOKUP(($AJ26-$AI26-$AH26-$AG26-$AF26-$AE26*(1+CF$3))/$AJ26,Уголь_коэфф!$A:$B,2,1)-VLOOKUP($AO26,Уголь_коэфф!$A:$B,2,1)),1+(1-$AU26))</f>
        <v>1.073</v>
      </c>
      <c r="CG26" s="102">
        <f>MIN(IF($AU26=100%,1,1+VLOOKUP(($AJ26-$AI26-$AH26-$AG26-$AF26-$AE26*(1+CG$3))/$AJ26,Уголь_коэфф!$A:$B,2,1)-VLOOKUP($AO26,Уголь_коэфф!$A:$B,2,1)),1+(1-$AU26))</f>
        <v>1.073</v>
      </c>
      <c r="CH26" s="102">
        <f>MIN(IF($AU26=100%,1,1+VLOOKUP(($AJ26-$AI26-$AH26-$AG26-$AF26-$AE26*(1+CH$3))/$AJ26,Уголь_коэфф!$A:$B,2,1)-VLOOKUP($AO26,Уголь_коэфф!$A:$B,2,1)),1+(1-$AU26))</f>
        <v>1.0670000000000002</v>
      </c>
      <c r="CI26" s="102">
        <f>MIN(IF($AU26=100%,1,1+VLOOKUP(($AJ26-$AI26-$AH26-$AG26-$AF26-$AE26*(1+CI$3))/$AJ26,Уголь_коэфф!$A:$B,2,1)-VLOOKUP($AO26,Уголь_коэфф!$A:$B,2,1)),1+(1-$AU26))</f>
        <v>1.0670000000000002</v>
      </c>
      <c r="CJ26" s="102">
        <f>MIN(IF($AU26=100%,1,1+VLOOKUP(($AJ26-$AI26-$AH26-$AG26-$AF26-$AE26*(1+CJ$3))/$AJ26,Уголь_коэфф!$A:$B,2,1)-VLOOKUP($AO26,Уголь_коэфф!$A:$B,2,1)),1+(1-$AU26))</f>
        <v>1.0670000000000002</v>
      </c>
      <c r="CK26" s="102">
        <f>MIN(IF($AU26=100%,1,1+VLOOKUP(($AJ26-$AI26-$AH26-$AG26-$AF26-$AE26*(1+CK$3))/$AJ26,Уголь_коэфф!$A:$B,2,1)-VLOOKUP($AO26,Уголь_коэфф!$A:$B,2,1)),1+(1-$AU26))</f>
        <v>1.0670000000000002</v>
      </c>
      <c r="CL26" s="102">
        <f>MIN(IF($AU26=100%,1,1+VLOOKUP(($AJ26-$AI26-$AH26-$AG26-$AF26-$AE26*(1+CL$3))/$AJ26,Уголь_коэфф!$A:$B,2,1)-VLOOKUP($AO26,Уголь_коэфф!$A:$B,2,1)),1+(1-$AU26))</f>
        <v>1.0610000000000004</v>
      </c>
      <c r="CM26" s="102">
        <f>MIN(IF($AU26=100%,1,1+VLOOKUP(($AJ26-$AI26-$AH26-$AG26-$AF26-$AE26*(1+CM$3))/$AJ26,Уголь_коэфф!$A:$B,2,1)-VLOOKUP($AO26,Уголь_коэфф!$A:$B,2,1)),1+(1-$AU26))</f>
        <v>1.0610000000000004</v>
      </c>
      <c r="CN26" s="102">
        <f>MIN(IF($AU26=100%,1,1+VLOOKUP(($AJ26-$AI26-$AH26-$AG26-$AF26-$AE26*(1+CN$3))/$AJ26,Уголь_коэфф!$A:$B,2,1)-VLOOKUP($AO26,Уголь_коэфф!$A:$B,2,1)),1+(1-$AU26))</f>
        <v>1.0610000000000004</v>
      </c>
      <c r="CO26" s="102">
        <f>MIN(IF($AU26=100%,1,1+VLOOKUP(($AJ26-$AI26-$AH26-$AG26-$AF26-$AE26*(1+CO$3))/$AJ26,Уголь_коэфф!$A:$B,2,1)-VLOOKUP($AO26,Уголь_коэфф!$A:$B,2,1)),1+(1-$AU26))</f>
        <v>1.0610000000000004</v>
      </c>
      <c r="CP26" s="102">
        <f>MIN(IF($AU26=100%,1,1+VLOOKUP(($AJ26-$AI26-$AH26-$AG26-$AF26-$AE26*(1+CP$3))/$AJ26,Уголь_коэфф!$A:$B,2,1)-VLOOKUP($AO26,Уголь_коэфф!$A:$B,2,1)),1+(1-$AU26))</f>
        <v>1.0610000000000004</v>
      </c>
      <c r="CQ26" s="102">
        <f>MIN(IF($AU26=100%,1,1+VLOOKUP(($AJ26-$AI26-$AH26-$AG26-$AF26-$AE26*(1+CQ$3))/$AJ26,Уголь_коэфф!$A:$B,2,1)-VLOOKUP($AO26,Уголь_коэфф!$A:$B,2,1)),1+(1-$AU26))</f>
        <v>1.0550000000000002</v>
      </c>
      <c r="CR26" s="102">
        <f>MIN(IF($AU26=100%,1,1+VLOOKUP(($AJ26-$AI26-$AH26-$AG26-$AF26-$AE26*(1+CR$3))/$AJ26,Уголь_коэфф!$A:$B,2,1)-VLOOKUP($AO26,Уголь_коэфф!$A:$B,2,1)),1+(1-$AU26))</f>
        <v>1.0550000000000002</v>
      </c>
      <c r="CS26" s="102">
        <f>MIN(IF($AU26=100%,1,1+VLOOKUP(($AJ26-$AI26-$AH26-$AG26-$AF26-$AE26*(1+CS$3))/$AJ26,Уголь_коэфф!$A:$B,2,1)-VLOOKUP($AO26,Уголь_коэфф!$A:$B,2,1)),1+(1-$AU26))</f>
        <v>1.0550000000000002</v>
      </c>
      <c r="CT26" s="102">
        <f>MIN(IF($AU26=100%,1,1+VLOOKUP(($AJ26-$AI26-$AH26-$AG26-$AF26-$AE26*(1+CT$3))/$AJ26,Уголь_коэфф!$A:$B,2,1)-VLOOKUP($AO26,Уголь_коэфф!$A:$B,2,1)),1+(1-$AU26))</f>
        <v>1.0550000000000002</v>
      </c>
      <c r="CU26" s="102">
        <f>MIN(IF($AU26=100%,1,1+VLOOKUP(($AJ26-$AI26-$AH26-$AG26-$AF26-$AE26*(1+CU$3))/$AJ26,Уголь_коэфф!$A:$B,2,1)-VLOOKUP($AO26,Уголь_коэфф!$A:$B,2,1)),1+(1-$AU26))</f>
        <v>1.0500000000000003</v>
      </c>
      <c r="CV26" s="102">
        <f>MIN(IF($AU26=100%,1,1+VLOOKUP(($AJ26-$AI26-$AH26-$AG26-$AF26-$AE26*(1+CV$3))/$AJ26,Уголь_коэфф!$A:$B,2,1)-VLOOKUP($AO26,Уголь_коэфф!$A:$B,2,1)),1+(1-$AU26))</f>
        <v>1.0500000000000003</v>
      </c>
      <c r="CW26" s="102">
        <f>MIN(IF($AU26=100%,1,1+VLOOKUP(($AJ26-$AI26-$AH26-$AG26-$AF26-$AE26*(1+CW$3))/$AJ26,Уголь_коэфф!$A:$B,2,1)-VLOOKUP($AO26,Уголь_коэфф!$A:$B,2,1)),1+(1-$AU26))</f>
        <v>1.0500000000000003</v>
      </c>
      <c r="CX26" s="102">
        <f>MIN(IF($AU26=100%,1,1+VLOOKUP(($AJ26-$AI26-$AH26-$AG26-$AF26-$AE26*(1+CX$3))/$AJ26,Уголь_коэфф!$A:$B,2,1)-VLOOKUP($AO26,Уголь_коэфф!$A:$B,2,1)),1+(1-$AU26))</f>
        <v>1.0500000000000003</v>
      </c>
      <c r="CY26" s="102">
        <f>MIN(IF($AU26=100%,1,1+VLOOKUP(($AJ26-$AI26-$AH26-$AG26-$AF26-$AE26*(1+CY$3))/$AJ26,Уголь_коэфф!$A:$B,2,1)-VLOOKUP($AO26,Уголь_коэфф!$A:$B,2,1)),1+(1-$AU26))</f>
        <v>1.0500000000000003</v>
      </c>
      <c r="CZ26" s="102">
        <f>MIN(IF($AU26=100%,1,1+VLOOKUP(($AJ26-$AI26-$AH26-$AG26-$AF26-$AE26*(1+CZ$3))/$AJ26,Уголь_коэфф!$A:$B,2,1)-VLOOKUP($AO26,Уголь_коэфф!$A:$B,2,1)),1+(1-$AU26))</f>
        <v>1.0450000000000004</v>
      </c>
      <c r="DA26" s="102">
        <f>MIN(IF($AU26=100%,1,1+VLOOKUP(($AJ26-$AI26-$AH26-$AG26-$AF26-$AE26*(1+DA$3))/$AJ26,Уголь_коэфф!$A:$B,2,1)-VLOOKUP($AO26,Уголь_коэфф!$A:$B,2,1)),1+(1-$AU26))</f>
        <v>1.0450000000000004</v>
      </c>
      <c r="DB26" s="102">
        <f>MIN(IF($AU26=100%,1,1+VLOOKUP(($AJ26-$AI26-$AH26-$AG26-$AF26-$AE26*(1+DB$3))/$AJ26,Уголь_коэфф!$A:$B,2,1)-VLOOKUP($AO26,Уголь_коэфф!$A:$B,2,1)),1+(1-$AU26))</f>
        <v>1.0450000000000004</v>
      </c>
      <c r="DC26" s="102">
        <f>MIN(IF($AU26=100%,1,1+VLOOKUP(($AJ26-$AI26-$AH26-$AG26-$AF26-$AE26*(1+DC$3))/$AJ26,Уголь_коэфф!$A:$B,2,1)-VLOOKUP($AO26,Уголь_коэфф!$A:$B,2,1)),1+(1-$AU26))</f>
        <v>1.0450000000000004</v>
      </c>
      <c r="DD26" s="102">
        <f>MIN(IF($AU26=100%,1,1+VLOOKUP(($AJ26-$AI26-$AH26-$AG26-$AF26-$AE26*(1+DD$3))/$AJ26,Уголь_коэфф!$A:$B,2,1)-VLOOKUP($AO26,Уголь_коэфф!$A:$B,2,1)),1+(1-$AU26))</f>
        <v>1.0450000000000004</v>
      </c>
      <c r="DE26" s="102">
        <f>MIN(IF($AU26=100%,1,1+VLOOKUP(($AJ26-$AI26-$AH26-$AG26-$AF26-$AE26*(1+DE$3))/$AJ26,Уголь_коэфф!$A:$B,2,1)-VLOOKUP($AO26,Уголь_коэфф!$A:$B,2,1)),1+(1-$AU26))</f>
        <v>1.04</v>
      </c>
      <c r="DF26" s="102">
        <f>MIN(IF($AU26=100%,1,1+VLOOKUP(($AJ26-$AI26-$AH26-$AG26-$AF26-$AE26*(1+DF$3))/$AJ26,Уголь_коэфф!$A:$B,2,1)-VLOOKUP($AO26,Уголь_коэфф!$A:$B,2,1)),1+(1-$AU26))</f>
        <v>1.04</v>
      </c>
      <c r="DG26" s="102">
        <f>MIN(IF($AU26=100%,1,1+VLOOKUP(($AJ26-$AI26-$AH26-$AG26-$AF26-$AE26*(1+DG$3))/$AJ26,Уголь_коэфф!$A:$B,2,1)-VLOOKUP($AO26,Уголь_коэфф!$A:$B,2,1)),1+(1-$AU26))</f>
        <v>1.04</v>
      </c>
      <c r="DH26" s="102">
        <f>MIN(IF($AU26=100%,1,1+VLOOKUP(($AJ26-$AI26-$AH26-$AG26-$AF26-$AE26*(1+DH$3))/$AJ26,Уголь_коэфф!$A:$B,2,1)-VLOOKUP($AO26,Уголь_коэфф!$A:$B,2,1)),1+(1-$AU26))</f>
        <v>1.04</v>
      </c>
      <c r="DI26" s="102">
        <f>MIN(IF($AU26=100%,1,1+VLOOKUP(($AJ26-$AI26-$AH26-$AG26-$AF26-$AE26*(1+DI$3))/$AJ26,Уголь_коэфф!$A:$B,2,1)-VLOOKUP($AO26,Уголь_коэфф!$A:$B,2,1)),1+(1-$AU26))</f>
        <v>1.0350000000000001</v>
      </c>
      <c r="DJ26" s="102">
        <f>MIN(IF($AU26=100%,1,1+VLOOKUP(($AJ26-$AI26-$AH26-$AG26-$AF26-$AE26*(1+DJ$3))/$AJ26,Уголь_коэфф!$A:$B,2,1)-VLOOKUP($AO26,Уголь_коэфф!$A:$B,2,1)),1+(1-$AU26))</f>
        <v>1.0350000000000001</v>
      </c>
      <c r="DK26" s="102">
        <f>MIN(IF($AU26=100%,1,1+VLOOKUP(($AJ26-$AI26-$AH26-$AG26-$AF26-$AE26*(1+DK$3))/$AJ26,Уголь_коэфф!$A:$B,2,1)-VLOOKUP($AO26,Уголь_коэфф!$A:$B,2,1)),1+(1-$AU26))</f>
        <v>1.0350000000000001</v>
      </c>
      <c r="DL26" s="102">
        <f>MIN(IF($AU26=100%,1,1+VLOOKUP(($AJ26-$AI26-$AH26-$AG26-$AF26-$AE26*(1+DL$3))/$AJ26,Уголь_коэфф!$A:$B,2,1)-VLOOKUP($AO26,Уголь_коэфф!$A:$B,2,1)),1+(1-$AU26))</f>
        <v>1.0350000000000001</v>
      </c>
      <c r="DM26" s="102">
        <f>MIN(IF($AU26=100%,1,1+VLOOKUP(($AJ26-$AI26-$AH26-$AG26-$AF26-$AE26*(1+DM$3))/$AJ26,Уголь_коэфф!$A:$B,2,1)-VLOOKUP($AO26,Уголь_коэфф!$A:$B,2,1)),1+(1-$AU26))</f>
        <v>1.0350000000000001</v>
      </c>
      <c r="DN26" s="102">
        <f>MIN(IF($AU26=100%,1,1+VLOOKUP(($AJ26-$AI26-$AH26-$AG26-$AF26-$AE26*(1+DN$3))/$AJ26,Уголь_коэфф!$A:$B,2,1)-VLOOKUP($AO26,Уголь_коэфф!$A:$B,2,1)),1+(1-$AU26))</f>
        <v>1.0299999999999998</v>
      </c>
      <c r="DO26" s="102">
        <f>MIN(IF($AU26=100%,1,1+VLOOKUP(($AJ26-$AI26-$AH26-$AG26-$AF26-$AE26*(1+DO$3))/$AJ26,Уголь_коэфф!$A:$B,2,1)-VLOOKUP($AO26,Уголь_коэфф!$A:$B,2,1)),1+(1-$AU26))</f>
        <v>1.0299999999999998</v>
      </c>
      <c r="DP26" s="102">
        <f>MIN(IF($AU26=100%,1,1+VLOOKUP(($AJ26-$AI26-$AH26-$AG26-$AF26-$AE26*(1+DP$3))/$AJ26,Уголь_коэфф!$A:$B,2,1)-VLOOKUP($AO26,Уголь_коэфф!$A:$B,2,1)),1+(1-$AU26))</f>
        <v>1.0299999999999998</v>
      </c>
      <c r="DQ26" s="102">
        <f>MIN(IF($AU26=100%,1,1+VLOOKUP(($AJ26-$AI26-$AH26-$AG26-$AF26-$AE26*(1+DQ$3))/$AJ26,Уголь_коэфф!$A:$B,2,1)-VLOOKUP($AO26,Уголь_коэфф!$A:$B,2,1)),1+(1-$AU26))</f>
        <v>1.0299999999999998</v>
      </c>
      <c r="DR26" s="102">
        <f>MIN(IF($AU26=100%,1,1+VLOOKUP(($AJ26-$AI26-$AH26-$AG26-$AF26-$AE26*(1+DR$3))/$AJ26,Уголь_коэфф!$A:$B,2,1)-VLOOKUP($AO26,Уголь_коэфф!$A:$B,2,1)),1+(1-$AU26))</f>
        <v>1.0249999999999999</v>
      </c>
      <c r="DS26" s="102">
        <f>MIN(IF($AU26=100%,1,1+VLOOKUP(($AJ26-$AI26-$AH26-$AG26-$AF26-$AE26*(1+DS$3))/$AJ26,Уголь_коэфф!$A:$B,2,1)-VLOOKUP($AO26,Уголь_коэфф!$A:$B,2,1)),1+(1-$AU26))</f>
        <v>1.0249999999999999</v>
      </c>
      <c r="DT26" s="102">
        <f>MIN(IF($AU26=100%,1,1+VLOOKUP(($AJ26-$AI26-$AH26-$AG26-$AF26-$AE26*(1+DT$3))/$AJ26,Уголь_коэфф!$A:$B,2,1)-VLOOKUP($AO26,Уголь_коэфф!$A:$B,2,1)),1+(1-$AU26))</f>
        <v>1.0249999999999999</v>
      </c>
      <c r="DU26" s="102">
        <f>MIN(IF($AU26=100%,1,1+VLOOKUP(($AJ26-$AI26-$AH26-$AG26-$AF26-$AE26*(1+DU$3))/$AJ26,Уголь_коэфф!$A:$B,2,1)-VLOOKUP($AO26,Уголь_коэфф!$A:$B,2,1)),1+(1-$AU26))</f>
        <v>1.0249999999999999</v>
      </c>
      <c r="DV26" s="102">
        <f>MIN(IF($AU26=100%,1,1+VLOOKUP(($AJ26-$AI26-$AH26-$AG26-$AF26-$AE26*(1+DV$3))/$AJ26,Уголь_коэфф!$A:$B,2,1)-VLOOKUP($AO26,Уголь_коэфф!$A:$B,2,1)),1+(1-$AU26))</f>
        <v>1.0249999999999999</v>
      </c>
      <c r="DW26" s="102">
        <f>MIN(IF($AU26=100%,1,1+VLOOKUP(($AJ26-$AI26-$AH26-$AG26-$AF26-$AE26*(1+DW$3))/$AJ26,Уголь_коэфф!$A:$B,2,1)-VLOOKUP($AO26,Уголь_коэфф!$A:$B,2,1)),1+(1-$AU26))</f>
        <v>1.02</v>
      </c>
      <c r="DX26" s="102">
        <f>MIN(IF($AU26=100%,1,1+VLOOKUP(($AJ26-$AI26-$AH26-$AG26-$AF26-$AE26*(1+DX$3))/$AJ26,Уголь_коэфф!$A:$B,2,1)-VLOOKUP($AO26,Уголь_коэфф!$A:$B,2,1)),1+(1-$AU26))</f>
        <v>1.02</v>
      </c>
      <c r="DY26" s="102">
        <f>MIN(IF($AU26=100%,1,1+VLOOKUP(($AJ26-$AI26-$AH26-$AG26-$AF26-$AE26*(1+DY$3))/$AJ26,Уголь_коэфф!$A:$B,2,1)-VLOOKUP($AO26,Уголь_коэфф!$A:$B,2,1)),1+(1-$AU26))</f>
        <v>1.02</v>
      </c>
      <c r="DZ26" s="102">
        <f>MIN(IF($AU26=100%,1,1+VLOOKUP(($AJ26-$AI26-$AH26-$AG26-$AF26-$AE26*(1+DZ$3))/$AJ26,Уголь_коэфф!$A:$B,2,1)-VLOOKUP($AO26,Уголь_коэфф!$A:$B,2,1)),1+(1-$AU26))</f>
        <v>1.02</v>
      </c>
      <c r="EA26" s="102">
        <f>MIN(IF($AU26=100%,1,1+VLOOKUP(($AJ26-$AI26-$AH26-$AG26-$AF26-$AE26*(1+EA$3))/$AJ26,Уголь_коэфф!$A:$B,2,1)-VLOOKUP($AO26,Уголь_коэфф!$A:$B,2,1)),1+(1-$AU26))</f>
        <v>1.0150000000000001</v>
      </c>
      <c r="EB26" s="102">
        <f>MIN(IF($AU26=100%,1,1+VLOOKUP(($AJ26-$AI26-$AH26-$AG26-$AF26-$AE26*(1+EB$3))/$AJ26,Уголь_коэфф!$A:$B,2,1)-VLOOKUP($AO26,Уголь_коэфф!$A:$B,2,1)),1+(1-$AU26))</f>
        <v>1.0150000000000001</v>
      </c>
      <c r="EC26" s="102">
        <f>MIN(IF($AU26=100%,1,1+VLOOKUP(($AJ26-$AI26-$AH26-$AG26-$AF26-$AE26*(1+EC$3))/$AJ26,Уголь_коэфф!$A:$B,2,1)-VLOOKUP($AO26,Уголь_коэфф!$A:$B,2,1)),1+(1-$AU26))</f>
        <v>1.0150000000000001</v>
      </c>
      <c r="ED26" s="102">
        <f>MIN(IF($AU26=100%,1,1+VLOOKUP(($AJ26-$AI26-$AH26-$AG26-$AF26-$AE26*(1+ED$3))/$AJ26,Уголь_коэфф!$A:$B,2,1)-VLOOKUP($AO26,Уголь_коэфф!$A:$B,2,1)),1+(1-$AU26))</f>
        <v>1.0150000000000001</v>
      </c>
      <c r="EE26" s="102">
        <f>MIN(IF($AU26=100%,1,1+VLOOKUP(($AJ26-$AI26-$AH26-$AG26-$AF26-$AE26*(1+EE$3))/$AJ26,Уголь_коэфф!$A:$B,2,1)-VLOOKUP($AO26,Уголь_коэфф!$A:$B,2,1)),1+(1-$AU26))</f>
        <v>1.0150000000000001</v>
      </c>
      <c r="EF26" s="102">
        <f>MIN(IF($AU26=100%,1,1+VLOOKUP(($AJ26-$AI26-$AH26-$AG26-$AF26-$AE26*(1+EF$3))/$AJ26,Уголь_коэфф!$A:$B,2,1)-VLOOKUP($AO26,Уголь_коэфф!$A:$B,2,1)),1+(1-$AU26))</f>
        <v>1.0100000000000002</v>
      </c>
      <c r="EG26" s="102">
        <f>MIN(IF($AU26=100%,1,1+VLOOKUP(($AJ26-$AI26-$AH26-$AG26-$AF26-$AE26*(1+EG$3))/$AJ26,Уголь_коэфф!$A:$B,2,1)-VLOOKUP($AO26,Уголь_коэфф!$A:$B,2,1)),1+(1-$AU26))</f>
        <v>1.0100000000000002</v>
      </c>
      <c r="EH26" s="102">
        <f>MIN(IF($AU26=100%,1,1+VLOOKUP(($AJ26-$AI26-$AH26-$AG26-$AF26-$AE26*(1+EH$3))/$AJ26,Уголь_коэфф!$A:$B,2,1)-VLOOKUP($AO26,Уголь_коэфф!$A:$B,2,1)),1+(1-$AU26))</f>
        <v>1.0100000000000002</v>
      </c>
      <c r="EI26" s="102">
        <f>MIN(IF($AU26=100%,1,1+VLOOKUP(($AJ26-$AI26-$AH26-$AG26-$AF26-$AE26*(1+EI$3))/$AJ26,Уголь_коэфф!$A:$B,2,1)-VLOOKUP($AO26,Уголь_коэфф!$A:$B,2,1)),1+(1-$AU26))</f>
        <v>1.0100000000000002</v>
      </c>
      <c r="EJ26" s="102">
        <f>MIN(IF($AU26=100%,1,1+VLOOKUP(($AJ26-$AI26-$AH26-$AG26-$AF26-$AE26*(1+EJ$3))/$AJ26,Уголь_коэфф!$A:$B,2,1)-VLOOKUP($AO26,Уголь_коэфф!$A:$B,2,1)),1+(1-$AU26))</f>
        <v>1.0050000000000003</v>
      </c>
      <c r="EK26" s="102">
        <f>MIN(IF($AU26=100%,1,1+VLOOKUP(($AJ26-$AI26-$AH26-$AG26-$AF26-$AE26*(1+EK$3))/$AJ26,Уголь_коэфф!$A:$B,2,1)-VLOOKUP($AO26,Уголь_коэфф!$A:$B,2,1)),1+(1-$AU26))</f>
        <v>1.0050000000000003</v>
      </c>
      <c r="EL26" s="102">
        <f>MIN(IF($AU26=100%,1,1+VLOOKUP(($AJ26-$AI26-$AH26-$AG26-$AF26-$AE26*(1+EL$3))/$AJ26,Уголь_коэфф!$A:$B,2,1)-VLOOKUP($AO26,Уголь_коэфф!$A:$B,2,1)),1+(1-$AU26))</f>
        <v>1.0050000000000003</v>
      </c>
      <c r="EM26" s="102">
        <f>MIN(IF($AU26=100%,1,1+VLOOKUP(($AJ26-$AI26-$AH26-$AG26-$AF26-$AE26*(1+EM$3))/$AJ26,Уголь_коэфф!$A:$B,2,1)-VLOOKUP($AO26,Уголь_коэфф!$A:$B,2,1)),1+(1-$AU26))</f>
        <v>1.0050000000000003</v>
      </c>
      <c r="EN26" s="102">
        <f>MIN(IF($AU26=100%,1,1+VLOOKUP(($AJ26-$AI26-$AH26-$AG26-$AF26-$AE26*(1+EN$3))/$AJ26,Уголь_коэфф!$A:$B,2,1)-VLOOKUP($AO26,Уголь_коэфф!$A:$B,2,1)),1+(1-$AU26))</f>
        <v>1.0050000000000003</v>
      </c>
      <c r="EO26" s="102">
        <f>MIN(IF($AU26=100%,1,1+VLOOKUP(($AJ26-$AI26-$AH26-$AG26-$AF26-$AE26*(1+EO$3))/$AJ26,Уголь_коэфф!$A:$B,2,1)-VLOOKUP($AO26,Уголь_коэфф!$A:$B,2,1)),1+(1-$AU26))</f>
        <v>1</v>
      </c>
      <c r="EP26" s="102">
        <f>MIN(IF($AU26=100%,1,1+VLOOKUP(($AJ26-$AI26-$AH26-$AG26-$AF26-$AE26*(1+EP$3))/$AJ26,Уголь_коэфф!$A:$B,2,1)-VLOOKUP($AO26,Уголь_коэфф!$A:$B,2,1)),1+(1-$AU26))</f>
        <v>1</v>
      </c>
      <c r="EQ26" s="102">
        <f>MIN(IF($AU26=100%,1,1+VLOOKUP(($AJ26-$AI26-$AH26-$AG26-$AF26-$AE26*(1+EQ$3))/$AJ26,Уголь_коэфф!$A:$B,2,1)-VLOOKUP($AO26,Уголь_коэфф!$A:$B,2,1)),1+(1-$AU26))</f>
        <v>1</v>
      </c>
      <c r="ER26" s="102">
        <f>MIN(IF($AU26=100%,1,1+VLOOKUP(($AJ26-$AI26-$AH26-$AG26-$AF26-$AE26*(1+ER$3))/$AJ26,Уголь_коэфф!$A:$B,2,1)-VLOOKUP($AO26,Уголь_коэфф!$A:$B,2,1)),1+(1-$AU26))</f>
        <v>1</v>
      </c>
      <c r="ES26" s="102">
        <f>MIN(IF($AU26=100%,1,1+VLOOKUP(($AJ26-$AI26-$AH26-$AG26-$AF26-$AE26*(1+ES$3))/$AJ26,Уголь_коэфф!$A:$B,2,1)-VLOOKUP($AO26,Уголь_коэфф!$A:$B,2,1)),1+(1-$AU26))</f>
        <v>1</v>
      </c>
      <c r="ET26" s="102">
        <f>MIN(IF($AU26=100%,1,1+VLOOKUP(($AJ26-$AI26-$AH26-$AG26-$AF26-$AE26*(1+ET$3))/$AJ26,Уголь_коэфф!$A:$B,2,1)-VLOOKUP($AO26,Уголь_коэфф!$A:$B,2,1)),1+(1-$AU26))</f>
        <v>1</v>
      </c>
      <c r="EU26" s="102">
        <f>MIN(IF($AU26=100%,1,1+VLOOKUP(($AJ26-$AI26-$AH26-$AG26-$AF26-$AE26*(1+EU$3))/$AJ26,Уголь_коэфф!$A:$B,2,1)-VLOOKUP($AO26,Уголь_коэфф!$A:$B,2,1)),1+(1-$AU26))</f>
        <v>1</v>
      </c>
      <c r="EV26" s="103">
        <v>1</v>
      </c>
      <c r="EW26" s="102">
        <f>MIN(1,MAX(VLOOKUP(($AJ26-$AI26-$AH26-$AG26-$AF26-$AE26*(1+EW$3))/$AJ26,Уголь_коэфф!$A:$B,2,1),(EV26-0.05)))</f>
        <v>1</v>
      </c>
      <c r="EX26" s="102">
        <f>MIN(1,MAX(VLOOKUP(($AJ26-$AI26-$AH26-$AG26-$AF26-$AE26*(1+EX$3))/$AJ26,Уголь_коэфф!$A:$B,2,1),(EW26-0.05)))</f>
        <v>1</v>
      </c>
      <c r="EY26" s="102">
        <f>MIN(1,MAX(VLOOKUP(($AJ26-$AI26-$AH26-$AG26-$AF26-$AE26*(1+EY$3))/$AJ26,Уголь_коэфф!$A:$B,2,1),(EX26-0.05)))</f>
        <v>1</v>
      </c>
      <c r="EZ26" s="102">
        <f>MIN(1,MAX(VLOOKUP(($AJ26-$AI26-$AH26-$AG26-$AF26-$AE26*(1+EZ$3))/$AJ26,Уголь_коэфф!$A:$B,2,1),(EY26-0.05)))</f>
        <v>1</v>
      </c>
      <c r="FA26" s="102">
        <f>MIN(1,MAX(VLOOKUP(($AJ26-$AI26-$AH26-$AG26-$AF26-$AE26*(1+FA$3))/$AJ26,Уголь_коэфф!$A:$B,2,1),(EZ26-0.05)))</f>
        <v>1</v>
      </c>
      <c r="FB26" s="102">
        <f>MIN(1,MAX(VLOOKUP(($AJ26-$AI26-$AH26-$AG26-$AF26-$AE26*(1+FB$3))/$AJ26,Уголь_коэфф!$A:$B,2,1),(FA26-0.05)))</f>
        <v>1</v>
      </c>
      <c r="FC26" s="102">
        <f>MIN(1,MAX(VLOOKUP(($AJ26-$AI26-$AH26-$AG26-$AF26-$AE26*(1+FC$3))/$AJ26,Уголь_коэфф!$A:$B,2,1),(FB26-0.05)))</f>
        <v>1</v>
      </c>
      <c r="FD26" s="102">
        <f>MIN(1,MAX(VLOOKUP(($AJ26-$AI26-$AH26-$AG26-$AF26-$AE26*(1+FD$3))/$AJ26,Уголь_коэфф!$A:$B,2,1),(FC26-0.05)))</f>
        <v>1</v>
      </c>
      <c r="FE26" s="102">
        <f>MIN(1,MAX(VLOOKUP(($AJ26-$AI26-$AH26-$AG26-$AF26-$AE26*(1+FE$3))/$AJ26,Уголь_коэфф!$A:$B,2,1),(FD26-0.05)))</f>
        <v>1</v>
      </c>
      <c r="FF26" s="102">
        <f>MIN(1,MAX(VLOOKUP(($AJ26-$AI26-$AH26-$AG26-$AF26-$AE26*(1+FF$3))/$AJ26,Уголь_коэфф!$A:$B,2,1),(FE26-0.05)))</f>
        <v>1</v>
      </c>
      <c r="FG26" s="102">
        <f>MIN(1,MAX(VLOOKUP(($AJ26-$AI26-$AH26-$AG26-$AF26-$AE26*(1+FG$3))/$AJ26,Уголь_коэфф!$A:$B,2,1),(FF26-0.05)))</f>
        <v>1</v>
      </c>
      <c r="FH26" s="102">
        <f>MIN(1,MAX(VLOOKUP(($AJ26-$AI26-$AH26-$AG26-$AF26-$AE26*(1+FH$3))/$AJ26,Уголь_коэфф!$A:$B,2,1),(FG26-0.05)))</f>
        <v>1</v>
      </c>
      <c r="FI26" s="102">
        <f>MIN(1,MAX(VLOOKUP(($AJ26-$AI26-$AH26-$AG26-$AF26-$AE26*(1+FI$3))/$AJ26,Уголь_коэфф!$A:$B,2,1),(FH26-0.05)))</f>
        <v>1</v>
      </c>
      <c r="FJ26" s="102">
        <f>MIN(1,MAX(VLOOKUP(($AJ26-$AI26-$AH26-$AG26-$AF26-$AE26*(1+FJ$3))/$AJ26,Уголь_коэфф!$A:$B,2,1),(FI26-0.05)))</f>
        <v>1</v>
      </c>
      <c r="FK26" s="102">
        <f>MIN(1,MAX(VLOOKUP(($AJ26-$AI26-$AH26-$AG26-$AF26-$AE26*(1+FK$3))/$AJ26,Уголь_коэфф!$A:$B,2,1),(FJ26-0.05)))</f>
        <v>1</v>
      </c>
      <c r="FL26" s="102">
        <f>MIN(1,MAX(VLOOKUP(($AJ26-$AI26-$AH26-$AG26-$AF26-$AE26*(1+FL$3))/$AJ26,Уголь_коэфф!$A:$B,2,1),(FK26-0.05)))</f>
        <v>1</v>
      </c>
      <c r="FM26" s="102">
        <f>MIN(1,MAX(VLOOKUP(($AJ26-$AI26-$AH26-$AG26-$AF26-$AE26*(1+FM$3))/$AJ26,Уголь_коэфф!$A:$B,2,1),(FL26-0.05)))</f>
        <v>1</v>
      </c>
      <c r="FN26" s="102">
        <f>MIN(1,MAX(VLOOKUP(($AJ26-$AI26-$AH26-$AG26-$AF26-$AE26*(1+FN$3))/$AJ26,Уголь_коэфф!$A:$B,2,1),(FM26-0.05)))</f>
        <v>1</v>
      </c>
      <c r="FO26" s="102">
        <f>MIN(1,MAX(VLOOKUP(($AJ26-$AI26-$AH26-$AG26-$AF26-$AE26*(1+FO$3))/$AJ26,Уголь_коэфф!$A:$B,2,1),(FN26-0.05)))</f>
        <v>1</v>
      </c>
      <c r="FP26" s="102">
        <f>MIN(1,MAX(VLOOKUP(($AJ26-$AI26-$AH26-$AG26-$AF26-$AE26*(1+FP$3))/$AJ26,Уголь_коэфф!$A:$B,2,1),(FO26-0.05)))</f>
        <v>1</v>
      </c>
      <c r="FQ26" s="102">
        <f>MIN(1,MAX(VLOOKUP(($AJ26-$AI26-$AH26-$AG26-$AF26-$AE26*(1+FQ$3))/$AJ26,Уголь_коэфф!$A:$B,2,1),(FP26-0.05)))</f>
        <v>1</v>
      </c>
      <c r="FR26" s="102">
        <f>MIN(1,MAX(VLOOKUP(($AJ26-$AI26-$AH26-$AG26-$AF26-$AE26*(1+FR$3))/$AJ26,Уголь_коэфф!$A:$B,2,1),(FQ26-0.05)))</f>
        <v>1</v>
      </c>
      <c r="FS26" s="102">
        <f>MIN(1,MAX(VLOOKUP(($AJ26-$AI26-$AH26-$AG26-$AF26-$AE26*(1+FS$3))/$AJ26,Уголь_коэфф!$A:$B,2,1),(FR26-0.05)))</f>
        <v>1</v>
      </c>
      <c r="FT26" s="102">
        <f>MIN(1,MAX(VLOOKUP(($AJ26-$AI26-$AH26-$AG26-$AF26-$AE26*(1+FT$3))/$AJ26,Уголь_коэфф!$A:$B,2,1),(FS26-0.05)))</f>
        <v>1</v>
      </c>
      <c r="FU26" s="102">
        <f>MIN(1,MAX(VLOOKUP(($AJ26-$AI26-$AH26-$AG26-$AF26-$AE26*(1+FU$3))/$AJ26,Уголь_коэфф!$A:$B,2,1),(FT26-0.05)))</f>
        <v>1</v>
      </c>
      <c r="FV26" s="102">
        <f>MIN(1,MAX(VLOOKUP(($AJ26-$AI26-$AH26-$AG26-$AF26-$AE26*(1+FV$3))/$AJ26,Уголь_коэфф!$A:$B,2,1),(FU26-0.05)))</f>
        <v>1</v>
      </c>
      <c r="FW26" s="102">
        <f>MIN(1,MAX(VLOOKUP(($AJ26-$AI26-$AH26-$AG26-$AF26-$AE26*(1+FW$3))/$AJ26,Уголь_коэфф!$A:$B,2,1),(FV26-0.05)))</f>
        <v>1</v>
      </c>
      <c r="FX26" s="102">
        <f>MIN(1,MAX(VLOOKUP(($AJ26-$AI26-$AH26-$AG26-$AF26-$AE26*(1+FX$3))/$AJ26,Уголь_коэфф!$A:$B,2,1),(FW26-0.05)))</f>
        <v>1</v>
      </c>
      <c r="FY26" s="102">
        <f>MIN(1,MAX(VLOOKUP(($AJ26-$AI26-$AH26-$AG26-$AF26-$AE26*(1+FY$3))/$AJ26,Уголь_коэфф!$A:$B,2,1),(FX26-0.05)))</f>
        <v>1</v>
      </c>
      <c r="FZ26" s="102">
        <f>MIN(1,MAX(VLOOKUP(($AJ26-$AI26-$AH26-$AG26-$AF26-$AE26*(1+FZ$3))/$AJ26,Уголь_коэфф!$A:$B,2,1),(FY26-0.05)))</f>
        <v>1</v>
      </c>
      <c r="GA26" s="102">
        <f>MIN(1,MAX(VLOOKUP(($AJ26-$AI26-$AH26-$AG26-$AF26-$AE26*(1+GA$3))/$AJ26,Уголь_коэфф!$A:$B,2,1),(FZ26-0.05)))</f>
        <v>1</v>
      </c>
      <c r="GB26" s="102">
        <f>MIN(1,MAX(VLOOKUP(($AJ26-$AI26-$AH26-$AG26-$AF26-$AE26*(1+GB$3))/$AJ26,Уголь_коэфф!$A:$B,2,1),(GA26-0.05)))</f>
        <v>1</v>
      </c>
      <c r="GC26" s="102">
        <f>MIN(1,MAX(VLOOKUP(($AJ26-$AI26-$AH26-$AG26-$AF26-$AE26*(1+GC$3))/$AJ26,Уголь_коэфф!$A:$B,2,1),(GB26-0.05)))</f>
        <v>1</v>
      </c>
      <c r="GD26" s="102">
        <f>MIN(1,MAX(VLOOKUP(($AJ26-$AI26-$AH26-$AG26-$AF26-$AE26*(1+GD$3))/$AJ26,Уголь_коэфф!$A:$B,2,1),(GC26-0.05)))</f>
        <v>1</v>
      </c>
      <c r="GE26" s="102">
        <f>MIN(1,MAX(VLOOKUP(($AJ26-$AI26-$AH26-$AG26-$AF26-$AE26*(1+GE$3))/$AJ26,Уголь_коэфф!$A:$B,2,1),(GD26-0.05)))</f>
        <v>1</v>
      </c>
      <c r="GF26" s="102">
        <f>MIN(1,MAX(VLOOKUP(($AJ26-$AI26-$AH26-$AG26-$AF26-$AE26*(1+GF$3))/$AJ26,Уголь_коэфф!$A:$B,2,1),(GE26-0.05)))</f>
        <v>1</v>
      </c>
      <c r="GG26" s="102">
        <f>MIN(1,MAX(VLOOKUP(($AJ26-$AI26-$AH26-$AG26-$AF26-$AE26*(1+GG$3))/$AJ26,Уголь_коэфф!$A:$B,2,1),(GF26-0.05)))</f>
        <v>1</v>
      </c>
      <c r="GH26" s="102">
        <f>MIN(1,MAX(VLOOKUP(($AJ26-$AI26-$AH26-$AG26-$AF26-$AE26*(1+GH$3))/$AJ26,Уголь_коэфф!$A:$B,2,1),(GG26-0.05)))</f>
        <v>0.995</v>
      </c>
      <c r="GI26" s="102">
        <f>MIN(1,MAX(VLOOKUP(($AJ26-$AI26-$AH26-$AG26-$AF26-$AE26*(1+GI$3))/$AJ26,Уголь_коэфф!$A:$B,2,1),(GH26-0.05)))</f>
        <v>0.995</v>
      </c>
      <c r="GJ26" s="102">
        <f>MIN(1,MAX(VLOOKUP(($AJ26-$AI26-$AH26-$AG26-$AF26-$AE26*(1+GJ$3))/$AJ26,Уголь_коэфф!$A:$B,2,1),(GI26-0.05)))</f>
        <v>0.995</v>
      </c>
      <c r="GK26" s="102">
        <f>MIN(1,MAX(VLOOKUP(($AJ26-$AI26-$AH26-$AG26-$AF26-$AE26*(1+GK$3))/$AJ26,Уголь_коэфф!$A:$B,2,1),(GJ26-0.05)))</f>
        <v>0.995</v>
      </c>
      <c r="GL26" s="102">
        <f>MIN(1,MAX(VLOOKUP(($AJ26-$AI26-$AH26-$AG26-$AF26-$AE26*(1+GL$3))/$AJ26,Уголь_коэфф!$A:$B,2,1),(GK26-0.05)))</f>
        <v>0.995</v>
      </c>
      <c r="GM26" s="102">
        <f>MIN(1,MAX(VLOOKUP(($AJ26-$AI26-$AH26-$AG26-$AF26-$AE26*(1+GM$3))/$AJ26,Уголь_коэфф!$A:$B,2,1),(GL26-0.05)))</f>
        <v>0.99</v>
      </c>
      <c r="GN26" s="102">
        <f>MIN(1,MAX(VLOOKUP(($AJ26-$AI26-$AH26-$AG26-$AF26-$AE26*(1+GN$3))/$AJ26,Уголь_коэфф!$A:$B,2,1),(GM26-0.05)))</f>
        <v>0.99</v>
      </c>
      <c r="GO26" s="102">
        <f>MIN(1,MAX(VLOOKUP(($AJ26-$AI26-$AH26-$AG26-$AF26-$AE26*(1+GO$3))/$AJ26,Уголь_коэфф!$A:$B,2,1),(GN26-0.05)))</f>
        <v>0.99</v>
      </c>
      <c r="GP26" s="102">
        <f>MIN(1,MAX(VLOOKUP(($AJ26-$AI26-$AH26-$AG26-$AF26-$AE26*(1+GP$3))/$AJ26,Уголь_коэфф!$A:$B,2,1),(GO26-0.05)))</f>
        <v>0.99</v>
      </c>
      <c r="GQ26" s="102">
        <f>MIN(1,MAX(VLOOKUP(($AJ26-$AI26-$AH26-$AG26-$AF26-$AE26*(1+GQ$3))/$AJ26,Уголь_коэфф!$A:$B,2,1),(GP26-0.05)))</f>
        <v>0.99</v>
      </c>
      <c r="GR26" s="102">
        <f>MIN(1,MAX(VLOOKUP(($AJ26-$AI26-$AH26-$AG26-$AF26-$AE26*(1+GR$3))/$AJ26,Уголь_коэфф!$A:$B,2,1),(GQ26-0.05)))</f>
        <v>0.98499999999999999</v>
      </c>
      <c r="GS26" s="102">
        <f>MIN(1,MAX(VLOOKUP(($AJ26-$AI26-$AH26-$AG26-$AF26-$AE26*(1+GS$3))/$AJ26,Уголь_коэфф!$A:$B,2,1),(GR26-0.05)))</f>
        <v>0.98499999999999999</v>
      </c>
      <c r="GT26" s="102">
        <f>MIN(1,MAX(VLOOKUP(($AJ26-$AI26-$AH26-$AG26-$AF26-$AE26*(1+GT$3))/$AJ26,Уголь_коэфф!$A:$B,2,1),(GS26-0.05)))</f>
        <v>0.98499999999999999</v>
      </c>
      <c r="GU26" s="102">
        <f>MIN(1,MAX(VLOOKUP(($AJ26-$AI26-$AH26-$AG26-$AF26-$AE26*(1+GU$3))/$AJ26,Уголь_коэфф!$A:$B,2,1),(GT26-0.05)))</f>
        <v>0.98499999999999999</v>
      </c>
      <c r="GV26" s="102">
        <f>MIN(1,MAX(VLOOKUP(($AJ26-$AI26-$AH26-$AG26-$AF26-$AE26*(1+GV$3))/$AJ26,Уголь_коэфф!$A:$B,2,1),(GU26-0.05)))</f>
        <v>0.98</v>
      </c>
      <c r="GW26" s="102">
        <f>MIN(1,MAX(VLOOKUP(($AJ26-$AI26-$AH26-$AG26-$AF26-$AE26*(1+GW$3))/$AJ26,Уголь_коэфф!$A:$B,2,1),(GV26-0.05)))</f>
        <v>0.98</v>
      </c>
      <c r="GX26" s="102">
        <f>MIN(1,MAX(VLOOKUP(($AJ26-$AI26-$AH26-$AG26-$AF26-$AE26*(1+GX$3))/$AJ26,Уголь_коэфф!$A:$B,2,1),(GW26-0.05)))</f>
        <v>0.98</v>
      </c>
      <c r="GY26" s="102">
        <f>MIN(1,MAX(VLOOKUP(($AJ26-$AI26-$AH26-$AG26-$AF26-$AE26*(1+GY$3))/$AJ26,Уголь_коэфф!$A:$B,2,1),(GX26-0.05)))</f>
        <v>0.98</v>
      </c>
      <c r="GZ26" s="102">
        <f>MIN(1,MAX(VLOOKUP(($AJ26-$AI26-$AH26-$AG26-$AF26-$AE26*(1+GZ$3))/$AJ26,Уголь_коэфф!$A:$B,2,1),(GY26-0.05)))</f>
        <v>0.98</v>
      </c>
      <c r="HA26" s="102">
        <f>MIN(1,MAX(VLOOKUP(($AJ26-$AI26-$AH26-$AG26-$AF26-$AE26*(1+HA$3))/$AJ26,Уголь_коэфф!$A:$B,2,1),(GZ26-0.05)))</f>
        <v>0.97499999999999998</v>
      </c>
      <c r="HB26" s="102">
        <f>MIN(1,MAX(VLOOKUP(($AJ26-$AI26-$AH26-$AG26-$AF26-$AE26*(1+HB$3))/$AJ26,Уголь_коэфф!$A:$B,2,1),(HA26-0.05)))</f>
        <v>0.97499999999999998</v>
      </c>
      <c r="HC26" s="102">
        <f>MIN(1,MAX(VLOOKUP(($AJ26-$AI26-$AH26-$AG26-$AF26-$AE26*(1+HC$3))/$AJ26,Уголь_коэфф!$A:$B,2,1),(HB26-0.05)))</f>
        <v>0.97499999999999998</v>
      </c>
      <c r="HD26" s="102">
        <f>MIN(1,MAX(VLOOKUP(($AJ26-$AI26-$AH26-$AG26-$AF26-$AE26*(1+HD$3))/$AJ26,Уголь_коэфф!$A:$B,2,1),(HC26-0.05)))</f>
        <v>0.97499999999999998</v>
      </c>
      <c r="HE26" s="102">
        <f>MIN(1,MAX(VLOOKUP(($AJ26-$AI26-$AH26-$AG26-$AF26-$AE26*(1+HE$3))/$AJ26,Уголь_коэфф!$A:$B,2,1),(HD26-0.05)))</f>
        <v>0.97</v>
      </c>
      <c r="HF26" s="102">
        <f>MIN(1,MAX(VLOOKUP(($AJ26-$AI26-$AH26-$AG26-$AF26-$AE26*(1+HF$3))/$AJ26,Уголь_коэфф!$A:$B,2,1),(HE26-0.05)))</f>
        <v>0.97</v>
      </c>
      <c r="HG26" s="102">
        <f>MIN(1,MAX(VLOOKUP(($AJ26-$AI26-$AH26-$AG26-$AF26-$AE26*(1+HG$3))/$AJ26,Уголь_коэфф!$A:$B,2,1),(HF26-0.05)))</f>
        <v>0.97</v>
      </c>
      <c r="HH26" s="102">
        <f>MIN(1,MAX(VLOOKUP(($AJ26-$AI26-$AH26-$AG26-$AF26-$AE26*(1+HH$3))/$AJ26,Уголь_коэфф!$A:$B,2,1),(HG26-0.05)))</f>
        <v>0.97</v>
      </c>
      <c r="HI26" s="102">
        <f>MIN(1,MAX(VLOOKUP(($AJ26-$AI26-$AH26-$AG26-$AF26-$AE26*(1+HI$3))/$AJ26,Уголь_коэфф!$A:$B,2,1),(HH26-0.05)))</f>
        <v>0.97</v>
      </c>
      <c r="HJ26" s="102">
        <f>MIN(1,MAX(VLOOKUP(($AJ26-$AI26-$AH26-$AG26-$AF26-$AE26*(1+HJ$3))/$AJ26,Уголь_коэфф!$A:$B,2,1),(HI26-0.05)))</f>
        <v>0.96499999999999997</v>
      </c>
      <c r="HK26" s="102">
        <f>MIN(1,MAX(VLOOKUP(($AJ26-$AI26-$AH26-$AG26-$AF26-$AE26*(1+HK$3))/$AJ26,Уголь_коэфф!$A:$B,2,1),(HJ26-0.05)))</f>
        <v>0.96499999999999997</v>
      </c>
      <c r="HL26" s="102">
        <f>MIN(1,MAX(VLOOKUP(($AJ26-$AI26-$AH26-$AG26-$AF26-$AE26*(1+HL$3))/$AJ26,Уголь_коэфф!$A:$B,2,1),(HK26-0.05)))</f>
        <v>0.96499999999999997</v>
      </c>
      <c r="HM26" s="102">
        <f>MIN(1,MAX(VLOOKUP(($AJ26-$AI26-$AH26-$AG26-$AF26-$AE26*(1+HM$3))/$AJ26,Уголь_коэфф!$A:$B,2,1),(HL26-0.05)))</f>
        <v>0.96499999999999997</v>
      </c>
      <c r="HN26" s="102">
        <f>MIN(1,MAX(VLOOKUP(($AJ26-$AI26-$AH26-$AG26-$AF26-$AE26*(1+HN$3))/$AJ26,Уголь_коэфф!$A:$B,2,1),(HM26-0.05)))</f>
        <v>0.96</v>
      </c>
      <c r="HO26" s="102">
        <f>MIN(1,MAX(VLOOKUP(($AJ26-$AI26-$AH26-$AG26-$AF26-$AE26*(1+HO$3))/$AJ26,Уголь_коэфф!$A:$B,2,1),(HN26-0.05)))</f>
        <v>0.96</v>
      </c>
      <c r="HP26" s="102">
        <f>MIN(1,MAX(VLOOKUP(($AJ26-$AI26-$AH26-$AG26-$AF26-$AE26*(1+HP$3))/$AJ26,Уголь_коэфф!$A:$B,2,1),(HO26-0.05)))</f>
        <v>0.96</v>
      </c>
      <c r="HQ26" s="102">
        <f>MIN(1,MAX(VLOOKUP(($AJ26-$AI26-$AH26-$AG26-$AF26-$AE26*(1+HQ$3))/$AJ26,Уголь_коэфф!$A:$B,2,1),(HP26-0.05)))</f>
        <v>0.96</v>
      </c>
      <c r="HR26" s="102">
        <f>MIN(1,MAX(VLOOKUP(($AJ26-$AI26-$AH26-$AG26-$AF26-$AE26*(1+HR$3))/$AJ26,Уголь_коэфф!$A:$B,2,1),(HQ26-0.05)))</f>
        <v>0.96</v>
      </c>
      <c r="HS26" s="102">
        <f>MIN(1,MAX(VLOOKUP(($AJ26-$AI26-$AH26-$AG26-$AF26-$AE26*(1+HS$3))/$AJ26,Уголь_коэфф!$A:$B,2,1),(HR26-0.05)))</f>
        <v>0.95499999999999996</v>
      </c>
      <c r="HT26" s="102">
        <f>MIN(1,MAX(VLOOKUP(($AJ26-$AI26-$AH26-$AG26-$AF26-$AE26*(1+HT$3))/$AJ26,Уголь_коэфф!$A:$B,2,1),(HS26-0.05)))</f>
        <v>0.95499999999999996</v>
      </c>
      <c r="HU26" s="102">
        <f>MIN(1,MAX(VLOOKUP(($AJ26-$AI26-$AH26-$AG26-$AF26-$AE26*(1+HU$3))/$AJ26,Уголь_коэфф!$A:$B,2,1),(HT26-0.05)))</f>
        <v>0.95499999999999996</v>
      </c>
      <c r="HV26" s="102">
        <f>MIN(1,MAX(VLOOKUP(($AJ26-$AI26-$AH26-$AG26-$AF26-$AE26*(1+HV$3))/$AJ26,Уголь_коэфф!$A:$B,2,1),(HU26-0.05)))</f>
        <v>0.95499999999999996</v>
      </c>
      <c r="HW26" s="102">
        <f>MIN(1,MAX(VLOOKUP(($AJ26-$AI26-$AH26-$AG26-$AF26-$AE26*(1+HW$3))/$AJ26,Уголь_коэфф!$A:$B,2,1),(HV26-0.05)))</f>
        <v>0.95</v>
      </c>
      <c r="HX26" s="102">
        <f>MIN(1,MAX(VLOOKUP(($AJ26-$AI26-$AH26-$AG26-$AF26-$AE26*(1+HX$3))/$AJ26,Уголь_коэфф!$A:$B,2,1),(HW26-0.05)))</f>
        <v>0.95</v>
      </c>
      <c r="HY26" s="102">
        <f>MIN(1,MAX(VLOOKUP(($AJ26-$AI26-$AH26-$AG26-$AF26-$AE26*(1+HY$3))/$AJ26,Уголь_коэфф!$A:$B,2,1),(HX26-0.05)))</f>
        <v>0.95</v>
      </c>
      <c r="HZ26" s="102">
        <f>MIN(1,MAX(VLOOKUP(($AJ26-$AI26-$AH26-$AG26-$AF26-$AE26*(1+HZ$3))/$AJ26,Уголь_коэфф!$A:$B,2,1),(HY26-0.05)))</f>
        <v>0.95</v>
      </c>
      <c r="IA26" s="102">
        <f>MIN(1,MAX(VLOOKUP(($AJ26-$AI26-$AH26-$AG26-$AF26-$AE26*(1+IA$3))/$AJ26,Уголь_коэфф!$A:$B,2,1),(HZ26-0.05)))</f>
        <v>0.95</v>
      </c>
      <c r="IB26" s="102">
        <f>MIN(1,MAX(VLOOKUP(($AJ26-$AI26-$AH26-$AG26-$AF26-$AE26*(1+IB$3))/$AJ26,Уголь_коэфф!$A:$B,2,1),(IA26-0.05)))</f>
        <v>0.94499999999999995</v>
      </c>
      <c r="IC26" s="102">
        <f>MIN(1,MAX(VLOOKUP(($AJ26-$AI26-$AH26-$AG26-$AF26-$AE26*(1+IC$3))/$AJ26,Уголь_коэфф!$A:$B,2,1),(IB26-0.05)))</f>
        <v>0.94499999999999995</v>
      </c>
      <c r="ID26" s="102">
        <f>MIN(1,MAX(VLOOKUP(($AJ26-$AI26-$AH26-$AG26-$AF26-$AE26*(1+ID$3))/$AJ26,Уголь_коэфф!$A:$B,2,1),(IC26-0.05)))</f>
        <v>0.94499999999999995</v>
      </c>
      <c r="IE26" s="102">
        <f>MIN(1,MAX(VLOOKUP(($AJ26-$AI26-$AH26-$AG26-$AF26-$AE26*(1+IE$3))/$AJ26,Уголь_коэфф!$A:$B,2,1),(ID26-0.05)))</f>
        <v>0.94499999999999995</v>
      </c>
      <c r="IF26" s="102">
        <f>MIN(1,MAX(VLOOKUP(($AJ26-$AI26-$AH26-$AG26-$AF26-$AE26*(1+IF$3))/$AJ26,Уголь_коэфф!$A:$B,2,1),(IE26-0.05)))</f>
        <v>0.94</v>
      </c>
      <c r="IG26" s="102">
        <f>MIN(1,MAX(VLOOKUP(($AJ26-$AI26-$AH26-$AG26-$AF26-$AE26*(1+IG$3))/$AJ26,Уголь_коэфф!$A:$B,2,1),(IF26-0.05)))</f>
        <v>0.94</v>
      </c>
      <c r="IH26" s="102">
        <f>MIN(1,MAX(VLOOKUP(($AJ26-$AI26-$AH26-$AG26-$AF26-$AE26*(1+IH$3))/$AJ26,Уголь_коэфф!$A:$B,2,1),(IG26-0.05)))</f>
        <v>0.94</v>
      </c>
      <c r="II26" s="102">
        <f>MIN(1,MAX(VLOOKUP(($AJ26-$AI26-$AH26-$AG26-$AF26-$AE26*(1+II$3))/$AJ26,Уголь_коэфф!$A:$B,2,1),(IH26-0.05)))</f>
        <v>0.94</v>
      </c>
      <c r="IJ26" s="102">
        <f>MIN(1,MAX(VLOOKUP(($AJ26-$AI26-$AH26-$AG26-$AF26-$AE26*(1+IJ$3))/$AJ26,Уголь_коэфф!$A:$B,2,1),(II26-0.05)))</f>
        <v>0.94</v>
      </c>
      <c r="IK26" s="102">
        <f>MIN(1,MAX(VLOOKUP(($AJ26-$AI26-$AH26-$AG26-$AF26-$AE26*(1+IK$3))/$AJ26,Уголь_коэфф!$A:$B,2,1),(IJ26-0.05)))</f>
        <v>0.93500000000000005</v>
      </c>
      <c r="IL26" s="102">
        <f>MIN(1,MAX(VLOOKUP(($AJ26-$AI26-$AH26-$AG26-$AF26-$AE26*(1+IL$3))/$AJ26,Уголь_коэфф!$A:$B,2,1),(IK26-0.05)))</f>
        <v>0.93500000000000005</v>
      </c>
      <c r="IM26" s="102">
        <f>MIN(1,MAX(VLOOKUP(($AJ26-$AI26-$AH26-$AG26-$AF26-$AE26*(1+IM$3))/$AJ26,Уголь_коэфф!$A:$B,2,1),(IL26-0.05)))</f>
        <v>0.93500000000000005</v>
      </c>
      <c r="IN26" s="102">
        <f>MIN(1,MAX(VLOOKUP(($AJ26-$AI26-$AH26-$AG26-$AF26-$AE26*(1+IN$3))/$AJ26,Уголь_коэфф!$A:$B,2,1),(IM26-0.05)))</f>
        <v>0.93500000000000005</v>
      </c>
      <c r="IO26" s="102">
        <f>MIN(1,MAX(VLOOKUP(($AJ26-$AI26-$AH26-$AG26-$AF26-$AE26*(1+IO$3))/$AJ26,Уголь_коэфф!$A:$B,2,1),(IN26-0.05)))</f>
        <v>0.93500000000000005</v>
      </c>
      <c r="IP26" s="102">
        <f>MIN(1,MAX(VLOOKUP(($AJ26-$AI26-$AH26-$AG26-$AF26-$AE26*(1+IP$3))/$AJ26,Уголь_коэфф!$A:$B,2,1),(IO26-0.05)))</f>
        <v>0.93</v>
      </c>
      <c r="IQ26" s="102">
        <f>MIN(1,MAX(VLOOKUP(($AJ26-$AI26-$AH26-$AG26-$AF26-$AE26*(1+IQ$3))/$AJ26,Уголь_коэфф!$A:$B,2,1),(IP26-0.05)))</f>
        <v>0.93</v>
      </c>
      <c r="IR26" s="102">
        <f>MIN(1,MAX(VLOOKUP(($AJ26-$AI26-$AH26-$AG26-$AF26-$AE26*(1+IR$3))/$AJ26,Уголь_коэфф!$A:$B,2,1),(IQ26-0.05)))</f>
        <v>0.93</v>
      </c>
      <c r="IS26" s="102">
        <f t="shared" si="20"/>
        <v>1</v>
      </c>
      <c r="IT26" s="102">
        <f t="shared" si="7"/>
        <v>1</v>
      </c>
      <c r="IU26" s="110"/>
    </row>
    <row r="27" spans="1:255" ht="14.6" customHeight="1">
      <c r="A27" t="s">
        <v>239</v>
      </c>
      <c r="B27" s="36">
        <v>1</v>
      </c>
      <c r="C27" s="34" t="s">
        <v>16</v>
      </c>
      <c r="D27" s="1">
        <v>16122</v>
      </c>
      <c r="E27" s="1" t="s">
        <v>132</v>
      </c>
      <c r="F27" s="34" t="s">
        <v>18</v>
      </c>
      <c r="G27" s="1" t="s">
        <v>19</v>
      </c>
      <c r="H27" s="1" t="s">
        <v>19</v>
      </c>
      <c r="I27" s="1" t="s">
        <v>133</v>
      </c>
      <c r="J27" s="1" t="s">
        <v>134</v>
      </c>
      <c r="K27" s="1">
        <v>2546</v>
      </c>
      <c r="L27" s="1" t="s">
        <v>22</v>
      </c>
      <c r="M27" s="1" t="s">
        <v>23</v>
      </c>
      <c r="N27" s="1" t="s">
        <v>24</v>
      </c>
      <c r="O27" s="5" t="s">
        <v>25</v>
      </c>
      <c r="P27" s="4">
        <v>161878</v>
      </c>
      <c r="Q27" s="4" t="s">
        <v>135</v>
      </c>
      <c r="R27" s="1" t="s">
        <v>136</v>
      </c>
      <c r="S27" s="49">
        <v>1252273</v>
      </c>
      <c r="T27" s="45">
        <v>3188538444</v>
      </c>
      <c r="U27" s="45">
        <v>18092</v>
      </c>
      <c r="V27" s="45"/>
      <c r="W27" s="51">
        <v>1753178025</v>
      </c>
      <c r="X27" s="104">
        <v>69</v>
      </c>
      <c r="Y27" s="104" t="s">
        <v>163</v>
      </c>
      <c r="Z27" s="107">
        <v>11</v>
      </c>
      <c r="AA27" s="107">
        <v>11</v>
      </c>
      <c r="AB27" s="107">
        <v>4</v>
      </c>
      <c r="AC27" s="88">
        <v>1537.42</v>
      </c>
      <c r="AD27" s="88">
        <v>682.23</v>
      </c>
      <c r="AE27" s="88">
        <f>AC27+AD27</f>
        <v>2219.65</v>
      </c>
      <c r="AF27" s="89">
        <f>'Цены,перевалка,аренда'!$C$27*SUM(Уголь_эластика_экспорт!Z27+Уголь_эластика_экспорт!AA27+Уголь_эластика_экспорт!AB27)/Уголь_эластика_экспорт!X27</f>
        <v>263.768115942029</v>
      </c>
      <c r="AG27" s="90">
        <f>SUMIF('Цены,перевалка,аренда'!$A$20:$A$22,Уголь_эластика_экспорт!$O27,'Цены,перевалка,аренда'!$D$20:$D$22)</f>
        <v>763.05499999999995</v>
      </c>
      <c r="AH27" s="47"/>
      <c r="AI27" s="91">
        <v>4037</v>
      </c>
      <c r="AJ27" s="92">
        <f>SUMIF('Цены,перевалка,аренда'!$A$5:$A$17,Уголь_эластика_экспорт!A27,'Цены,перевалка,аренда'!$D$5:$D$17)</f>
        <v>8546.2160000000003</v>
      </c>
      <c r="AK27" s="47">
        <f>AJ27/'Цены,перевалка,аренда'!$C$1</f>
        <v>112.00000000000001</v>
      </c>
      <c r="AL27" s="47">
        <f t="shared" si="9"/>
        <v>3246.4731159420289</v>
      </c>
      <c r="AM27" s="47">
        <f t="shared" si="10"/>
        <v>5299.7428840579714</v>
      </c>
      <c r="AN27" s="47">
        <f t="shared" si="11"/>
        <v>7283.4731159420298</v>
      </c>
      <c r="AO27" s="93">
        <f t="shared" si="12"/>
        <v>0.14775461842503987</v>
      </c>
      <c r="AP27" s="94">
        <f t="shared" si="13"/>
        <v>0.37987257938975905</v>
      </c>
      <c r="AQ27" s="94">
        <f t="shared" si="5"/>
        <v>0.2597231336067331</v>
      </c>
      <c r="AR27" s="94">
        <f t="shared" si="6"/>
        <v>0.68371119079971943</v>
      </c>
      <c r="AS27" s="167">
        <f t="shared" si="14"/>
        <v>1</v>
      </c>
      <c r="AT27" s="173">
        <f t="shared" si="15"/>
        <v>1252273</v>
      </c>
      <c r="AU27" s="96">
        <f>7.6/11</f>
        <v>0.69090909090909092</v>
      </c>
      <c r="AV27" s="93">
        <f t="shared" si="16"/>
        <v>0.11658784239223198</v>
      </c>
      <c r="AW27" s="94">
        <f t="shared" si="17"/>
        <v>0.41103935542256703</v>
      </c>
      <c r="AX27" s="94">
        <f t="shared" si="18"/>
        <v>0.29088990963954109</v>
      </c>
      <c r="AY27" s="94">
        <f t="shared" si="19"/>
        <v>0.70769357192206839</v>
      </c>
      <c r="AZ27" s="102">
        <f>MIN(IF($AU27=100%,1,1+VLOOKUP(($AJ27-$AI27-$AH27-$AG27-$AF27-$AE27*(1+AZ$3))/$AJ27,Уголь_коэфф!$A:$B,2,1)-VLOOKUP($AO27,Уголь_коэфф!$A:$B,2,1)),1+(1-$AU27))</f>
        <v>1.0739999999999998</v>
      </c>
      <c r="BA27" s="102">
        <f>MIN(IF($AU27=100%,1,1+VLOOKUP(($AJ27-$AI27-$AH27-$AG27-$AF27-$AE27*(1+BA$3))/$AJ27,Уголь_коэфф!$A:$B,2,1)-VLOOKUP($AO27,Уголь_коэфф!$A:$B,2,1)),1+(1-$AU27))</f>
        <v>1.0739999999999998</v>
      </c>
      <c r="BB27" s="102">
        <f>MIN(IF($AU27=100%,1,1+VLOOKUP(($AJ27-$AI27-$AH27-$AG27-$AF27-$AE27*(1+BB$3))/$AJ27,Уголь_коэфф!$A:$B,2,1)-VLOOKUP($AO27,Уголь_коэфф!$A:$B,2,1)),1+(1-$AU27))</f>
        <v>1.0739999999999998</v>
      </c>
      <c r="BC27" s="102">
        <f>MIN(IF($AU27=100%,1,1+VLOOKUP(($AJ27-$AI27-$AH27-$AG27-$AF27-$AE27*(1+BC$3))/$AJ27,Уголь_коэфф!$A:$B,2,1)-VLOOKUP($AO27,Уголь_коэфф!$A:$B,2,1)),1+(1-$AU27))</f>
        <v>1.0739999999999998</v>
      </c>
      <c r="BD27" s="102">
        <f>MIN(IF($AU27=100%,1,1+VLOOKUP(($AJ27-$AI27-$AH27-$AG27-$AF27-$AE27*(1+BD$3))/$AJ27,Уголь_коэфф!$A:$B,2,1)-VLOOKUP($AO27,Уголь_коэфф!$A:$B,2,1)),1+(1-$AU27))</f>
        <v>1.0739999999999998</v>
      </c>
      <c r="BE27" s="102">
        <f>MIN(IF($AU27=100%,1,1+VLOOKUP(($AJ27-$AI27-$AH27-$AG27-$AF27-$AE27*(1+BE$3))/$AJ27,Уголь_коэфф!$A:$B,2,1)-VLOOKUP($AO27,Уголь_коэфф!$A:$B,2,1)),1+(1-$AU27))</f>
        <v>1.0739999999999998</v>
      </c>
      <c r="BF27" s="102">
        <f>MIN(IF($AU27=100%,1,1+VLOOKUP(($AJ27-$AI27-$AH27-$AG27-$AF27-$AE27*(1+BF$3))/$AJ27,Уголь_коэфф!$A:$B,2,1)-VLOOKUP($AO27,Уголь_коэфф!$A:$B,2,1)),1+(1-$AU27))</f>
        <v>1.0680000000000001</v>
      </c>
      <c r="BG27" s="102">
        <f>MIN(IF($AU27=100%,1,1+VLOOKUP(($AJ27-$AI27-$AH27-$AG27-$AF27-$AE27*(1+BG$3))/$AJ27,Уголь_коэфф!$A:$B,2,1)-VLOOKUP($AO27,Уголь_коэфф!$A:$B,2,1)),1+(1-$AU27))</f>
        <v>1.0680000000000001</v>
      </c>
      <c r="BH27" s="102">
        <f>MIN(IF($AU27=100%,1,1+VLOOKUP(($AJ27-$AI27-$AH27-$AG27-$AF27-$AE27*(1+BH$3))/$AJ27,Уголь_коэфф!$A:$B,2,1)-VLOOKUP($AO27,Уголь_коэфф!$A:$B,2,1)),1+(1-$AU27))</f>
        <v>1.0680000000000001</v>
      </c>
      <c r="BI27" s="102">
        <f>MIN(IF($AU27=100%,1,1+VLOOKUP(($AJ27-$AI27-$AH27-$AG27-$AF27-$AE27*(1+BI$3))/$AJ27,Уголь_коэфф!$A:$B,2,1)-VLOOKUP($AO27,Уголь_коэфф!$A:$B,2,1)),1+(1-$AU27))</f>
        <v>1.0680000000000001</v>
      </c>
      <c r="BJ27" s="102">
        <f>MIN(IF($AU27=100%,1,1+VLOOKUP(($AJ27-$AI27-$AH27-$AG27-$AF27-$AE27*(1+BJ$3))/$AJ27,Уголь_коэфф!$A:$B,2,1)-VLOOKUP($AO27,Уголь_коэфф!$A:$B,2,1)),1+(1-$AU27))</f>
        <v>1.0680000000000001</v>
      </c>
      <c r="BK27" s="102">
        <f>MIN(IF($AU27=100%,1,1+VLOOKUP(($AJ27-$AI27-$AH27-$AG27-$AF27-$AE27*(1+BK$3))/$AJ27,Уголь_коэфф!$A:$B,2,1)-VLOOKUP($AO27,Уголь_коэфф!$A:$B,2,1)),1+(1-$AU27))</f>
        <v>1.0680000000000001</v>
      </c>
      <c r="BL27" s="102">
        <f>MIN(IF($AU27=100%,1,1+VLOOKUP(($AJ27-$AI27-$AH27-$AG27-$AF27-$AE27*(1+BL$3))/$AJ27,Уголь_коэфф!$A:$B,2,1)-VLOOKUP($AO27,Уголь_коэфф!$A:$B,2,1)),1+(1-$AU27))</f>
        <v>1.0680000000000001</v>
      </c>
      <c r="BM27" s="102">
        <f>MIN(IF($AU27=100%,1,1+VLOOKUP(($AJ27-$AI27-$AH27-$AG27-$AF27-$AE27*(1+BM$3))/$AJ27,Уголь_коэфф!$A:$B,2,1)-VLOOKUP($AO27,Уголь_коэфф!$A:$B,2,1)),1+(1-$AU27))</f>
        <v>1.0680000000000001</v>
      </c>
      <c r="BN27" s="102">
        <f>MIN(IF($AU27=100%,1,1+VLOOKUP(($AJ27-$AI27-$AH27-$AG27-$AF27-$AE27*(1+BN$3))/$AJ27,Уголь_коэфф!$A:$B,2,1)-VLOOKUP($AO27,Уголь_коэфф!$A:$B,2,1)),1+(1-$AU27))</f>
        <v>1.0619999999999998</v>
      </c>
      <c r="BO27" s="102">
        <f>MIN(IF($AU27=100%,1,1+VLOOKUP(($AJ27-$AI27-$AH27-$AG27-$AF27-$AE27*(1+BO$3))/$AJ27,Уголь_коэфф!$A:$B,2,1)-VLOOKUP($AO27,Уголь_коэфф!$A:$B,2,1)),1+(1-$AU27))</f>
        <v>1.0619999999999998</v>
      </c>
      <c r="BP27" s="102">
        <f>MIN(IF($AU27=100%,1,1+VLOOKUP(($AJ27-$AI27-$AH27-$AG27-$AF27-$AE27*(1+BP$3))/$AJ27,Уголь_коэфф!$A:$B,2,1)-VLOOKUP($AO27,Уголь_коэфф!$A:$B,2,1)),1+(1-$AU27))</f>
        <v>1.0619999999999998</v>
      </c>
      <c r="BQ27" s="102">
        <f>MIN(IF($AU27=100%,1,1+VLOOKUP(($AJ27-$AI27-$AH27-$AG27-$AF27-$AE27*(1+BQ$3))/$AJ27,Уголь_коэфф!$A:$B,2,1)-VLOOKUP($AO27,Уголь_коэфф!$A:$B,2,1)),1+(1-$AU27))</f>
        <v>1.0619999999999998</v>
      </c>
      <c r="BR27" s="102">
        <f>MIN(IF($AU27=100%,1,1+VLOOKUP(($AJ27-$AI27-$AH27-$AG27-$AF27-$AE27*(1+BR$3))/$AJ27,Уголь_коэфф!$A:$B,2,1)-VLOOKUP($AO27,Уголь_коэфф!$A:$B,2,1)),1+(1-$AU27))</f>
        <v>1.0619999999999998</v>
      </c>
      <c r="BS27" s="102">
        <f>MIN(IF($AU27=100%,1,1+VLOOKUP(($AJ27-$AI27-$AH27-$AG27-$AF27-$AE27*(1+BS$3))/$AJ27,Уголь_коэфф!$A:$B,2,1)-VLOOKUP($AO27,Уголь_коэфф!$A:$B,2,1)),1+(1-$AU27))</f>
        <v>1.0619999999999998</v>
      </c>
      <c r="BT27" s="102">
        <f>MIN(IF($AU27=100%,1,1+VLOOKUP(($AJ27-$AI27-$AH27-$AG27-$AF27-$AE27*(1+BT$3))/$AJ27,Уголь_коэфф!$A:$B,2,1)-VLOOKUP($AO27,Уголь_коэфф!$A:$B,2,1)),1+(1-$AU27))</f>
        <v>1.0619999999999998</v>
      </c>
      <c r="BU27" s="102">
        <f>MIN(IF($AU27=100%,1,1+VLOOKUP(($AJ27-$AI27-$AH27-$AG27-$AF27-$AE27*(1+BU$3))/$AJ27,Уголь_коэфф!$A:$B,2,1)-VLOOKUP($AO27,Уголь_коэфф!$A:$B,2,1)),1+(1-$AU27))</f>
        <v>1.0619999999999998</v>
      </c>
      <c r="BV27" s="102">
        <f>MIN(IF($AU27=100%,1,1+VLOOKUP(($AJ27-$AI27-$AH27-$AG27-$AF27-$AE27*(1+BV$3))/$AJ27,Уголь_коэфф!$A:$B,2,1)-VLOOKUP($AO27,Уголь_коэфф!$A:$B,2,1)),1+(1-$AU27))</f>
        <v>1.056</v>
      </c>
      <c r="BW27" s="102">
        <f>MIN(IF($AU27=100%,1,1+VLOOKUP(($AJ27-$AI27-$AH27-$AG27-$AF27-$AE27*(1+BW$3))/$AJ27,Уголь_коэфф!$A:$B,2,1)-VLOOKUP($AO27,Уголь_коэфф!$A:$B,2,1)),1+(1-$AU27))</f>
        <v>1.056</v>
      </c>
      <c r="BX27" s="102">
        <f>MIN(IF($AU27=100%,1,1+VLOOKUP(($AJ27-$AI27-$AH27-$AG27-$AF27-$AE27*(1+BX$3))/$AJ27,Уголь_коэфф!$A:$B,2,1)-VLOOKUP($AO27,Уголь_коэфф!$A:$B,2,1)),1+(1-$AU27))</f>
        <v>1.056</v>
      </c>
      <c r="BY27" s="102">
        <f>MIN(IF($AU27=100%,1,1+VLOOKUP(($AJ27-$AI27-$AH27-$AG27-$AF27-$AE27*(1+BY$3))/$AJ27,Уголь_коэфф!$A:$B,2,1)-VLOOKUP($AO27,Уголь_коэфф!$A:$B,2,1)),1+(1-$AU27))</f>
        <v>1.056</v>
      </c>
      <c r="BZ27" s="102">
        <f>MIN(IF($AU27=100%,1,1+VLOOKUP(($AJ27-$AI27-$AH27-$AG27-$AF27-$AE27*(1+BZ$3))/$AJ27,Уголь_коэфф!$A:$B,2,1)-VLOOKUP($AO27,Уголь_коэфф!$A:$B,2,1)),1+(1-$AU27))</f>
        <v>1.056</v>
      </c>
      <c r="CA27" s="102">
        <f>MIN(IF($AU27=100%,1,1+VLOOKUP(($AJ27-$AI27-$AH27-$AG27-$AF27-$AE27*(1+CA$3))/$AJ27,Уголь_коэфф!$A:$B,2,1)-VLOOKUP($AO27,Уголь_коэфф!$A:$B,2,1)),1+(1-$AU27))</f>
        <v>1.056</v>
      </c>
      <c r="CB27" s="102">
        <f>MIN(IF($AU27=100%,1,1+VLOOKUP(($AJ27-$AI27-$AH27-$AG27-$AF27-$AE27*(1+CB$3))/$AJ27,Уголь_коэфф!$A:$B,2,1)-VLOOKUP($AO27,Уголь_коэфф!$A:$B,2,1)),1+(1-$AU27))</f>
        <v>1.056</v>
      </c>
      <c r="CC27" s="102">
        <f>MIN(IF($AU27=100%,1,1+VLOOKUP(($AJ27-$AI27-$AH27-$AG27-$AF27-$AE27*(1+CC$3))/$AJ27,Уголь_коэфф!$A:$B,2,1)-VLOOKUP($AO27,Уголь_коэфф!$A:$B,2,1)),1+(1-$AU27))</f>
        <v>1.0500000000000003</v>
      </c>
      <c r="CD27" s="102">
        <f>MIN(IF($AU27=100%,1,1+VLOOKUP(($AJ27-$AI27-$AH27-$AG27-$AF27-$AE27*(1+CD$3))/$AJ27,Уголь_коэфф!$A:$B,2,1)-VLOOKUP($AO27,Уголь_коэфф!$A:$B,2,1)),1+(1-$AU27))</f>
        <v>1.0500000000000003</v>
      </c>
      <c r="CE27" s="102">
        <f>MIN(IF($AU27=100%,1,1+VLOOKUP(($AJ27-$AI27-$AH27-$AG27-$AF27-$AE27*(1+CE$3))/$AJ27,Уголь_коэфф!$A:$B,2,1)-VLOOKUP($AO27,Уголь_коэфф!$A:$B,2,1)),1+(1-$AU27))</f>
        <v>1.0500000000000003</v>
      </c>
      <c r="CF27" s="102">
        <f>MIN(IF($AU27=100%,1,1+VLOOKUP(($AJ27-$AI27-$AH27-$AG27-$AF27-$AE27*(1+CF$3))/$AJ27,Уголь_коэфф!$A:$B,2,1)-VLOOKUP($AO27,Уголь_коэфф!$A:$B,2,1)),1+(1-$AU27))</f>
        <v>1.0500000000000003</v>
      </c>
      <c r="CG27" s="102">
        <f>MIN(IF($AU27=100%,1,1+VLOOKUP(($AJ27-$AI27-$AH27-$AG27-$AF27-$AE27*(1+CG$3))/$AJ27,Уголь_коэфф!$A:$B,2,1)-VLOOKUP($AO27,Уголь_коэфф!$A:$B,2,1)),1+(1-$AU27))</f>
        <v>1.0500000000000003</v>
      </c>
      <c r="CH27" s="102">
        <f>MIN(IF($AU27=100%,1,1+VLOOKUP(($AJ27-$AI27-$AH27-$AG27-$AF27-$AE27*(1+CH$3))/$AJ27,Уголь_коэфф!$A:$B,2,1)-VLOOKUP($AO27,Уголь_коэфф!$A:$B,2,1)),1+(1-$AU27))</f>
        <v>1.0500000000000003</v>
      </c>
      <c r="CI27" s="102">
        <f>MIN(IF($AU27=100%,1,1+VLOOKUP(($AJ27-$AI27-$AH27-$AG27-$AF27-$AE27*(1+CI$3))/$AJ27,Уголь_коэфф!$A:$B,2,1)-VLOOKUP($AO27,Уголь_коэфф!$A:$B,2,1)),1+(1-$AU27))</f>
        <v>1.0500000000000003</v>
      </c>
      <c r="CJ27" s="102">
        <f>MIN(IF($AU27=100%,1,1+VLOOKUP(($AJ27-$AI27-$AH27-$AG27-$AF27-$AE27*(1+CJ$3))/$AJ27,Уголь_коэфф!$A:$B,2,1)-VLOOKUP($AO27,Уголь_коэфф!$A:$B,2,1)),1+(1-$AU27))</f>
        <v>1.0500000000000003</v>
      </c>
      <c r="CK27" s="102">
        <f>MIN(IF($AU27=100%,1,1+VLOOKUP(($AJ27-$AI27-$AH27-$AG27-$AF27-$AE27*(1+CK$3))/$AJ27,Уголь_коэфф!$A:$B,2,1)-VLOOKUP($AO27,Уголь_коэфф!$A:$B,2,1)),1+(1-$AU27))</f>
        <v>1.044</v>
      </c>
      <c r="CL27" s="102">
        <f>MIN(IF($AU27=100%,1,1+VLOOKUP(($AJ27-$AI27-$AH27-$AG27-$AF27-$AE27*(1+CL$3))/$AJ27,Уголь_коэфф!$A:$B,2,1)-VLOOKUP($AO27,Уголь_коэфф!$A:$B,2,1)),1+(1-$AU27))</f>
        <v>1.044</v>
      </c>
      <c r="CM27" s="102">
        <f>MIN(IF($AU27=100%,1,1+VLOOKUP(($AJ27-$AI27-$AH27-$AG27-$AF27-$AE27*(1+CM$3))/$AJ27,Уголь_коэфф!$A:$B,2,1)-VLOOKUP($AO27,Уголь_коэфф!$A:$B,2,1)),1+(1-$AU27))</f>
        <v>1.044</v>
      </c>
      <c r="CN27" s="102">
        <f>MIN(IF($AU27=100%,1,1+VLOOKUP(($AJ27-$AI27-$AH27-$AG27-$AF27-$AE27*(1+CN$3))/$AJ27,Уголь_коэфф!$A:$B,2,1)-VLOOKUP($AO27,Уголь_коэфф!$A:$B,2,1)),1+(1-$AU27))</f>
        <v>1.044</v>
      </c>
      <c r="CO27" s="102">
        <f>MIN(IF($AU27=100%,1,1+VLOOKUP(($AJ27-$AI27-$AH27-$AG27-$AF27-$AE27*(1+CO$3))/$AJ27,Уголь_коэфф!$A:$B,2,1)-VLOOKUP($AO27,Уголь_коэфф!$A:$B,2,1)),1+(1-$AU27))</f>
        <v>1.044</v>
      </c>
      <c r="CP27" s="102">
        <f>MIN(IF($AU27=100%,1,1+VLOOKUP(($AJ27-$AI27-$AH27-$AG27-$AF27-$AE27*(1+CP$3))/$AJ27,Уголь_коэфф!$A:$B,2,1)-VLOOKUP($AO27,Уголь_коэфф!$A:$B,2,1)),1+(1-$AU27))</f>
        <v>1.044</v>
      </c>
      <c r="CQ27" s="102">
        <f>MIN(IF($AU27=100%,1,1+VLOOKUP(($AJ27-$AI27-$AH27-$AG27-$AF27-$AE27*(1+CQ$3))/$AJ27,Уголь_коэфф!$A:$B,2,1)-VLOOKUP($AO27,Уголь_коэфф!$A:$B,2,1)),1+(1-$AU27))</f>
        <v>1.044</v>
      </c>
      <c r="CR27" s="102">
        <f>MIN(IF($AU27=100%,1,1+VLOOKUP(($AJ27-$AI27-$AH27-$AG27-$AF27-$AE27*(1+CR$3))/$AJ27,Уголь_коэфф!$A:$B,2,1)-VLOOKUP($AO27,Уголь_коэфф!$A:$B,2,1)),1+(1-$AU27))</f>
        <v>1.044</v>
      </c>
      <c r="CS27" s="102">
        <f>MIN(IF($AU27=100%,1,1+VLOOKUP(($AJ27-$AI27-$AH27-$AG27-$AF27-$AE27*(1+CS$3))/$AJ27,Уголь_коэфф!$A:$B,2,1)-VLOOKUP($AO27,Уголь_коэфф!$A:$B,2,1)),1+(1-$AU27))</f>
        <v>1.0379999999999998</v>
      </c>
      <c r="CT27" s="102">
        <f>MIN(IF($AU27=100%,1,1+VLOOKUP(($AJ27-$AI27-$AH27-$AG27-$AF27-$AE27*(1+CT$3))/$AJ27,Уголь_коэфф!$A:$B,2,1)-VLOOKUP($AO27,Уголь_коэфф!$A:$B,2,1)),1+(1-$AU27))</f>
        <v>1.0379999999999998</v>
      </c>
      <c r="CU27" s="102">
        <f>MIN(IF($AU27=100%,1,1+VLOOKUP(($AJ27-$AI27-$AH27-$AG27-$AF27-$AE27*(1+CU$3))/$AJ27,Уголь_коэфф!$A:$B,2,1)-VLOOKUP($AO27,Уголь_коэфф!$A:$B,2,1)),1+(1-$AU27))</f>
        <v>1.0379999999999998</v>
      </c>
      <c r="CV27" s="102">
        <f>MIN(IF($AU27=100%,1,1+VLOOKUP(($AJ27-$AI27-$AH27-$AG27-$AF27-$AE27*(1+CV$3))/$AJ27,Уголь_коэфф!$A:$B,2,1)-VLOOKUP($AO27,Уголь_коэфф!$A:$B,2,1)),1+(1-$AU27))</f>
        <v>1.0379999999999998</v>
      </c>
      <c r="CW27" s="102">
        <f>MIN(IF($AU27=100%,1,1+VLOOKUP(($AJ27-$AI27-$AH27-$AG27-$AF27-$AE27*(1+CW$3))/$AJ27,Уголь_коэфф!$A:$B,2,1)-VLOOKUP($AO27,Уголь_коэфф!$A:$B,2,1)),1+(1-$AU27))</f>
        <v>1.0379999999999998</v>
      </c>
      <c r="CX27" s="102">
        <f>MIN(IF($AU27=100%,1,1+VLOOKUP(($AJ27-$AI27-$AH27-$AG27-$AF27-$AE27*(1+CX$3))/$AJ27,Уголь_коэфф!$A:$B,2,1)-VLOOKUP($AO27,Уголь_коэфф!$A:$B,2,1)),1+(1-$AU27))</f>
        <v>1.0379999999999998</v>
      </c>
      <c r="CY27" s="102">
        <f>MIN(IF($AU27=100%,1,1+VLOOKUP(($AJ27-$AI27-$AH27-$AG27-$AF27-$AE27*(1+CY$3))/$AJ27,Уголь_коэфф!$A:$B,2,1)-VLOOKUP($AO27,Уголь_коэфф!$A:$B,2,1)),1+(1-$AU27))</f>
        <v>1.0379999999999998</v>
      </c>
      <c r="CZ27" s="102">
        <f>MIN(IF($AU27=100%,1,1+VLOOKUP(($AJ27-$AI27-$AH27-$AG27-$AF27-$AE27*(1+CZ$3))/$AJ27,Уголь_коэфф!$A:$B,2,1)-VLOOKUP($AO27,Уголь_коэфф!$A:$B,2,1)),1+(1-$AU27))</f>
        <v>1.0379999999999998</v>
      </c>
      <c r="DA27" s="102">
        <f>MIN(IF($AU27=100%,1,1+VLOOKUP(($AJ27-$AI27-$AH27-$AG27-$AF27-$AE27*(1+DA$3))/$AJ27,Уголь_коэфф!$A:$B,2,1)-VLOOKUP($AO27,Уголь_коэфф!$A:$B,2,1)),1+(1-$AU27))</f>
        <v>1.032</v>
      </c>
      <c r="DB27" s="102">
        <f>MIN(IF($AU27=100%,1,1+VLOOKUP(($AJ27-$AI27-$AH27-$AG27-$AF27-$AE27*(1+DB$3))/$AJ27,Уголь_коэфф!$A:$B,2,1)-VLOOKUP($AO27,Уголь_коэфф!$A:$B,2,1)),1+(1-$AU27))</f>
        <v>1.032</v>
      </c>
      <c r="DC27" s="102">
        <f>MIN(IF($AU27=100%,1,1+VLOOKUP(($AJ27-$AI27-$AH27-$AG27-$AF27-$AE27*(1+DC$3))/$AJ27,Уголь_коэфф!$A:$B,2,1)-VLOOKUP($AO27,Уголь_коэфф!$A:$B,2,1)),1+(1-$AU27))</f>
        <v>1.032</v>
      </c>
      <c r="DD27" s="102">
        <f>MIN(IF($AU27=100%,1,1+VLOOKUP(($AJ27-$AI27-$AH27-$AG27-$AF27-$AE27*(1+DD$3))/$AJ27,Уголь_коэфф!$A:$B,2,1)-VLOOKUP($AO27,Уголь_коэфф!$A:$B,2,1)),1+(1-$AU27))</f>
        <v>1.032</v>
      </c>
      <c r="DE27" s="102">
        <f>MIN(IF($AU27=100%,1,1+VLOOKUP(($AJ27-$AI27-$AH27-$AG27-$AF27-$AE27*(1+DE$3))/$AJ27,Уголь_коэфф!$A:$B,2,1)-VLOOKUP($AO27,Уголь_коэфф!$A:$B,2,1)),1+(1-$AU27))</f>
        <v>1.032</v>
      </c>
      <c r="DF27" s="102">
        <f>MIN(IF($AU27=100%,1,1+VLOOKUP(($AJ27-$AI27-$AH27-$AG27-$AF27-$AE27*(1+DF$3))/$AJ27,Уголь_коэфф!$A:$B,2,1)-VLOOKUP($AO27,Уголь_коэфф!$A:$B,2,1)),1+(1-$AU27))</f>
        <v>1.032</v>
      </c>
      <c r="DG27" s="102">
        <f>MIN(IF($AU27=100%,1,1+VLOOKUP(($AJ27-$AI27-$AH27-$AG27-$AF27-$AE27*(1+DG$3))/$AJ27,Уголь_коэфф!$A:$B,2,1)-VLOOKUP($AO27,Уголь_коэфф!$A:$B,2,1)),1+(1-$AU27))</f>
        <v>1.032</v>
      </c>
      <c r="DH27" s="102">
        <f>MIN(IF($AU27=100%,1,1+VLOOKUP(($AJ27-$AI27-$AH27-$AG27-$AF27-$AE27*(1+DH$3))/$AJ27,Уголь_коэфф!$A:$B,2,1)-VLOOKUP($AO27,Уголь_коэфф!$A:$B,2,1)),1+(1-$AU27))</f>
        <v>1.0260000000000002</v>
      </c>
      <c r="DI27" s="102">
        <f>MIN(IF($AU27=100%,1,1+VLOOKUP(($AJ27-$AI27-$AH27-$AG27-$AF27-$AE27*(1+DI$3))/$AJ27,Уголь_коэфф!$A:$B,2,1)-VLOOKUP($AO27,Уголь_коэфф!$A:$B,2,1)),1+(1-$AU27))</f>
        <v>1.0260000000000002</v>
      </c>
      <c r="DJ27" s="102">
        <f>MIN(IF($AU27=100%,1,1+VLOOKUP(($AJ27-$AI27-$AH27-$AG27-$AF27-$AE27*(1+DJ$3))/$AJ27,Уголь_коэфф!$A:$B,2,1)-VLOOKUP($AO27,Уголь_коэфф!$A:$B,2,1)),1+(1-$AU27))</f>
        <v>1.0260000000000002</v>
      </c>
      <c r="DK27" s="102">
        <f>MIN(IF($AU27=100%,1,1+VLOOKUP(($AJ27-$AI27-$AH27-$AG27-$AF27-$AE27*(1+DK$3))/$AJ27,Уголь_коэфф!$A:$B,2,1)-VLOOKUP($AO27,Уголь_коэфф!$A:$B,2,1)),1+(1-$AU27))</f>
        <v>1.0260000000000002</v>
      </c>
      <c r="DL27" s="102">
        <f>MIN(IF($AU27=100%,1,1+VLOOKUP(($AJ27-$AI27-$AH27-$AG27-$AF27-$AE27*(1+DL$3))/$AJ27,Уголь_коэфф!$A:$B,2,1)-VLOOKUP($AO27,Уголь_коэфф!$A:$B,2,1)),1+(1-$AU27))</f>
        <v>1.0260000000000002</v>
      </c>
      <c r="DM27" s="102">
        <f>MIN(IF($AU27=100%,1,1+VLOOKUP(($AJ27-$AI27-$AH27-$AG27-$AF27-$AE27*(1+DM$3))/$AJ27,Уголь_коэфф!$A:$B,2,1)-VLOOKUP($AO27,Уголь_коэфф!$A:$B,2,1)),1+(1-$AU27))</f>
        <v>1.0260000000000002</v>
      </c>
      <c r="DN27" s="102">
        <f>MIN(IF($AU27=100%,1,1+VLOOKUP(($AJ27-$AI27-$AH27-$AG27-$AF27-$AE27*(1+DN$3))/$AJ27,Уголь_коэфф!$A:$B,2,1)-VLOOKUP($AO27,Уголь_коэфф!$A:$B,2,1)),1+(1-$AU27))</f>
        <v>1.0260000000000002</v>
      </c>
      <c r="DO27" s="102">
        <f>MIN(IF($AU27=100%,1,1+VLOOKUP(($AJ27-$AI27-$AH27-$AG27-$AF27-$AE27*(1+DO$3))/$AJ27,Уголь_коэфф!$A:$B,2,1)-VLOOKUP($AO27,Уголь_коэфф!$A:$B,2,1)),1+(1-$AU27))</f>
        <v>1.0260000000000002</v>
      </c>
      <c r="DP27" s="102">
        <f>MIN(IF($AU27=100%,1,1+VLOOKUP(($AJ27-$AI27-$AH27-$AG27-$AF27-$AE27*(1+DP$3))/$AJ27,Уголь_коэфф!$A:$B,2,1)-VLOOKUP($AO27,Уголь_коэфф!$A:$B,2,1)),1+(1-$AU27))</f>
        <v>1.02</v>
      </c>
      <c r="DQ27" s="102">
        <f>MIN(IF($AU27=100%,1,1+VLOOKUP(($AJ27-$AI27-$AH27-$AG27-$AF27-$AE27*(1+DQ$3))/$AJ27,Уголь_коэфф!$A:$B,2,1)-VLOOKUP($AO27,Уголь_коэфф!$A:$B,2,1)),1+(1-$AU27))</f>
        <v>1.02</v>
      </c>
      <c r="DR27" s="102">
        <f>MIN(IF($AU27=100%,1,1+VLOOKUP(($AJ27-$AI27-$AH27-$AG27-$AF27-$AE27*(1+DR$3))/$AJ27,Уголь_коэфф!$A:$B,2,1)-VLOOKUP($AO27,Уголь_коэфф!$A:$B,2,1)),1+(1-$AU27))</f>
        <v>1.02</v>
      </c>
      <c r="DS27" s="102">
        <f>MIN(IF($AU27=100%,1,1+VLOOKUP(($AJ27-$AI27-$AH27-$AG27-$AF27-$AE27*(1+DS$3))/$AJ27,Уголь_коэфф!$A:$B,2,1)-VLOOKUP($AO27,Уголь_коэфф!$A:$B,2,1)),1+(1-$AU27))</f>
        <v>1.02</v>
      </c>
      <c r="DT27" s="102">
        <f>MIN(IF($AU27=100%,1,1+VLOOKUP(($AJ27-$AI27-$AH27-$AG27-$AF27-$AE27*(1+DT$3))/$AJ27,Уголь_коэфф!$A:$B,2,1)-VLOOKUP($AO27,Уголь_коэфф!$A:$B,2,1)),1+(1-$AU27))</f>
        <v>1.02</v>
      </c>
      <c r="DU27" s="102">
        <f>MIN(IF($AU27=100%,1,1+VLOOKUP(($AJ27-$AI27-$AH27-$AG27-$AF27-$AE27*(1+DU$3))/$AJ27,Уголь_коэфф!$A:$B,2,1)-VLOOKUP($AO27,Уголь_коэфф!$A:$B,2,1)),1+(1-$AU27))</f>
        <v>1.02</v>
      </c>
      <c r="DV27" s="102">
        <f>MIN(IF($AU27=100%,1,1+VLOOKUP(($AJ27-$AI27-$AH27-$AG27-$AF27-$AE27*(1+DV$3))/$AJ27,Уголь_коэфф!$A:$B,2,1)-VLOOKUP($AO27,Уголь_коэфф!$A:$B,2,1)),1+(1-$AU27))</f>
        <v>1.02</v>
      </c>
      <c r="DW27" s="102">
        <f>MIN(IF($AU27=100%,1,1+VLOOKUP(($AJ27-$AI27-$AH27-$AG27-$AF27-$AE27*(1+DW$3))/$AJ27,Уголь_коэфф!$A:$B,2,1)-VLOOKUP($AO27,Уголь_коэфф!$A:$B,2,1)),1+(1-$AU27))</f>
        <v>1.02</v>
      </c>
      <c r="DX27" s="102">
        <f>MIN(IF($AU27=100%,1,1+VLOOKUP(($AJ27-$AI27-$AH27-$AG27-$AF27-$AE27*(1+DX$3))/$AJ27,Уголь_коэфф!$A:$B,2,1)-VLOOKUP($AO27,Уголь_коэфф!$A:$B,2,1)),1+(1-$AU27))</f>
        <v>1.0150000000000001</v>
      </c>
      <c r="DY27" s="102">
        <f>MIN(IF($AU27=100%,1,1+VLOOKUP(($AJ27-$AI27-$AH27-$AG27-$AF27-$AE27*(1+DY$3))/$AJ27,Уголь_коэфф!$A:$B,2,1)-VLOOKUP($AO27,Уголь_коэфф!$A:$B,2,1)),1+(1-$AU27))</f>
        <v>1.0150000000000001</v>
      </c>
      <c r="DZ27" s="102">
        <f>MIN(IF($AU27=100%,1,1+VLOOKUP(($AJ27-$AI27-$AH27-$AG27-$AF27-$AE27*(1+DZ$3))/$AJ27,Уголь_коэфф!$A:$B,2,1)-VLOOKUP($AO27,Уголь_коэфф!$A:$B,2,1)),1+(1-$AU27))</f>
        <v>1.0150000000000001</v>
      </c>
      <c r="EA27" s="102">
        <f>MIN(IF($AU27=100%,1,1+VLOOKUP(($AJ27-$AI27-$AH27-$AG27-$AF27-$AE27*(1+EA$3))/$AJ27,Уголь_коэфф!$A:$B,2,1)-VLOOKUP($AO27,Уголь_коэфф!$A:$B,2,1)),1+(1-$AU27))</f>
        <v>1.0150000000000001</v>
      </c>
      <c r="EB27" s="102">
        <f>MIN(IF($AU27=100%,1,1+VLOOKUP(($AJ27-$AI27-$AH27-$AG27-$AF27-$AE27*(1+EB$3))/$AJ27,Уголь_коэфф!$A:$B,2,1)-VLOOKUP($AO27,Уголь_коэфф!$A:$B,2,1)),1+(1-$AU27))</f>
        <v>1.0150000000000001</v>
      </c>
      <c r="EC27" s="102">
        <f>MIN(IF($AU27=100%,1,1+VLOOKUP(($AJ27-$AI27-$AH27-$AG27-$AF27-$AE27*(1+EC$3))/$AJ27,Уголь_коэфф!$A:$B,2,1)-VLOOKUP($AO27,Уголь_коэфф!$A:$B,2,1)),1+(1-$AU27))</f>
        <v>1.0150000000000001</v>
      </c>
      <c r="ED27" s="102">
        <f>MIN(IF($AU27=100%,1,1+VLOOKUP(($AJ27-$AI27-$AH27-$AG27-$AF27-$AE27*(1+ED$3))/$AJ27,Уголь_коэфф!$A:$B,2,1)-VLOOKUP($AO27,Уголь_коэфф!$A:$B,2,1)),1+(1-$AU27))</f>
        <v>1.0150000000000001</v>
      </c>
      <c r="EE27" s="102">
        <f>MIN(IF($AU27=100%,1,1+VLOOKUP(($AJ27-$AI27-$AH27-$AG27-$AF27-$AE27*(1+EE$3))/$AJ27,Уголь_коэфф!$A:$B,2,1)-VLOOKUP($AO27,Уголь_коэфф!$A:$B,2,1)),1+(1-$AU27))</f>
        <v>1.0100000000000002</v>
      </c>
      <c r="EF27" s="102">
        <f>MIN(IF($AU27=100%,1,1+VLOOKUP(($AJ27-$AI27-$AH27-$AG27-$AF27-$AE27*(1+EF$3))/$AJ27,Уголь_коэфф!$A:$B,2,1)-VLOOKUP($AO27,Уголь_коэфф!$A:$B,2,1)),1+(1-$AU27))</f>
        <v>1.0100000000000002</v>
      </c>
      <c r="EG27" s="102">
        <f>MIN(IF($AU27=100%,1,1+VLOOKUP(($AJ27-$AI27-$AH27-$AG27-$AF27-$AE27*(1+EG$3))/$AJ27,Уголь_коэфф!$A:$B,2,1)-VLOOKUP($AO27,Уголь_коэфф!$A:$B,2,1)),1+(1-$AU27))</f>
        <v>1.0100000000000002</v>
      </c>
      <c r="EH27" s="102">
        <f>MIN(IF($AU27=100%,1,1+VLOOKUP(($AJ27-$AI27-$AH27-$AG27-$AF27-$AE27*(1+EH$3))/$AJ27,Уголь_коэфф!$A:$B,2,1)-VLOOKUP($AO27,Уголь_коэфф!$A:$B,2,1)),1+(1-$AU27))</f>
        <v>1.0100000000000002</v>
      </c>
      <c r="EI27" s="102">
        <f>MIN(IF($AU27=100%,1,1+VLOOKUP(($AJ27-$AI27-$AH27-$AG27-$AF27-$AE27*(1+EI$3))/$AJ27,Уголь_коэфф!$A:$B,2,1)-VLOOKUP($AO27,Уголь_коэфф!$A:$B,2,1)),1+(1-$AU27))</f>
        <v>1.0100000000000002</v>
      </c>
      <c r="EJ27" s="102">
        <f>MIN(IF($AU27=100%,1,1+VLOOKUP(($AJ27-$AI27-$AH27-$AG27-$AF27-$AE27*(1+EJ$3))/$AJ27,Уголь_коэфф!$A:$B,2,1)-VLOOKUP($AO27,Уголь_коэфф!$A:$B,2,1)),1+(1-$AU27))</f>
        <v>1.0100000000000002</v>
      </c>
      <c r="EK27" s="102">
        <f>MIN(IF($AU27=100%,1,1+VLOOKUP(($AJ27-$AI27-$AH27-$AG27-$AF27-$AE27*(1+EK$3))/$AJ27,Уголь_коэфф!$A:$B,2,1)-VLOOKUP($AO27,Уголь_коэфф!$A:$B,2,1)),1+(1-$AU27))</f>
        <v>1.0100000000000002</v>
      </c>
      <c r="EL27" s="102">
        <f>MIN(IF($AU27=100%,1,1+VLOOKUP(($AJ27-$AI27-$AH27-$AG27-$AF27-$AE27*(1+EL$3))/$AJ27,Уголь_коэфф!$A:$B,2,1)-VLOOKUP($AO27,Уголь_коэфф!$A:$B,2,1)),1+(1-$AU27))</f>
        <v>1.0100000000000002</v>
      </c>
      <c r="EM27" s="102">
        <f>MIN(IF($AU27=100%,1,1+VLOOKUP(($AJ27-$AI27-$AH27-$AG27-$AF27-$AE27*(1+EM$3))/$AJ27,Уголь_коэфф!$A:$B,2,1)-VLOOKUP($AO27,Уголь_коэфф!$A:$B,2,1)),1+(1-$AU27))</f>
        <v>1.0049999999999999</v>
      </c>
      <c r="EN27" s="102">
        <f>MIN(IF($AU27=100%,1,1+VLOOKUP(($AJ27-$AI27-$AH27-$AG27-$AF27-$AE27*(1+EN$3))/$AJ27,Уголь_коэфф!$A:$B,2,1)-VLOOKUP($AO27,Уголь_коэфф!$A:$B,2,1)),1+(1-$AU27))</f>
        <v>1.0049999999999999</v>
      </c>
      <c r="EO27" s="102">
        <f>MIN(IF($AU27=100%,1,1+VLOOKUP(($AJ27-$AI27-$AH27-$AG27-$AF27-$AE27*(1+EO$3))/$AJ27,Уголь_коэфф!$A:$B,2,1)-VLOOKUP($AO27,Уголь_коэфф!$A:$B,2,1)),1+(1-$AU27))</f>
        <v>1.0049999999999999</v>
      </c>
      <c r="EP27" s="102">
        <f>MIN(IF($AU27=100%,1,1+VLOOKUP(($AJ27-$AI27-$AH27-$AG27-$AF27-$AE27*(1+EP$3))/$AJ27,Уголь_коэфф!$A:$B,2,1)-VLOOKUP($AO27,Уголь_коэфф!$A:$B,2,1)),1+(1-$AU27))</f>
        <v>1.0049999999999999</v>
      </c>
      <c r="EQ27" s="102">
        <f>MIN(IF($AU27=100%,1,1+VLOOKUP(($AJ27-$AI27-$AH27-$AG27-$AF27-$AE27*(1+EQ$3))/$AJ27,Уголь_коэфф!$A:$B,2,1)-VLOOKUP($AO27,Уголь_коэфф!$A:$B,2,1)),1+(1-$AU27))</f>
        <v>1.0049999999999999</v>
      </c>
      <c r="ER27" s="102">
        <f>MIN(IF($AU27=100%,1,1+VLOOKUP(($AJ27-$AI27-$AH27-$AG27-$AF27-$AE27*(1+ER$3))/$AJ27,Уголь_коэфф!$A:$B,2,1)-VLOOKUP($AO27,Уголь_коэфф!$A:$B,2,1)),1+(1-$AU27))</f>
        <v>1.0049999999999999</v>
      </c>
      <c r="ES27" s="102">
        <f>MIN(IF($AU27=100%,1,1+VLOOKUP(($AJ27-$AI27-$AH27-$AG27-$AF27-$AE27*(1+ES$3))/$AJ27,Уголь_коэфф!$A:$B,2,1)-VLOOKUP($AO27,Уголь_коэфф!$A:$B,2,1)),1+(1-$AU27))</f>
        <v>1.0049999999999999</v>
      </c>
      <c r="ET27" s="102">
        <f>MIN(IF($AU27=100%,1,1+VLOOKUP(($AJ27-$AI27-$AH27-$AG27-$AF27-$AE27*(1+ET$3))/$AJ27,Уголь_коэфф!$A:$B,2,1)-VLOOKUP($AO27,Уголь_коэфф!$A:$B,2,1)),1+(1-$AU27))</f>
        <v>1.0049999999999999</v>
      </c>
      <c r="EU27" s="102">
        <f>MIN(IF($AU27=100%,1,1+VLOOKUP(($AJ27-$AI27-$AH27-$AG27-$AF27-$AE27*(1+EU$3))/$AJ27,Уголь_коэфф!$A:$B,2,1)-VLOOKUP($AO27,Уголь_коэфф!$A:$B,2,1)),1+(1-$AU27))</f>
        <v>1</v>
      </c>
      <c r="EV27" s="103">
        <v>1</v>
      </c>
      <c r="EW27" s="102">
        <f>MIN(1,MAX(VLOOKUP(($AJ27-$AI27-$AH27-$AG27-$AF27-$AE27*(1+EW$3))/$AJ27,Уголь_коэфф!$A:$B,2,1),(EV27-0.05)))</f>
        <v>1</v>
      </c>
      <c r="EX27" s="102">
        <f>MIN(1,MAX(VLOOKUP(($AJ27-$AI27-$AH27-$AG27-$AF27-$AE27*(1+EX$3))/$AJ27,Уголь_коэфф!$A:$B,2,1),(EW27-0.05)))</f>
        <v>1</v>
      </c>
      <c r="EY27" s="102">
        <f>MIN(1,MAX(VLOOKUP(($AJ27-$AI27-$AH27-$AG27-$AF27-$AE27*(1+EY$3))/$AJ27,Уголь_коэфф!$A:$B,2,1),(EX27-0.05)))</f>
        <v>1</v>
      </c>
      <c r="EZ27" s="102">
        <f>MIN(1,MAX(VLOOKUP(($AJ27-$AI27-$AH27-$AG27-$AF27-$AE27*(1+EZ$3))/$AJ27,Уголь_коэфф!$A:$B,2,1),(EY27-0.05)))</f>
        <v>1</v>
      </c>
      <c r="FA27" s="102">
        <f>MIN(1,MAX(VLOOKUP(($AJ27-$AI27-$AH27-$AG27-$AF27-$AE27*(1+FA$3))/$AJ27,Уголь_коэфф!$A:$B,2,1),(EZ27-0.05)))</f>
        <v>1</v>
      </c>
      <c r="FB27" s="102">
        <f>MIN(1,MAX(VLOOKUP(($AJ27-$AI27-$AH27-$AG27-$AF27-$AE27*(1+FB$3))/$AJ27,Уголь_коэфф!$A:$B,2,1),(FA27-0.05)))</f>
        <v>1</v>
      </c>
      <c r="FC27" s="102">
        <f>MIN(1,MAX(VLOOKUP(($AJ27-$AI27-$AH27-$AG27-$AF27-$AE27*(1+FC$3))/$AJ27,Уголь_коэфф!$A:$B,2,1),(FB27-0.05)))</f>
        <v>1</v>
      </c>
      <c r="FD27" s="102">
        <f>MIN(1,MAX(VLOOKUP(($AJ27-$AI27-$AH27-$AG27-$AF27-$AE27*(1+FD$3))/$AJ27,Уголь_коэфф!$A:$B,2,1),(FC27-0.05)))</f>
        <v>1</v>
      </c>
      <c r="FE27" s="102">
        <f>MIN(1,MAX(VLOOKUP(($AJ27-$AI27-$AH27-$AG27-$AF27-$AE27*(1+FE$3))/$AJ27,Уголь_коэфф!$A:$B,2,1),(FD27-0.05)))</f>
        <v>1</v>
      </c>
      <c r="FF27" s="102">
        <f>MIN(1,MAX(VLOOKUP(($AJ27-$AI27-$AH27-$AG27-$AF27-$AE27*(1+FF$3))/$AJ27,Уголь_коэфф!$A:$B,2,1),(FE27-0.05)))</f>
        <v>1</v>
      </c>
      <c r="FG27" s="102">
        <f>MIN(1,MAX(VLOOKUP(($AJ27-$AI27-$AH27-$AG27-$AF27-$AE27*(1+FG$3))/$AJ27,Уголь_коэфф!$A:$B,2,1),(FF27-0.05)))</f>
        <v>1</v>
      </c>
      <c r="FH27" s="102">
        <f>MIN(1,MAX(VLOOKUP(($AJ27-$AI27-$AH27-$AG27-$AF27-$AE27*(1+FH$3))/$AJ27,Уголь_коэфф!$A:$B,2,1),(FG27-0.05)))</f>
        <v>1</v>
      </c>
      <c r="FI27" s="102">
        <f>MIN(1,MAX(VLOOKUP(($AJ27-$AI27-$AH27-$AG27-$AF27-$AE27*(1+FI$3))/$AJ27,Уголь_коэфф!$A:$B,2,1),(FH27-0.05)))</f>
        <v>1</v>
      </c>
      <c r="FJ27" s="102">
        <f>MIN(1,MAX(VLOOKUP(($AJ27-$AI27-$AH27-$AG27-$AF27-$AE27*(1+FJ$3))/$AJ27,Уголь_коэфф!$A:$B,2,1),(FI27-0.05)))</f>
        <v>1</v>
      </c>
      <c r="FK27" s="102">
        <f>MIN(1,MAX(VLOOKUP(($AJ27-$AI27-$AH27-$AG27-$AF27-$AE27*(1+FK$3))/$AJ27,Уголь_коэфф!$A:$B,2,1),(FJ27-0.05)))</f>
        <v>1</v>
      </c>
      <c r="FL27" s="102">
        <f>MIN(1,MAX(VLOOKUP(($AJ27-$AI27-$AH27-$AG27-$AF27-$AE27*(1+FL$3))/$AJ27,Уголь_коэфф!$A:$B,2,1),(FK27-0.05)))</f>
        <v>1</v>
      </c>
      <c r="FM27" s="102">
        <f>MIN(1,MAX(VLOOKUP(($AJ27-$AI27-$AH27-$AG27-$AF27-$AE27*(1+FM$3))/$AJ27,Уголь_коэфф!$A:$B,2,1),(FL27-0.05)))</f>
        <v>1</v>
      </c>
      <c r="FN27" s="102">
        <f>MIN(1,MAX(VLOOKUP(($AJ27-$AI27-$AH27-$AG27-$AF27-$AE27*(1+FN$3))/$AJ27,Уголь_коэфф!$A:$B,2,1),(FM27-0.05)))</f>
        <v>1</v>
      </c>
      <c r="FO27" s="102">
        <f>MIN(1,MAX(VLOOKUP(($AJ27-$AI27-$AH27-$AG27-$AF27-$AE27*(1+FO$3))/$AJ27,Уголь_коэфф!$A:$B,2,1),(FN27-0.05)))</f>
        <v>1</v>
      </c>
      <c r="FP27" s="102">
        <f>MIN(1,MAX(VLOOKUP(($AJ27-$AI27-$AH27-$AG27-$AF27-$AE27*(1+FP$3))/$AJ27,Уголь_коэфф!$A:$B,2,1),(FO27-0.05)))</f>
        <v>1</v>
      </c>
      <c r="FQ27" s="102">
        <f>MIN(1,MAX(VLOOKUP(($AJ27-$AI27-$AH27-$AG27-$AF27-$AE27*(1+FQ$3))/$AJ27,Уголь_коэфф!$A:$B,2,1),(FP27-0.05)))</f>
        <v>1</v>
      </c>
      <c r="FR27" s="102">
        <f>MIN(1,MAX(VLOOKUP(($AJ27-$AI27-$AH27-$AG27-$AF27-$AE27*(1+FR$3))/$AJ27,Уголь_коэфф!$A:$B,2,1),(FQ27-0.05)))</f>
        <v>1</v>
      </c>
      <c r="FS27" s="102">
        <f>MIN(1,MAX(VLOOKUP(($AJ27-$AI27-$AH27-$AG27-$AF27-$AE27*(1+FS$3))/$AJ27,Уголь_коэфф!$A:$B,2,1),(FR27-0.05)))</f>
        <v>1</v>
      </c>
      <c r="FT27" s="102">
        <f>MIN(1,MAX(VLOOKUP(($AJ27-$AI27-$AH27-$AG27-$AF27-$AE27*(1+FT$3))/$AJ27,Уголь_коэфф!$A:$B,2,1),(FS27-0.05)))</f>
        <v>1</v>
      </c>
      <c r="FU27" s="102">
        <f>MIN(1,MAX(VLOOKUP(($AJ27-$AI27-$AH27-$AG27-$AF27-$AE27*(1+FU$3))/$AJ27,Уголь_коэфф!$A:$B,2,1),(FT27-0.05)))</f>
        <v>1</v>
      </c>
      <c r="FV27" s="102">
        <f>MIN(1,MAX(VLOOKUP(($AJ27-$AI27-$AH27-$AG27-$AF27-$AE27*(1+FV$3))/$AJ27,Уголь_коэфф!$A:$B,2,1),(FU27-0.05)))</f>
        <v>1</v>
      </c>
      <c r="FW27" s="102">
        <f>MIN(1,MAX(VLOOKUP(($AJ27-$AI27-$AH27-$AG27-$AF27-$AE27*(1+FW$3))/$AJ27,Уголь_коэфф!$A:$B,2,1),(FV27-0.05)))</f>
        <v>1</v>
      </c>
      <c r="FX27" s="102">
        <f>MIN(1,MAX(VLOOKUP(($AJ27-$AI27-$AH27-$AG27-$AF27-$AE27*(1+FX$3))/$AJ27,Уголь_коэфф!$A:$B,2,1),(FW27-0.05)))</f>
        <v>1</v>
      </c>
      <c r="FY27" s="102">
        <f>MIN(1,MAX(VLOOKUP(($AJ27-$AI27-$AH27-$AG27-$AF27-$AE27*(1+FY$3))/$AJ27,Уголь_коэфф!$A:$B,2,1),(FX27-0.05)))</f>
        <v>1</v>
      </c>
      <c r="FZ27" s="102">
        <f>MIN(1,MAX(VLOOKUP(($AJ27-$AI27-$AH27-$AG27-$AF27-$AE27*(1+FZ$3))/$AJ27,Уголь_коэфф!$A:$B,2,1),(FY27-0.05)))</f>
        <v>1</v>
      </c>
      <c r="GA27" s="102">
        <f>MIN(1,MAX(VLOOKUP(($AJ27-$AI27-$AH27-$AG27-$AF27-$AE27*(1+GA$3))/$AJ27,Уголь_коэфф!$A:$B,2,1),(FZ27-0.05)))</f>
        <v>1</v>
      </c>
      <c r="GB27" s="102">
        <f>MIN(1,MAX(VLOOKUP(($AJ27-$AI27-$AH27-$AG27-$AF27-$AE27*(1+GB$3))/$AJ27,Уголь_коэфф!$A:$B,2,1),(GA27-0.05)))</f>
        <v>1</v>
      </c>
      <c r="GC27" s="102">
        <f>MIN(1,MAX(VLOOKUP(($AJ27-$AI27-$AH27-$AG27-$AF27-$AE27*(1+GC$3))/$AJ27,Уголь_коэфф!$A:$B,2,1),(GB27-0.05)))</f>
        <v>1</v>
      </c>
      <c r="GD27" s="102">
        <f>MIN(1,MAX(VLOOKUP(($AJ27-$AI27-$AH27-$AG27-$AF27-$AE27*(1+GD$3))/$AJ27,Уголь_коэфф!$A:$B,2,1),(GC27-0.05)))</f>
        <v>1</v>
      </c>
      <c r="GE27" s="102">
        <f>MIN(1,MAX(VLOOKUP(($AJ27-$AI27-$AH27-$AG27-$AF27-$AE27*(1+GE$3))/$AJ27,Уголь_коэфф!$A:$B,2,1),(GD27-0.05)))</f>
        <v>1</v>
      </c>
      <c r="GF27" s="102">
        <f>MIN(1,MAX(VLOOKUP(($AJ27-$AI27-$AH27-$AG27-$AF27-$AE27*(1+GF$3))/$AJ27,Уголь_коэфф!$A:$B,2,1),(GE27-0.05)))</f>
        <v>1</v>
      </c>
      <c r="GG27" s="102">
        <f>MIN(1,MAX(VLOOKUP(($AJ27-$AI27-$AH27-$AG27-$AF27-$AE27*(1+GG$3))/$AJ27,Уголь_коэфф!$A:$B,2,1),(GF27-0.05)))</f>
        <v>1</v>
      </c>
      <c r="GH27" s="102">
        <f>MIN(1,MAX(VLOOKUP(($AJ27-$AI27-$AH27-$AG27-$AF27-$AE27*(1+GH$3))/$AJ27,Уголь_коэфф!$A:$B,2,1),(GG27-0.05)))</f>
        <v>1</v>
      </c>
      <c r="GI27" s="102">
        <f>MIN(1,MAX(VLOOKUP(($AJ27-$AI27-$AH27-$AG27-$AF27-$AE27*(1+GI$3))/$AJ27,Уголь_коэфф!$A:$B,2,1),(GH27-0.05)))</f>
        <v>1</v>
      </c>
      <c r="GJ27" s="102">
        <f>MIN(1,MAX(VLOOKUP(($AJ27-$AI27-$AH27-$AG27-$AF27-$AE27*(1+GJ$3))/$AJ27,Уголь_коэфф!$A:$B,2,1),(GI27-0.05)))</f>
        <v>1</v>
      </c>
      <c r="GK27" s="102">
        <f>MIN(1,MAX(VLOOKUP(($AJ27-$AI27-$AH27-$AG27-$AF27-$AE27*(1+GK$3))/$AJ27,Уголь_коэфф!$A:$B,2,1),(GJ27-0.05)))</f>
        <v>1</v>
      </c>
      <c r="GL27" s="102">
        <f>MIN(1,MAX(VLOOKUP(($AJ27-$AI27-$AH27-$AG27-$AF27-$AE27*(1+GL$3))/$AJ27,Уголь_коэфф!$A:$B,2,1),(GK27-0.05)))</f>
        <v>1</v>
      </c>
      <c r="GM27" s="102">
        <f>MIN(1,MAX(VLOOKUP(($AJ27-$AI27-$AH27-$AG27-$AF27-$AE27*(1+GM$3))/$AJ27,Уголь_коэфф!$A:$B,2,1),(GL27-0.05)))</f>
        <v>1</v>
      </c>
      <c r="GN27" s="102">
        <f>MIN(1,MAX(VLOOKUP(($AJ27-$AI27-$AH27-$AG27-$AF27-$AE27*(1+GN$3))/$AJ27,Уголь_коэфф!$A:$B,2,1),(GM27-0.05)))</f>
        <v>1</v>
      </c>
      <c r="GO27" s="102">
        <f>MIN(1,MAX(VLOOKUP(($AJ27-$AI27-$AH27-$AG27-$AF27-$AE27*(1+GO$3))/$AJ27,Уголь_коэфф!$A:$B,2,1),(GN27-0.05)))</f>
        <v>1</v>
      </c>
      <c r="GP27" s="102">
        <f>MIN(1,MAX(VLOOKUP(($AJ27-$AI27-$AH27-$AG27-$AF27-$AE27*(1+GP$3))/$AJ27,Уголь_коэфф!$A:$B,2,1),(GO27-0.05)))</f>
        <v>1</v>
      </c>
      <c r="GQ27" s="102">
        <f>MIN(1,MAX(VLOOKUP(($AJ27-$AI27-$AH27-$AG27-$AF27-$AE27*(1+GQ$3))/$AJ27,Уголь_коэфф!$A:$B,2,1),(GP27-0.05)))</f>
        <v>1</v>
      </c>
      <c r="GR27" s="102">
        <f>MIN(1,MAX(VLOOKUP(($AJ27-$AI27-$AH27-$AG27-$AF27-$AE27*(1+GR$3))/$AJ27,Уголь_коэфф!$A:$B,2,1),(GQ27-0.05)))</f>
        <v>1</v>
      </c>
      <c r="GS27" s="102">
        <f>MIN(1,MAX(VLOOKUP(($AJ27-$AI27-$AH27-$AG27-$AF27-$AE27*(1+GS$3))/$AJ27,Уголь_коэфф!$A:$B,2,1),(GR27-0.05)))</f>
        <v>1</v>
      </c>
      <c r="GT27" s="102">
        <f>MIN(1,MAX(VLOOKUP(($AJ27-$AI27-$AH27-$AG27-$AF27-$AE27*(1+GT$3))/$AJ27,Уголь_коэфф!$A:$B,2,1),(GS27-0.05)))</f>
        <v>1</v>
      </c>
      <c r="GU27" s="102">
        <f>MIN(1,MAX(VLOOKUP(($AJ27-$AI27-$AH27-$AG27-$AF27-$AE27*(1+GU$3))/$AJ27,Уголь_коэфф!$A:$B,2,1),(GT27-0.05)))</f>
        <v>1</v>
      </c>
      <c r="GV27" s="102">
        <f>MIN(1,MAX(VLOOKUP(($AJ27-$AI27-$AH27-$AG27-$AF27-$AE27*(1+GV$3))/$AJ27,Уголь_коэфф!$A:$B,2,1),(GU27-0.05)))</f>
        <v>1</v>
      </c>
      <c r="GW27" s="102">
        <f>MIN(1,MAX(VLOOKUP(($AJ27-$AI27-$AH27-$AG27-$AF27-$AE27*(1+GW$3))/$AJ27,Уголь_коэфф!$A:$B,2,1),(GV27-0.05)))</f>
        <v>1</v>
      </c>
      <c r="GX27" s="102">
        <f>MIN(1,MAX(VLOOKUP(($AJ27-$AI27-$AH27-$AG27-$AF27-$AE27*(1+GX$3))/$AJ27,Уголь_коэфф!$A:$B,2,1),(GW27-0.05)))</f>
        <v>1</v>
      </c>
      <c r="GY27" s="102">
        <f>MIN(1,MAX(VLOOKUP(($AJ27-$AI27-$AH27-$AG27-$AF27-$AE27*(1+GY$3))/$AJ27,Уголь_коэфф!$A:$B,2,1),(GX27-0.05)))</f>
        <v>1</v>
      </c>
      <c r="GZ27" s="102">
        <f>MIN(1,MAX(VLOOKUP(($AJ27-$AI27-$AH27-$AG27-$AF27-$AE27*(1+GZ$3))/$AJ27,Уголь_коэфф!$A:$B,2,1),(GY27-0.05)))</f>
        <v>1</v>
      </c>
      <c r="HA27" s="102">
        <f>MIN(1,MAX(VLOOKUP(($AJ27-$AI27-$AH27-$AG27-$AF27-$AE27*(1+HA$3))/$AJ27,Уголь_коэфф!$A:$B,2,1),(GZ27-0.05)))</f>
        <v>1</v>
      </c>
      <c r="HB27" s="102">
        <f>MIN(1,MAX(VLOOKUP(($AJ27-$AI27-$AH27-$AG27-$AF27-$AE27*(1+HB$3))/$AJ27,Уголь_коэфф!$A:$B,2,1),(HA27-0.05)))</f>
        <v>1</v>
      </c>
      <c r="HC27" s="102">
        <f>MIN(1,MAX(VLOOKUP(($AJ27-$AI27-$AH27-$AG27-$AF27-$AE27*(1+HC$3))/$AJ27,Уголь_коэфф!$A:$B,2,1),(HB27-0.05)))</f>
        <v>1</v>
      </c>
      <c r="HD27" s="102">
        <f>MIN(1,MAX(VLOOKUP(($AJ27-$AI27-$AH27-$AG27-$AF27-$AE27*(1+HD$3))/$AJ27,Уголь_коэфф!$A:$B,2,1),(HC27-0.05)))</f>
        <v>1</v>
      </c>
      <c r="HE27" s="102">
        <f>MIN(1,MAX(VLOOKUP(($AJ27-$AI27-$AH27-$AG27-$AF27-$AE27*(1+HE$3))/$AJ27,Уголь_коэфф!$A:$B,2,1),(HD27-0.05)))</f>
        <v>1</v>
      </c>
      <c r="HF27" s="102">
        <f>MIN(1,MAX(VLOOKUP(($AJ27-$AI27-$AH27-$AG27-$AF27-$AE27*(1+HF$3))/$AJ27,Уголь_коэфф!$A:$B,2,1),(HE27-0.05)))</f>
        <v>1</v>
      </c>
      <c r="HG27" s="102">
        <f>MIN(1,MAX(VLOOKUP(($AJ27-$AI27-$AH27-$AG27-$AF27-$AE27*(1+HG$3))/$AJ27,Уголь_коэфф!$A:$B,2,1),(HF27-0.05)))</f>
        <v>1</v>
      </c>
      <c r="HH27" s="102">
        <f>MIN(1,MAX(VLOOKUP(($AJ27-$AI27-$AH27-$AG27-$AF27-$AE27*(1+HH$3))/$AJ27,Уголь_коэфф!$A:$B,2,1),(HG27-0.05)))</f>
        <v>1</v>
      </c>
      <c r="HI27" s="102">
        <f>MIN(1,MAX(VLOOKUP(($AJ27-$AI27-$AH27-$AG27-$AF27-$AE27*(1+HI$3))/$AJ27,Уголь_коэфф!$A:$B,2,1),(HH27-0.05)))</f>
        <v>1</v>
      </c>
      <c r="HJ27" s="102">
        <f>MIN(1,MAX(VLOOKUP(($AJ27-$AI27-$AH27-$AG27-$AF27-$AE27*(1+HJ$3))/$AJ27,Уголь_коэфф!$A:$B,2,1),(HI27-0.05)))</f>
        <v>1</v>
      </c>
      <c r="HK27" s="102">
        <f>MIN(1,MAX(VLOOKUP(($AJ27-$AI27-$AH27-$AG27-$AF27-$AE27*(1+HK$3))/$AJ27,Уголь_коэфф!$A:$B,2,1),(HJ27-0.05)))</f>
        <v>1</v>
      </c>
      <c r="HL27" s="102">
        <f>MIN(1,MAX(VLOOKUP(($AJ27-$AI27-$AH27-$AG27-$AF27-$AE27*(1+HL$3))/$AJ27,Уголь_коэфф!$A:$B,2,1),(HK27-0.05)))</f>
        <v>1</v>
      </c>
      <c r="HM27" s="102">
        <f>MIN(1,MAX(VLOOKUP(($AJ27-$AI27-$AH27-$AG27-$AF27-$AE27*(1+HM$3))/$AJ27,Уголь_коэфф!$A:$B,2,1),(HL27-0.05)))</f>
        <v>1</v>
      </c>
      <c r="HN27" s="102">
        <f>MIN(1,MAX(VLOOKUP(($AJ27-$AI27-$AH27-$AG27-$AF27-$AE27*(1+HN$3))/$AJ27,Уголь_коэфф!$A:$B,2,1),(HM27-0.05)))</f>
        <v>1</v>
      </c>
      <c r="HO27" s="102">
        <f>MIN(1,MAX(VLOOKUP(($AJ27-$AI27-$AH27-$AG27-$AF27-$AE27*(1+HO$3))/$AJ27,Уголь_коэфф!$A:$B,2,1),(HN27-0.05)))</f>
        <v>1</v>
      </c>
      <c r="HP27" s="102">
        <f>MIN(1,MAX(VLOOKUP(($AJ27-$AI27-$AH27-$AG27-$AF27-$AE27*(1+HP$3))/$AJ27,Уголь_коэфф!$A:$B,2,1),(HO27-0.05)))</f>
        <v>1</v>
      </c>
      <c r="HQ27" s="102">
        <f>MIN(1,MAX(VLOOKUP(($AJ27-$AI27-$AH27-$AG27-$AF27-$AE27*(1+HQ$3))/$AJ27,Уголь_коэфф!$A:$B,2,1),(HP27-0.05)))</f>
        <v>1</v>
      </c>
      <c r="HR27" s="102">
        <f>MIN(1,MAX(VLOOKUP(($AJ27-$AI27-$AH27-$AG27-$AF27-$AE27*(1+HR$3))/$AJ27,Уголь_коэфф!$A:$B,2,1),(HQ27-0.05)))</f>
        <v>1</v>
      </c>
      <c r="HS27" s="102">
        <f>MIN(1,MAX(VLOOKUP(($AJ27-$AI27-$AH27-$AG27-$AF27-$AE27*(1+HS$3))/$AJ27,Уголь_коэфф!$A:$B,2,1),(HR27-0.05)))</f>
        <v>1</v>
      </c>
      <c r="HT27" s="102">
        <f>MIN(1,MAX(VLOOKUP(($AJ27-$AI27-$AH27-$AG27-$AF27-$AE27*(1+HT$3))/$AJ27,Уголь_коэфф!$A:$B,2,1),(HS27-0.05)))</f>
        <v>1</v>
      </c>
      <c r="HU27" s="102">
        <f>MIN(1,MAX(VLOOKUP(($AJ27-$AI27-$AH27-$AG27-$AF27-$AE27*(1+HU$3))/$AJ27,Уголь_коэфф!$A:$B,2,1),(HT27-0.05)))</f>
        <v>1</v>
      </c>
      <c r="HV27" s="102">
        <f>MIN(1,MAX(VLOOKUP(($AJ27-$AI27-$AH27-$AG27-$AF27-$AE27*(1+HV$3))/$AJ27,Уголь_коэфф!$A:$B,2,1),(HU27-0.05)))</f>
        <v>1</v>
      </c>
      <c r="HW27" s="102">
        <f>MIN(1,MAX(VLOOKUP(($AJ27-$AI27-$AH27-$AG27-$AF27-$AE27*(1+HW$3))/$AJ27,Уголь_коэфф!$A:$B,2,1),(HV27-0.05)))</f>
        <v>1</v>
      </c>
      <c r="HX27" s="102">
        <f>MIN(1,MAX(VLOOKUP(($AJ27-$AI27-$AH27-$AG27-$AF27-$AE27*(1+HX$3))/$AJ27,Уголь_коэфф!$A:$B,2,1),(HW27-0.05)))</f>
        <v>1</v>
      </c>
      <c r="HY27" s="102">
        <f>MIN(1,MAX(VLOOKUP(($AJ27-$AI27-$AH27-$AG27-$AF27-$AE27*(1+HY$3))/$AJ27,Уголь_коэфф!$A:$B,2,1),(HX27-0.05)))</f>
        <v>1</v>
      </c>
      <c r="HZ27" s="102">
        <f>MIN(1,MAX(VLOOKUP(($AJ27-$AI27-$AH27-$AG27-$AF27-$AE27*(1+HZ$3))/$AJ27,Уголь_коэфф!$A:$B,2,1),(HY27-0.05)))</f>
        <v>1</v>
      </c>
      <c r="IA27" s="102">
        <f>MIN(1,MAX(VLOOKUP(($AJ27-$AI27-$AH27-$AG27-$AF27-$AE27*(1+IA$3))/$AJ27,Уголь_коэфф!$A:$B,2,1),(HZ27-0.05)))</f>
        <v>1</v>
      </c>
      <c r="IB27" s="102">
        <f>MIN(1,MAX(VLOOKUP(($AJ27-$AI27-$AH27-$AG27-$AF27-$AE27*(1+IB$3))/$AJ27,Уголь_коэфф!$A:$B,2,1),(IA27-0.05)))</f>
        <v>1</v>
      </c>
      <c r="IC27" s="102">
        <f>MIN(1,MAX(VLOOKUP(($AJ27-$AI27-$AH27-$AG27-$AF27-$AE27*(1+IC$3))/$AJ27,Уголь_коэфф!$A:$B,2,1),(IB27-0.05)))</f>
        <v>1</v>
      </c>
      <c r="ID27" s="102">
        <f>MIN(1,MAX(VLOOKUP(($AJ27-$AI27-$AH27-$AG27-$AF27-$AE27*(1+ID$3))/$AJ27,Уголь_коэфф!$A:$B,2,1),(IC27-0.05)))</f>
        <v>1</v>
      </c>
      <c r="IE27" s="102">
        <f>MIN(1,MAX(VLOOKUP(($AJ27-$AI27-$AH27-$AG27-$AF27-$AE27*(1+IE$3))/$AJ27,Уголь_коэфф!$A:$B,2,1),(ID27-0.05)))</f>
        <v>1</v>
      </c>
      <c r="IF27" s="102">
        <f>MIN(1,MAX(VLOOKUP(($AJ27-$AI27-$AH27-$AG27-$AF27-$AE27*(1+IF$3))/$AJ27,Уголь_коэфф!$A:$B,2,1),(IE27-0.05)))</f>
        <v>1</v>
      </c>
      <c r="IG27" s="102">
        <f>MIN(1,MAX(VLOOKUP(($AJ27-$AI27-$AH27-$AG27-$AF27-$AE27*(1+IG$3))/$AJ27,Уголь_коэфф!$A:$B,2,1),(IF27-0.05)))</f>
        <v>1</v>
      </c>
      <c r="IH27" s="102">
        <f>MIN(1,MAX(VLOOKUP(($AJ27-$AI27-$AH27-$AG27-$AF27-$AE27*(1+IH$3))/$AJ27,Уголь_коэфф!$A:$B,2,1),(IG27-0.05)))</f>
        <v>1</v>
      </c>
      <c r="II27" s="102">
        <f>MIN(1,MAX(VLOOKUP(($AJ27-$AI27-$AH27-$AG27-$AF27-$AE27*(1+II$3))/$AJ27,Уголь_коэфф!$A:$B,2,1),(IH27-0.05)))</f>
        <v>1</v>
      </c>
      <c r="IJ27" s="102">
        <f>MIN(1,MAX(VLOOKUP(($AJ27-$AI27-$AH27-$AG27-$AF27-$AE27*(1+IJ$3))/$AJ27,Уголь_коэфф!$A:$B,2,1),(II27-0.05)))</f>
        <v>1</v>
      </c>
      <c r="IK27" s="102">
        <f>MIN(1,MAX(VLOOKUP(($AJ27-$AI27-$AH27-$AG27-$AF27-$AE27*(1+IK$3))/$AJ27,Уголь_коэфф!$A:$B,2,1),(IJ27-0.05)))</f>
        <v>1</v>
      </c>
      <c r="IL27" s="102">
        <f>MIN(1,MAX(VLOOKUP(($AJ27-$AI27-$AH27-$AG27-$AF27-$AE27*(1+IL$3))/$AJ27,Уголь_коэфф!$A:$B,2,1),(IK27-0.05)))</f>
        <v>1</v>
      </c>
      <c r="IM27" s="102">
        <f>MIN(1,MAX(VLOOKUP(($AJ27-$AI27-$AH27-$AG27-$AF27-$AE27*(1+IM$3))/$AJ27,Уголь_коэфф!$A:$B,2,1),(IL27-0.05)))</f>
        <v>1</v>
      </c>
      <c r="IN27" s="102">
        <f>MIN(1,MAX(VLOOKUP(($AJ27-$AI27-$AH27-$AG27-$AF27-$AE27*(1+IN$3))/$AJ27,Уголь_коэфф!$A:$B,2,1),(IM27-0.05)))</f>
        <v>1</v>
      </c>
      <c r="IO27" s="102">
        <f>MIN(1,MAX(VLOOKUP(($AJ27-$AI27-$AH27-$AG27-$AF27-$AE27*(1+IO$3))/$AJ27,Уголь_коэфф!$A:$B,2,1),(IN27-0.05)))</f>
        <v>1</v>
      </c>
      <c r="IP27" s="102">
        <f>MIN(1,MAX(VLOOKUP(($AJ27-$AI27-$AH27-$AG27-$AF27-$AE27*(1+IP$3))/$AJ27,Уголь_коэфф!$A:$B,2,1),(IO27-0.05)))</f>
        <v>1</v>
      </c>
      <c r="IQ27" s="102">
        <f>MIN(1,MAX(VLOOKUP(($AJ27-$AI27-$AH27-$AG27-$AF27-$AE27*(1+IQ$3))/$AJ27,Уголь_коэфф!$A:$B,2,1),(IP27-0.05)))</f>
        <v>1</v>
      </c>
      <c r="IR27" s="102">
        <f>MIN(1,MAX(VLOOKUP(($AJ27-$AI27-$AH27-$AG27-$AF27-$AE27*(1+IR$3))/$AJ27,Уголь_коэфф!$A:$B,2,1),(IQ27-0.05)))</f>
        <v>1</v>
      </c>
      <c r="IS27" s="102">
        <f t="shared" si="20"/>
        <v>1</v>
      </c>
      <c r="IT27" s="102">
        <f t="shared" si="7"/>
        <v>1</v>
      </c>
      <c r="IU27" s="110"/>
    </row>
    <row r="28" spans="1:255" ht="14.6" customHeight="1">
      <c r="AC28" s="424"/>
      <c r="AD28" s="424"/>
      <c r="AE28" s="424"/>
      <c r="AF28" s="3"/>
      <c r="AG28" s="3"/>
      <c r="AH28" s="3"/>
      <c r="AI28" s="3"/>
      <c r="CX28" s="26"/>
    </row>
    <row r="29" spans="1:255" ht="14.6" customHeight="1">
      <c r="CX29" s="25"/>
      <c r="CY29" s="24"/>
    </row>
    <row r="30" spans="1:255" ht="14.6" customHeight="1">
      <c r="CX30" s="24"/>
      <c r="CY30" s="24"/>
    </row>
    <row r="32" spans="1:255">
      <c r="CZ32" s="25"/>
    </row>
    <row r="33" spans="102:104">
      <c r="CX33" s="25"/>
    </row>
    <row r="34" spans="102:104">
      <c r="CZ34" s="16"/>
    </row>
    <row r="38" spans="102:104" ht="30.9" customHeight="1"/>
    <row r="39" spans="102:104" ht="21" customHeight="1"/>
  </sheetData>
  <autoFilter ref="B3:IR27">
    <filterColumn colId="17"/>
    <filterColumn colId="18"/>
    <filterColumn colId="19"/>
    <filterColumn colId="20"/>
    <filterColumn colId="21"/>
    <filterColumn colId="24"/>
    <filterColumn colId="25"/>
    <filterColumn colId="26"/>
    <filterColumn colId="43"/>
    <filterColumn colId="46"/>
    <filterColumn colId="47"/>
    <filterColumn colId="48"/>
    <filterColumn colId="49"/>
    <filterColumn colId="50"/>
    <filterColumn colId="51"/>
    <filterColumn colId="52"/>
    <filterColumn colId="53"/>
    <filterColumn colId="54"/>
    <filterColumn colId="55"/>
    <filterColumn colId="56"/>
    <filterColumn colId="57"/>
    <filterColumn colId="58"/>
    <filterColumn colId="59"/>
    <filterColumn colId="60"/>
    <filterColumn colId="61"/>
    <filterColumn colId="62"/>
    <filterColumn colId="63"/>
    <filterColumn colId="64"/>
    <filterColumn colId="65"/>
    <filterColumn colId="66"/>
    <filterColumn colId="67"/>
    <filterColumn colId="68"/>
    <filterColumn colId="69"/>
    <filterColumn colId="70"/>
    <filterColumn colId="71"/>
    <filterColumn colId="72"/>
    <filterColumn colId="73"/>
    <filterColumn colId="74"/>
    <filterColumn colId="75"/>
    <filterColumn colId="76"/>
    <filterColumn colId="77"/>
    <filterColumn colId="78"/>
    <filterColumn colId="79"/>
    <filterColumn colId="80"/>
    <filterColumn colId="81"/>
    <filterColumn colId="82"/>
    <filterColumn colId="83"/>
    <filterColumn colId="84"/>
    <filterColumn colId="85"/>
    <filterColumn colId="86"/>
    <filterColumn colId="87"/>
    <filterColumn colId="88"/>
    <filterColumn colId="89"/>
    <filterColumn colId="90"/>
    <filterColumn colId="91"/>
    <filterColumn colId="92"/>
    <filterColumn colId="93"/>
    <filterColumn colId="94"/>
    <filterColumn colId="95"/>
    <filterColumn colId="96"/>
    <filterColumn colId="97"/>
    <filterColumn colId="98"/>
    <filterColumn colId="99"/>
  </autoFilter>
  <mergeCells count="8">
    <mergeCell ref="IS1:IT1"/>
    <mergeCell ref="AU2:AU3"/>
    <mergeCell ref="AC28:AE28"/>
    <mergeCell ref="B2:W2"/>
    <mergeCell ref="X2:AB2"/>
    <mergeCell ref="AC2:AS2"/>
    <mergeCell ref="AV2:AY2"/>
    <mergeCell ref="AZ2:IR2"/>
  </mergeCells>
  <conditionalFormatting sqref="EW4:IR27 AZ4:EU27">
    <cfRule type="colorScale" priority="2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AS4:AS27">
    <cfRule type="colorScale" priority="2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IS4:IS27"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IT4:IT27">
    <cfRule type="colorScale" priority="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ageMargins left="0.7" right="0.7" top="0.75" bottom="0.75" header="0.3" footer="0.3"/>
  <pageSetup paperSize="9" scale="10" fitToHeight="0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AN84"/>
  <sheetViews>
    <sheetView view="pageBreakPreview" zoomScaleNormal="85" zoomScaleSheetLayoutView="100" workbookViewId="0">
      <pane xSplit="2" ySplit="4" topLeftCell="C5" activePane="bottomRight" state="frozen"/>
      <selection sqref="A1:XFD1048576"/>
      <selection pane="topRight" sqref="A1:XFD1048576"/>
      <selection pane="bottomLeft" sqref="A1:XFD1048576"/>
      <selection pane="bottomRight" activeCell="B2" sqref="B2"/>
    </sheetView>
  </sheetViews>
  <sheetFormatPr defaultColWidth="9.15234375" defaultRowHeight="14.6"/>
  <cols>
    <col min="1" max="1" width="22.765625" style="185" customWidth="1"/>
    <col min="2" max="2" width="28.84375" style="185" bestFit="1" customWidth="1"/>
    <col min="3" max="4" width="6.69140625" style="185" hidden="1" customWidth="1"/>
    <col min="5" max="5" width="6.84375" style="185" hidden="1" customWidth="1"/>
    <col min="6" max="6" width="6.4609375" style="185" hidden="1" customWidth="1"/>
    <col min="7" max="7" width="7.23046875" style="185" bestFit="1" customWidth="1"/>
    <col min="8" max="18" width="7.23046875" style="185" customWidth="1"/>
    <col min="19" max="19" width="6.23046875" style="185" customWidth="1"/>
    <col min="20" max="20" width="6.15234375" style="185" customWidth="1"/>
    <col min="21" max="22" width="6.4609375" style="185" customWidth="1"/>
    <col min="23" max="27" width="6.4609375" style="185" bestFit="1" customWidth="1"/>
    <col min="28" max="33" width="6.4609375" style="185" customWidth="1"/>
    <col min="34" max="34" width="3.69140625" style="185" customWidth="1"/>
    <col min="35" max="36" width="9.15234375" style="185"/>
    <col min="37" max="37" width="9.15234375" style="185" customWidth="1"/>
    <col min="38" max="38" width="2.921875" style="185" customWidth="1"/>
    <col min="39" max="16384" width="9.15234375" style="185"/>
  </cols>
  <sheetData>
    <row r="1" spans="1:40" ht="18.45">
      <c r="B1" s="181" t="s">
        <v>267</v>
      </c>
      <c r="C1" s="182"/>
      <c r="D1" s="182"/>
      <c r="E1" s="182"/>
      <c r="F1" s="183"/>
      <c r="G1" s="182"/>
      <c r="H1" s="182"/>
      <c r="I1" s="182"/>
      <c r="J1" s="182"/>
      <c r="K1" s="182"/>
      <c r="L1" s="182"/>
      <c r="M1" s="182"/>
      <c r="N1" s="182"/>
      <c r="O1" s="182"/>
      <c r="P1" s="182"/>
      <c r="Q1" s="182"/>
      <c r="R1" s="182"/>
      <c r="S1" s="182"/>
      <c r="T1" s="184"/>
      <c r="U1" s="184"/>
      <c r="V1" s="184"/>
    </row>
    <row r="2" spans="1:40" ht="43.2" customHeight="1" thickBot="1">
      <c r="B2" s="186" t="s">
        <v>329</v>
      </c>
      <c r="C2" s="186"/>
      <c r="D2" s="186"/>
      <c r="E2" s="186"/>
      <c r="F2" s="186"/>
      <c r="G2" s="186"/>
      <c r="H2" s="186"/>
      <c r="I2" s="186"/>
      <c r="J2" s="186"/>
      <c r="K2" s="186"/>
      <c r="L2" s="186"/>
      <c r="M2" s="186"/>
      <c r="N2" s="186"/>
      <c r="O2" s="186"/>
      <c r="P2" s="186"/>
      <c r="Q2" s="186"/>
      <c r="R2" s="186"/>
      <c r="S2" s="186"/>
      <c r="T2" s="186"/>
      <c r="U2" s="186"/>
      <c r="V2" s="186"/>
      <c r="W2" s="186"/>
      <c r="X2" s="186"/>
      <c r="Y2" s="186"/>
      <c r="Z2" s="186"/>
      <c r="AA2" s="186"/>
      <c r="AB2" s="187"/>
      <c r="AC2" s="187"/>
      <c r="AD2" s="187"/>
      <c r="AE2" s="187"/>
      <c r="AF2" s="187"/>
      <c r="AG2" s="187"/>
      <c r="AH2" s="188"/>
      <c r="AI2" s="188"/>
      <c r="AJ2" s="188"/>
      <c r="AK2" s="188"/>
    </row>
    <row r="3" spans="1:40" ht="15" customHeight="1" thickBot="1">
      <c r="B3" s="442" t="s">
        <v>268</v>
      </c>
      <c r="C3" s="444" t="s">
        <v>269</v>
      </c>
      <c r="D3" s="445"/>
      <c r="E3" s="445"/>
      <c r="F3" s="445"/>
      <c r="G3" s="446" t="s">
        <v>270</v>
      </c>
      <c r="H3" s="447" t="s">
        <v>270</v>
      </c>
      <c r="I3" s="448"/>
      <c r="J3" s="448"/>
      <c r="K3" s="448"/>
      <c r="L3" s="448"/>
      <c r="M3" s="448"/>
      <c r="N3" s="448"/>
      <c r="O3" s="448"/>
      <c r="P3" s="448"/>
      <c r="Q3" s="448"/>
      <c r="R3" s="449"/>
      <c r="S3" s="444" t="s">
        <v>271</v>
      </c>
      <c r="T3" s="445"/>
      <c r="U3" s="445"/>
      <c r="V3" s="445"/>
      <c r="W3" s="445"/>
      <c r="X3" s="445"/>
      <c r="Y3" s="445"/>
      <c r="Z3" s="445"/>
      <c r="AA3" s="445"/>
      <c r="AB3" s="445"/>
      <c r="AC3" s="445"/>
      <c r="AD3" s="445"/>
      <c r="AE3" s="445"/>
      <c r="AF3" s="445"/>
      <c r="AG3" s="450"/>
      <c r="AI3" s="451" t="s">
        <v>272</v>
      </c>
      <c r="AJ3" s="453" t="s">
        <v>273</v>
      </c>
      <c r="AK3" s="440" t="s">
        <v>274</v>
      </c>
    </row>
    <row r="4" spans="1:40" ht="15" thickBot="1">
      <c r="B4" s="443"/>
      <c r="C4" s="189" t="s">
        <v>275</v>
      </c>
      <c r="D4" s="190" t="s">
        <v>276</v>
      </c>
      <c r="E4" s="191" t="s">
        <v>277</v>
      </c>
      <c r="F4" s="192" t="s">
        <v>278</v>
      </c>
      <c r="G4" s="193" t="s">
        <v>279</v>
      </c>
      <c r="H4" s="194" t="s">
        <v>280</v>
      </c>
      <c r="I4" s="195" t="s">
        <v>281</v>
      </c>
      <c r="J4" s="191" t="s">
        <v>282</v>
      </c>
      <c r="K4" s="191" t="s">
        <v>283</v>
      </c>
      <c r="L4" s="191" t="s">
        <v>284</v>
      </c>
      <c r="M4" s="191" t="s">
        <v>285</v>
      </c>
      <c r="N4" s="191" t="s">
        <v>286</v>
      </c>
      <c r="O4" s="191" t="s">
        <v>287</v>
      </c>
      <c r="P4" s="191" t="s">
        <v>288</v>
      </c>
      <c r="Q4" s="191" t="s">
        <v>289</v>
      </c>
      <c r="R4" s="191" t="s">
        <v>290</v>
      </c>
      <c r="S4" s="196" t="s">
        <v>276</v>
      </c>
      <c r="T4" s="190" t="s">
        <v>277</v>
      </c>
      <c r="U4" s="190" t="s">
        <v>278</v>
      </c>
      <c r="V4" s="193" t="s">
        <v>279</v>
      </c>
      <c r="W4" s="194" t="s">
        <v>280</v>
      </c>
      <c r="X4" s="195" t="s">
        <v>281</v>
      </c>
      <c r="Y4" s="191" t="s">
        <v>282</v>
      </c>
      <c r="Z4" s="191" t="s">
        <v>283</v>
      </c>
      <c r="AA4" s="191" t="s">
        <v>284</v>
      </c>
      <c r="AB4" s="191" t="s">
        <v>285</v>
      </c>
      <c r="AC4" s="191" t="s">
        <v>286</v>
      </c>
      <c r="AD4" s="191" t="s">
        <v>287</v>
      </c>
      <c r="AE4" s="191" t="s">
        <v>288</v>
      </c>
      <c r="AF4" s="191" t="s">
        <v>289</v>
      </c>
      <c r="AG4" s="197" t="s">
        <v>290</v>
      </c>
      <c r="AI4" s="452"/>
      <c r="AJ4" s="454"/>
      <c r="AK4" s="441"/>
    </row>
    <row r="5" spans="1:40">
      <c r="A5" s="185" t="s">
        <v>256</v>
      </c>
      <c r="B5" s="198" t="s">
        <v>291</v>
      </c>
      <c r="C5" s="199">
        <f>SUM(C7:C16)</f>
        <v>1282.8145220000001</v>
      </c>
      <c r="D5" s="200">
        <f>SUM(D7:D16)</f>
        <v>1234.2891749999999</v>
      </c>
      <c r="E5" s="201">
        <f>SUM(E7:E16)</f>
        <v>1232.2394939999999</v>
      </c>
      <c r="F5" s="202">
        <f t="shared" ref="F5:R5" si="0">SUM(F7:F16)</f>
        <v>1181.4249879999998</v>
      </c>
      <c r="G5" s="203">
        <f t="shared" si="0"/>
        <v>1115.763469</v>
      </c>
      <c r="H5" s="204">
        <f t="shared" si="0"/>
        <v>1108.5330749999998</v>
      </c>
      <c r="I5" s="205">
        <f t="shared" si="0"/>
        <v>1114.7266721354536</v>
      </c>
      <c r="J5" s="201">
        <f t="shared" si="0"/>
        <v>1135.0010000000002</v>
      </c>
      <c r="K5" s="201">
        <f t="shared" si="0"/>
        <v>1156.8280000000002</v>
      </c>
      <c r="L5" s="201">
        <f t="shared" si="0"/>
        <v>1183.7850000000001</v>
      </c>
      <c r="M5" s="201">
        <f t="shared" si="0"/>
        <v>1222.808771</v>
      </c>
      <c r="N5" s="201">
        <f t="shared" si="0"/>
        <v>1240.9717709999998</v>
      </c>
      <c r="O5" s="201">
        <f t="shared" si="0"/>
        <v>1272.614</v>
      </c>
      <c r="P5" s="201">
        <f t="shared" si="0"/>
        <v>1306.6799999999998</v>
      </c>
      <c r="Q5" s="201">
        <f t="shared" si="0"/>
        <v>1343.4157709999999</v>
      </c>
      <c r="R5" s="201">
        <f t="shared" si="0"/>
        <v>1363.5647709999998</v>
      </c>
      <c r="S5" s="206">
        <f t="shared" ref="S5:AA20" si="1">D5/C5*100</f>
        <v>96.217274892994993</v>
      </c>
      <c r="T5" s="207">
        <f t="shared" si="1"/>
        <v>99.833938347551339</v>
      </c>
      <c r="U5" s="207">
        <f t="shared" si="1"/>
        <v>95.876247576268625</v>
      </c>
      <c r="V5" s="208">
        <f>G5/F5*100</f>
        <v>94.44217621373015</v>
      </c>
      <c r="W5" s="209">
        <f t="shared" ref="W5:AG28" si="2">H5/G5*100</f>
        <v>99.351977887707648</v>
      </c>
      <c r="X5" s="210">
        <f t="shared" si="2"/>
        <v>100.5587201027316</v>
      </c>
      <c r="Y5" s="211">
        <f t="shared" si="2"/>
        <v>101.81877121731621</v>
      </c>
      <c r="Z5" s="211">
        <f t="shared" si="2"/>
        <v>101.92308200609514</v>
      </c>
      <c r="AA5" s="211">
        <f t="shared" si="2"/>
        <v>102.33025134246402</v>
      </c>
      <c r="AB5" s="211">
        <f t="shared" si="2"/>
        <v>103.29652521361564</v>
      </c>
      <c r="AC5" s="211">
        <f t="shared" si="2"/>
        <v>101.48535081124305</v>
      </c>
      <c r="AD5" s="211">
        <f t="shared" si="2"/>
        <v>102.5497944223584</v>
      </c>
      <c r="AE5" s="211">
        <f t="shared" si="2"/>
        <v>102.67685252558904</v>
      </c>
      <c r="AF5" s="211">
        <f t="shared" si="2"/>
        <v>102.81138235834328</v>
      </c>
      <c r="AG5" s="212">
        <f t="shared" si="2"/>
        <v>101.49983351654429</v>
      </c>
      <c r="AI5" s="213">
        <f>R5-G5</f>
        <v>247.80130199999985</v>
      </c>
      <c r="AJ5" s="214">
        <f>R5/G5*100</f>
        <v>122.20912486246669</v>
      </c>
      <c r="AK5" s="215">
        <f>(R5/G5)^(1/11)*100</f>
        <v>101.84002850254107</v>
      </c>
    </row>
    <row r="6" spans="1:40">
      <c r="A6" s="185" t="s">
        <v>256</v>
      </c>
      <c r="B6" s="216" t="s">
        <v>292</v>
      </c>
      <c r="C6" s="217">
        <f>C5-C7</f>
        <v>911.15413200000012</v>
      </c>
      <c r="D6" s="218">
        <f>D5-D7</f>
        <v>879.88858199999981</v>
      </c>
      <c r="E6" s="219">
        <f>E5-E7</f>
        <v>881.9573509999999</v>
      </c>
      <c r="F6" s="220">
        <f>F5-F7</f>
        <v>850.0216029999998</v>
      </c>
      <c r="G6" s="221">
        <f t="shared" ref="G6:R6" si="3">G5-G7</f>
        <v>791.29712899999993</v>
      </c>
      <c r="H6" s="222">
        <f t="shared" si="3"/>
        <v>780.29248499999983</v>
      </c>
      <c r="I6" s="223">
        <f t="shared" si="3"/>
        <v>788.50018940582504</v>
      </c>
      <c r="J6" s="219">
        <f t="shared" si="3"/>
        <v>808.27600000000029</v>
      </c>
      <c r="K6" s="219">
        <f t="shared" si="3"/>
        <v>829.31700000000023</v>
      </c>
      <c r="L6" s="219">
        <f t="shared" si="3"/>
        <v>854.8850000000001</v>
      </c>
      <c r="M6" s="219">
        <f t="shared" si="3"/>
        <v>879.26900000000001</v>
      </c>
      <c r="N6" s="219">
        <f t="shared" si="3"/>
        <v>896.17999999999984</v>
      </c>
      <c r="O6" s="219">
        <f t="shared" si="3"/>
        <v>915.57400000000007</v>
      </c>
      <c r="P6" s="219">
        <f t="shared" si="3"/>
        <v>935.61799999999982</v>
      </c>
      <c r="Q6" s="219">
        <f t="shared" si="3"/>
        <v>956.46199999999999</v>
      </c>
      <c r="R6" s="219">
        <f t="shared" si="3"/>
        <v>975.31899999999985</v>
      </c>
      <c r="S6" s="224">
        <f t="shared" si="1"/>
        <v>96.568577268988307</v>
      </c>
      <c r="T6" s="225">
        <f t="shared" si="1"/>
        <v>100.23511715486724</v>
      </c>
      <c r="U6" s="225">
        <f t="shared" si="1"/>
        <v>96.37899180002411</v>
      </c>
      <c r="V6" s="226">
        <f>G6/F6*100</f>
        <v>93.091413936687928</v>
      </c>
      <c r="W6" s="227">
        <f t="shared" si="2"/>
        <v>98.609290543754753</v>
      </c>
      <c r="X6" s="228">
        <f t="shared" si="2"/>
        <v>101.05187536258602</v>
      </c>
      <c r="Y6" s="229">
        <f t="shared" si="2"/>
        <v>102.50802864220962</v>
      </c>
      <c r="Z6" s="229">
        <f t="shared" si="2"/>
        <v>102.60319494826024</v>
      </c>
      <c r="AA6" s="229">
        <f t="shared" si="2"/>
        <v>103.08301891797707</v>
      </c>
      <c r="AB6" s="229">
        <f t="shared" si="2"/>
        <v>102.85231346906308</v>
      </c>
      <c r="AC6" s="229">
        <f t="shared" si="2"/>
        <v>101.92330219762096</v>
      </c>
      <c r="AD6" s="229">
        <f t="shared" si="2"/>
        <v>102.16407418152606</v>
      </c>
      <c r="AE6" s="229">
        <f t="shared" si="2"/>
        <v>102.18922774128576</v>
      </c>
      <c r="AF6" s="229">
        <f t="shared" si="2"/>
        <v>102.22783229907935</v>
      </c>
      <c r="AG6" s="230">
        <f t="shared" si="2"/>
        <v>101.97153676779631</v>
      </c>
      <c r="AI6" s="213">
        <f t="shared" ref="AI6:AI69" si="4">R6-G6</f>
        <v>184.02187099999992</v>
      </c>
      <c r="AJ6" s="214">
        <f t="shared" ref="AJ6:AJ69" si="5">R6/G6*100</f>
        <v>123.25572332513795</v>
      </c>
      <c r="AK6" s="231">
        <f t="shared" ref="AK6:AK69" si="6">(R6/G6)^(1/11)*100</f>
        <v>101.91900858615975</v>
      </c>
    </row>
    <row r="7" spans="1:40">
      <c r="A7" s="185" t="s">
        <v>256</v>
      </c>
      <c r="B7" s="232" t="s">
        <v>293</v>
      </c>
      <c r="C7" s="233">
        <f t="shared" ref="C7:R17" si="7">C20+C33</f>
        <v>371.66039000000001</v>
      </c>
      <c r="D7" s="234">
        <f t="shared" si="7"/>
        <v>354.40059300000007</v>
      </c>
      <c r="E7" s="235">
        <f t="shared" si="7"/>
        <v>350.28214300000002</v>
      </c>
      <c r="F7" s="236">
        <f t="shared" si="7"/>
        <v>331.40338499999996</v>
      </c>
      <c r="G7" s="237">
        <f t="shared" si="7"/>
        <v>324.46634000000006</v>
      </c>
      <c r="H7" s="238">
        <f t="shared" si="7"/>
        <v>328.24059</v>
      </c>
      <c r="I7" s="239">
        <f t="shared" si="7"/>
        <v>326.22648272962857</v>
      </c>
      <c r="J7" s="235">
        <f t="shared" si="7"/>
        <v>326.72499999999997</v>
      </c>
      <c r="K7" s="235">
        <f t="shared" si="7"/>
        <v>327.51099999999997</v>
      </c>
      <c r="L7" s="235">
        <f t="shared" si="7"/>
        <v>328.9</v>
      </c>
      <c r="M7" s="235">
        <f t="shared" si="7"/>
        <v>343.53977099999997</v>
      </c>
      <c r="N7" s="235">
        <f t="shared" si="7"/>
        <v>344.79177099999993</v>
      </c>
      <c r="O7" s="235">
        <f t="shared" si="7"/>
        <v>357.03999999999996</v>
      </c>
      <c r="P7" s="235">
        <f t="shared" si="7"/>
        <v>371.06200000000001</v>
      </c>
      <c r="Q7" s="235">
        <f t="shared" si="7"/>
        <v>386.95377100000002</v>
      </c>
      <c r="R7" s="235">
        <f t="shared" si="7"/>
        <v>388.24577099999999</v>
      </c>
      <c r="S7" s="240">
        <f t="shared" si="1"/>
        <v>95.356030003627794</v>
      </c>
      <c r="T7" s="241">
        <f t="shared" si="1"/>
        <v>98.837911086678105</v>
      </c>
      <c r="U7" s="241">
        <f t="shared" si="1"/>
        <v>94.610413811474231</v>
      </c>
      <c r="V7" s="242">
        <f t="shared" si="1"/>
        <v>97.90676700541249</v>
      </c>
      <c r="W7" s="243">
        <f t="shared" si="2"/>
        <v>101.1632177316143</v>
      </c>
      <c r="X7" s="244">
        <f t="shared" si="2"/>
        <v>99.38639298985801</v>
      </c>
      <c r="Y7" s="245">
        <f t="shared" si="2"/>
        <v>100.15281324379313</v>
      </c>
      <c r="Z7" s="245">
        <f t="shared" si="2"/>
        <v>100.24056928609689</v>
      </c>
      <c r="AA7" s="245">
        <f t="shared" si="2"/>
        <v>100.42410789255933</v>
      </c>
      <c r="AB7" s="245">
        <f t="shared" si="2"/>
        <v>104.45113134691395</v>
      </c>
      <c r="AC7" s="245">
        <f t="shared" si="2"/>
        <v>100.36444106496188</v>
      </c>
      <c r="AD7" s="245">
        <f t="shared" si="2"/>
        <v>103.55235537219363</v>
      </c>
      <c r="AE7" s="245">
        <f t="shared" si="2"/>
        <v>103.92729105982524</v>
      </c>
      <c r="AF7" s="245">
        <f t="shared" si="2"/>
        <v>104.28278050568369</v>
      </c>
      <c r="AG7" s="246">
        <f t="shared" si="2"/>
        <v>100.33389001395724</v>
      </c>
      <c r="AI7" s="247">
        <f t="shared" si="4"/>
        <v>63.779430999999931</v>
      </c>
      <c r="AJ7" s="248">
        <f t="shared" si="5"/>
        <v>119.65671724222608</v>
      </c>
      <c r="AK7" s="249">
        <f t="shared" si="6"/>
        <v>101.64480556456139</v>
      </c>
      <c r="AN7" s="250"/>
    </row>
    <row r="8" spans="1:40">
      <c r="A8" s="185" t="s">
        <v>256</v>
      </c>
      <c r="B8" s="232" t="s">
        <v>294</v>
      </c>
      <c r="C8" s="233">
        <f t="shared" si="7"/>
        <v>12.034458000000001</v>
      </c>
      <c r="D8" s="234">
        <f t="shared" si="7"/>
        <v>10.144067</v>
      </c>
      <c r="E8" s="235">
        <f t="shared" si="7"/>
        <v>11.535412000000001</v>
      </c>
      <c r="F8" s="236">
        <f t="shared" si="7"/>
        <v>11.799099</v>
      </c>
      <c r="G8" s="237">
        <f t="shared" si="7"/>
        <v>9.9870170000000016</v>
      </c>
      <c r="H8" s="238">
        <f t="shared" si="7"/>
        <v>9.2023639999999993</v>
      </c>
      <c r="I8" s="239">
        <f t="shared" si="7"/>
        <v>9.6144280000000002</v>
      </c>
      <c r="J8" s="235">
        <f t="shared" si="7"/>
        <v>10.093</v>
      </c>
      <c r="K8" s="235">
        <f t="shared" si="7"/>
        <v>10.588000000000001</v>
      </c>
      <c r="L8" s="235">
        <f t="shared" si="7"/>
        <v>11.114999999999998</v>
      </c>
      <c r="M8" s="235">
        <f t="shared" si="7"/>
        <v>11.234</v>
      </c>
      <c r="N8" s="235">
        <f t="shared" si="7"/>
        <v>11.353999999999999</v>
      </c>
      <c r="O8" s="235">
        <f t="shared" si="7"/>
        <v>11.475999999999999</v>
      </c>
      <c r="P8" s="235">
        <f t="shared" si="7"/>
        <v>11.599</v>
      </c>
      <c r="Q8" s="235">
        <f t="shared" si="7"/>
        <v>11.724</v>
      </c>
      <c r="R8" s="235">
        <f t="shared" si="7"/>
        <v>11.850000000000001</v>
      </c>
      <c r="S8" s="240">
        <f t="shared" si="1"/>
        <v>84.291847626208011</v>
      </c>
      <c r="T8" s="241">
        <f t="shared" si="1"/>
        <v>113.71584986573926</v>
      </c>
      <c r="U8" s="241">
        <f t="shared" si="1"/>
        <v>102.28589147921201</v>
      </c>
      <c r="V8" s="242">
        <f t="shared" si="1"/>
        <v>84.642200222237321</v>
      </c>
      <c r="W8" s="243">
        <f t="shared" si="2"/>
        <v>92.143269606930659</v>
      </c>
      <c r="X8" s="244">
        <f t="shared" si="2"/>
        <v>104.47780592030485</v>
      </c>
      <c r="Y8" s="245">
        <f t="shared" si="2"/>
        <v>104.97764401584784</v>
      </c>
      <c r="Z8" s="245">
        <f t="shared" si="2"/>
        <v>104.90438918062024</v>
      </c>
      <c r="AA8" s="245">
        <f t="shared" si="2"/>
        <v>104.9773328296184</v>
      </c>
      <c r="AB8" s="245">
        <f t="shared" si="2"/>
        <v>101.07062528115161</v>
      </c>
      <c r="AC8" s="245">
        <f t="shared" si="2"/>
        <v>101.06818586434039</v>
      </c>
      <c r="AD8" s="245">
        <f t="shared" si="2"/>
        <v>101.07451118548529</v>
      </c>
      <c r="AE8" s="245">
        <f t="shared" si="2"/>
        <v>101.07180202161032</v>
      </c>
      <c r="AF8" s="245">
        <f t="shared" si="2"/>
        <v>101.07767911026812</v>
      </c>
      <c r="AG8" s="246">
        <f t="shared" si="2"/>
        <v>101.07471852610033</v>
      </c>
      <c r="AI8" s="247">
        <f t="shared" si="4"/>
        <v>1.8629829999999998</v>
      </c>
      <c r="AJ8" s="248">
        <f t="shared" si="5"/>
        <v>118.65404855123407</v>
      </c>
      <c r="AK8" s="249">
        <f t="shared" si="6"/>
        <v>101.56707841339994</v>
      </c>
      <c r="AN8" s="250"/>
    </row>
    <row r="9" spans="1:40">
      <c r="A9" s="185" t="s">
        <v>256</v>
      </c>
      <c r="B9" s="232" t="s">
        <v>295</v>
      </c>
      <c r="C9" s="233">
        <f t="shared" si="7"/>
        <v>217.50863400000003</v>
      </c>
      <c r="D9" s="234">
        <f t="shared" si="7"/>
        <v>215.97843</v>
      </c>
      <c r="E9" s="235">
        <f t="shared" si="7"/>
        <v>210.057006</v>
      </c>
      <c r="F9" s="236">
        <f t="shared" si="7"/>
        <v>207.50457999999998</v>
      </c>
      <c r="G9" s="237">
        <f t="shared" si="7"/>
        <v>197.09127100000001</v>
      </c>
      <c r="H9" s="238">
        <f t="shared" si="7"/>
        <v>193.91946799999999</v>
      </c>
      <c r="I9" s="239">
        <f t="shared" si="7"/>
        <v>195.63765418567573</v>
      </c>
      <c r="J9" s="235">
        <f t="shared" si="7"/>
        <v>196.98899999999998</v>
      </c>
      <c r="K9" s="235">
        <f t="shared" si="7"/>
        <v>199.22000000000003</v>
      </c>
      <c r="L9" s="235">
        <f t="shared" si="7"/>
        <v>202.22</v>
      </c>
      <c r="M9" s="235">
        <f t="shared" si="7"/>
        <v>205.59399999999999</v>
      </c>
      <c r="N9" s="235">
        <f t="shared" si="7"/>
        <v>207.64699999999999</v>
      </c>
      <c r="O9" s="235">
        <f t="shared" si="7"/>
        <v>210.226</v>
      </c>
      <c r="P9" s="235">
        <f t="shared" si="7"/>
        <v>212.85199999999998</v>
      </c>
      <c r="Q9" s="235">
        <f t="shared" si="7"/>
        <v>215.529</v>
      </c>
      <c r="R9" s="235">
        <f t="shared" si="7"/>
        <v>217.7</v>
      </c>
      <c r="S9" s="240">
        <f t="shared" si="1"/>
        <v>99.296485858119993</v>
      </c>
      <c r="T9" s="241">
        <f t="shared" si="1"/>
        <v>97.258326213409362</v>
      </c>
      <c r="U9" s="241">
        <f t="shared" si="1"/>
        <v>98.784888898206987</v>
      </c>
      <c r="V9" s="242">
        <f t="shared" si="1"/>
        <v>94.981648597828553</v>
      </c>
      <c r="W9" s="243">
        <f t="shared" si="2"/>
        <v>98.390693314875406</v>
      </c>
      <c r="X9" s="244">
        <f t="shared" si="2"/>
        <v>100.88603078556079</v>
      </c>
      <c r="Y9" s="245">
        <f t="shared" si="2"/>
        <v>100.6907391217448</v>
      </c>
      <c r="Z9" s="245">
        <f t="shared" si="2"/>
        <v>101.13255054850781</v>
      </c>
      <c r="AA9" s="245">
        <f t="shared" si="2"/>
        <v>101.50587290432686</v>
      </c>
      <c r="AB9" s="245">
        <f t="shared" si="2"/>
        <v>101.66847987340519</v>
      </c>
      <c r="AC9" s="245">
        <f t="shared" si="2"/>
        <v>100.9985699971789</v>
      </c>
      <c r="AD9" s="245">
        <f t="shared" si="2"/>
        <v>101.24201168328943</v>
      </c>
      <c r="AE9" s="245">
        <f t="shared" si="2"/>
        <v>101.24913188663626</v>
      </c>
      <c r="AF9" s="245">
        <f t="shared" si="2"/>
        <v>101.25768139364442</v>
      </c>
      <c r="AG9" s="246">
        <f t="shared" si="2"/>
        <v>101.00728904230985</v>
      </c>
      <c r="AI9" s="247">
        <f t="shared" si="4"/>
        <v>20.608728999999983</v>
      </c>
      <c r="AJ9" s="248">
        <f t="shared" si="5"/>
        <v>110.45643924027462</v>
      </c>
      <c r="AK9" s="249">
        <f t="shared" si="6"/>
        <v>100.90819971610989</v>
      </c>
      <c r="AN9" s="250"/>
    </row>
    <row r="10" spans="1:40">
      <c r="A10" s="185" t="s">
        <v>256</v>
      </c>
      <c r="B10" s="232" t="s">
        <v>296</v>
      </c>
      <c r="C10" s="233">
        <f t="shared" si="7"/>
        <v>139.651454</v>
      </c>
      <c r="D10" s="234">
        <f t="shared" si="7"/>
        <v>133.17008500000003</v>
      </c>
      <c r="E10" s="235">
        <f t="shared" si="7"/>
        <v>128.00870700000002</v>
      </c>
      <c r="F10" s="236">
        <f t="shared" si="7"/>
        <v>125.29599399999999</v>
      </c>
      <c r="G10" s="237">
        <f t="shared" si="7"/>
        <v>125.55675000000001</v>
      </c>
      <c r="H10" s="238">
        <f t="shared" si="7"/>
        <v>125.694456</v>
      </c>
      <c r="I10" s="239">
        <f t="shared" si="7"/>
        <v>126.5371395094912</v>
      </c>
      <c r="J10" s="235">
        <f t="shared" si="7"/>
        <v>128.83199999999999</v>
      </c>
      <c r="K10" s="235">
        <f t="shared" si="7"/>
        <v>131.47999999999999</v>
      </c>
      <c r="L10" s="235">
        <f t="shared" si="7"/>
        <v>134.5</v>
      </c>
      <c r="M10" s="235">
        <f t="shared" si="7"/>
        <v>137.624</v>
      </c>
      <c r="N10" s="235">
        <f t="shared" si="7"/>
        <v>139.934</v>
      </c>
      <c r="O10" s="235">
        <f t="shared" si="7"/>
        <v>142.66</v>
      </c>
      <c r="P10" s="235">
        <f t="shared" si="7"/>
        <v>145.446</v>
      </c>
      <c r="Q10" s="235">
        <f t="shared" si="7"/>
        <v>148.29300000000001</v>
      </c>
      <c r="R10" s="235">
        <f t="shared" si="7"/>
        <v>150.80000000000001</v>
      </c>
      <c r="S10" s="240">
        <f t="shared" si="1"/>
        <v>95.35889615585387</v>
      </c>
      <c r="T10" s="241">
        <f t="shared" si="1"/>
        <v>96.124221141707594</v>
      </c>
      <c r="U10" s="241">
        <f t="shared" si="1"/>
        <v>97.880837121493599</v>
      </c>
      <c r="V10" s="242">
        <f t="shared" si="1"/>
        <v>100.20811200077155</v>
      </c>
      <c r="W10" s="243">
        <f t="shared" si="2"/>
        <v>100.10967630175199</v>
      </c>
      <c r="X10" s="244">
        <f t="shared" si="2"/>
        <v>100.6704221779608</v>
      </c>
      <c r="Y10" s="245">
        <f t="shared" si="2"/>
        <v>101.81358650859708</v>
      </c>
      <c r="Z10" s="245">
        <f t="shared" si="2"/>
        <v>102.05538996522603</v>
      </c>
      <c r="AA10" s="245">
        <f t="shared" si="2"/>
        <v>102.29692728932159</v>
      </c>
      <c r="AB10" s="245">
        <f t="shared" si="2"/>
        <v>102.32267657992564</v>
      </c>
      <c r="AC10" s="245">
        <f t="shared" si="2"/>
        <v>101.67848631052723</v>
      </c>
      <c r="AD10" s="245">
        <f t="shared" si="2"/>
        <v>101.94806122886504</v>
      </c>
      <c r="AE10" s="245">
        <f t="shared" si="2"/>
        <v>101.95289499509323</v>
      </c>
      <c r="AF10" s="245">
        <f t="shared" si="2"/>
        <v>101.95742749886556</v>
      </c>
      <c r="AG10" s="246">
        <f t="shared" si="2"/>
        <v>101.69057204318479</v>
      </c>
      <c r="AI10" s="247">
        <f t="shared" si="4"/>
        <v>25.243250000000003</v>
      </c>
      <c r="AJ10" s="248">
        <f t="shared" si="5"/>
        <v>120.10505209795571</v>
      </c>
      <c r="AK10" s="249">
        <f t="shared" si="6"/>
        <v>101.67936919911442</v>
      </c>
      <c r="AN10" s="250"/>
    </row>
    <row r="11" spans="1:40">
      <c r="A11" s="185" t="s">
        <v>256</v>
      </c>
      <c r="B11" s="232" t="s">
        <v>297</v>
      </c>
      <c r="C11" s="233">
        <f t="shared" si="7"/>
        <v>69.282990999999996</v>
      </c>
      <c r="D11" s="234">
        <f t="shared" si="7"/>
        <v>66.28562500000001</v>
      </c>
      <c r="E11" s="235">
        <f t="shared" si="7"/>
        <v>67.793019999999999</v>
      </c>
      <c r="F11" s="236">
        <f t="shared" si="7"/>
        <v>61.493634999999998</v>
      </c>
      <c r="G11" s="237">
        <f t="shared" si="7"/>
        <v>50.634930999999995</v>
      </c>
      <c r="H11" s="238">
        <f t="shared" si="7"/>
        <v>45.239082999999994</v>
      </c>
      <c r="I11" s="239">
        <f t="shared" si="7"/>
        <v>46.100852467206835</v>
      </c>
      <c r="J11" s="235">
        <f t="shared" si="7"/>
        <v>47.344999999999999</v>
      </c>
      <c r="K11" s="235">
        <f t="shared" si="7"/>
        <v>48.969000000000001</v>
      </c>
      <c r="L11" s="235">
        <f t="shared" si="7"/>
        <v>51.010000000000005</v>
      </c>
      <c r="M11" s="235">
        <f t="shared" si="7"/>
        <v>53.078000000000003</v>
      </c>
      <c r="N11" s="235">
        <f t="shared" si="7"/>
        <v>54.492999999999995</v>
      </c>
      <c r="O11" s="235">
        <f t="shared" si="7"/>
        <v>56.099000000000004</v>
      </c>
      <c r="P11" s="235">
        <f t="shared" si="7"/>
        <v>57.760000000000005</v>
      </c>
      <c r="Q11" s="235">
        <f t="shared" si="7"/>
        <v>59.478999999999999</v>
      </c>
      <c r="R11" s="235">
        <f t="shared" si="7"/>
        <v>61.1</v>
      </c>
      <c r="S11" s="240">
        <f t="shared" si="1"/>
        <v>95.673734697741338</v>
      </c>
      <c r="T11" s="241">
        <f t="shared" si="1"/>
        <v>102.27409034764324</v>
      </c>
      <c r="U11" s="241">
        <f t="shared" si="1"/>
        <v>90.707915062642144</v>
      </c>
      <c r="V11" s="242">
        <f t="shared" si="1"/>
        <v>82.341743173907346</v>
      </c>
      <c r="W11" s="243">
        <f t="shared" si="2"/>
        <v>89.343625253483609</v>
      </c>
      <c r="X11" s="244">
        <f t="shared" si="2"/>
        <v>101.90492249192329</v>
      </c>
      <c r="Y11" s="245">
        <f t="shared" si="2"/>
        <v>102.69875168507605</v>
      </c>
      <c r="Z11" s="245">
        <f t="shared" si="2"/>
        <v>103.43014045833773</v>
      </c>
      <c r="AA11" s="245">
        <f t="shared" si="2"/>
        <v>104.16794298433705</v>
      </c>
      <c r="AB11" s="245">
        <f t="shared" si="2"/>
        <v>104.05410703783571</v>
      </c>
      <c r="AC11" s="245">
        <f t="shared" si="2"/>
        <v>102.66588793850558</v>
      </c>
      <c r="AD11" s="245">
        <f t="shared" si="2"/>
        <v>102.94716752610429</v>
      </c>
      <c r="AE11" s="245">
        <f t="shared" si="2"/>
        <v>102.96083709157027</v>
      </c>
      <c r="AF11" s="245">
        <f t="shared" si="2"/>
        <v>102.97610803324098</v>
      </c>
      <c r="AG11" s="246">
        <f t="shared" si="2"/>
        <v>102.72533162965081</v>
      </c>
      <c r="AI11" s="247">
        <f t="shared" si="4"/>
        <v>10.465069000000007</v>
      </c>
      <c r="AJ11" s="248">
        <f t="shared" si="5"/>
        <v>120.66768689780581</v>
      </c>
      <c r="AK11" s="249">
        <f t="shared" si="6"/>
        <v>101.72257902182092</v>
      </c>
      <c r="AN11" s="250"/>
    </row>
    <row r="12" spans="1:40">
      <c r="A12" s="185" t="s">
        <v>256</v>
      </c>
      <c r="B12" s="232" t="s">
        <v>298</v>
      </c>
      <c r="C12" s="233">
        <f t="shared" si="7"/>
        <v>41.776198000000001</v>
      </c>
      <c r="D12" s="234">
        <f t="shared" si="7"/>
        <v>31.415287999999997</v>
      </c>
      <c r="E12" s="235">
        <f t="shared" si="7"/>
        <v>26.944126000000004</v>
      </c>
      <c r="F12" s="236">
        <f t="shared" si="7"/>
        <v>26.339061000000004</v>
      </c>
      <c r="G12" s="237">
        <f t="shared" si="7"/>
        <v>24.786527</v>
      </c>
      <c r="H12" s="238">
        <f t="shared" si="7"/>
        <v>22.928183000000008</v>
      </c>
      <c r="I12" s="239">
        <f t="shared" si="7"/>
        <v>23.558</v>
      </c>
      <c r="J12" s="235">
        <f t="shared" si="7"/>
        <v>24.59</v>
      </c>
      <c r="K12" s="235">
        <f t="shared" si="7"/>
        <v>25.643000000000001</v>
      </c>
      <c r="L12" s="235">
        <f t="shared" si="7"/>
        <v>26.75</v>
      </c>
      <c r="M12" s="235">
        <f t="shared" si="7"/>
        <v>27.282999999999998</v>
      </c>
      <c r="N12" s="235">
        <f t="shared" si="7"/>
        <v>27.831</v>
      </c>
      <c r="O12" s="235">
        <f t="shared" si="7"/>
        <v>28.693000000000001</v>
      </c>
      <c r="P12" s="235">
        <f t="shared" si="7"/>
        <v>29.607999999999997</v>
      </c>
      <c r="Q12" s="235">
        <f t="shared" si="7"/>
        <v>30.58</v>
      </c>
      <c r="R12" s="235">
        <f t="shared" si="7"/>
        <v>31.200000000000003</v>
      </c>
      <c r="S12" s="240">
        <f t="shared" si="1"/>
        <v>75.199011647732988</v>
      </c>
      <c r="T12" s="241">
        <f t="shared" si="1"/>
        <v>85.767560049107331</v>
      </c>
      <c r="U12" s="241">
        <f t="shared" si="1"/>
        <v>97.754371398055369</v>
      </c>
      <c r="V12" s="242">
        <f t="shared" si="1"/>
        <v>94.105583338753021</v>
      </c>
      <c r="W12" s="243">
        <f t="shared" si="2"/>
        <v>92.502604338235884</v>
      </c>
      <c r="X12" s="244">
        <f t="shared" si="2"/>
        <v>102.74691195547415</v>
      </c>
      <c r="Y12" s="245">
        <f t="shared" si="2"/>
        <v>104.38067747686561</v>
      </c>
      <c r="Z12" s="245">
        <f t="shared" si="2"/>
        <v>104.28222854819032</v>
      </c>
      <c r="AA12" s="245">
        <f t="shared" si="2"/>
        <v>104.31696759349529</v>
      </c>
      <c r="AB12" s="245">
        <f t="shared" si="2"/>
        <v>101.99252336448596</v>
      </c>
      <c r="AC12" s="245">
        <f t="shared" si="2"/>
        <v>102.00857676941686</v>
      </c>
      <c r="AD12" s="245">
        <f t="shared" si="2"/>
        <v>103.09726563903561</v>
      </c>
      <c r="AE12" s="245">
        <f t="shared" si="2"/>
        <v>103.18893109817724</v>
      </c>
      <c r="AF12" s="245">
        <f t="shared" si="2"/>
        <v>103.28289651445554</v>
      </c>
      <c r="AG12" s="246">
        <f t="shared" si="2"/>
        <v>102.02746893394377</v>
      </c>
      <c r="AI12" s="247">
        <f t="shared" si="4"/>
        <v>6.4134730000000033</v>
      </c>
      <c r="AJ12" s="248">
        <f t="shared" si="5"/>
        <v>125.87483514733631</v>
      </c>
      <c r="AK12" s="249">
        <f t="shared" si="6"/>
        <v>102.11401580556361</v>
      </c>
      <c r="AN12" s="250"/>
    </row>
    <row r="13" spans="1:40">
      <c r="A13" s="185" t="s">
        <v>256</v>
      </c>
      <c r="B13" s="232" t="s">
        <v>299</v>
      </c>
      <c r="C13" s="233">
        <f t="shared" si="7"/>
        <v>196.25281899999999</v>
      </c>
      <c r="D13" s="234">
        <f t="shared" si="7"/>
        <v>197.30380899999997</v>
      </c>
      <c r="E13" s="235">
        <f t="shared" si="7"/>
        <v>193.827315</v>
      </c>
      <c r="F13" s="236">
        <f t="shared" si="7"/>
        <v>172.70009099999999</v>
      </c>
      <c r="G13" s="237">
        <f t="shared" si="7"/>
        <v>152.53915099999998</v>
      </c>
      <c r="H13" s="238">
        <f t="shared" si="7"/>
        <v>148.30014799999998</v>
      </c>
      <c r="I13" s="239">
        <f t="shared" si="7"/>
        <v>148.59473374157494</v>
      </c>
      <c r="J13" s="235">
        <f t="shared" si="7"/>
        <v>150.86199999999999</v>
      </c>
      <c r="K13" s="235">
        <f t="shared" si="7"/>
        <v>153.69999999999999</v>
      </c>
      <c r="L13" s="235">
        <f t="shared" si="7"/>
        <v>157.13999999999999</v>
      </c>
      <c r="M13" s="235">
        <f t="shared" si="7"/>
        <v>160.39000000000001</v>
      </c>
      <c r="N13" s="235">
        <f t="shared" si="7"/>
        <v>163.70899999999997</v>
      </c>
      <c r="O13" s="235">
        <f t="shared" si="7"/>
        <v>167.09800000000001</v>
      </c>
      <c r="P13" s="235">
        <f t="shared" si="7"/>
        <v>170.559</v>
      </c>
      <c r="Q13" s="235">
        <f t="shared" si="7"/>
        <v>174.09299999999999</v>
      </c>
      <c r="R13" s="235">
        <f t="shared" si="7"/>
        <v>177.7</v>
      </c>
      <c r="S13" s="240">
        <f t="shared" si="1"/>
        <v>100.5355286132221</v>
      </c>
      <c r="T13" s="241">
        <f t="shared" si="1"/>
        <v>98.237999551240307</v>
      </c>
      <c r="U13" s="241">
        <f t="shared" si="1"/>
        <v>89.099975924445943</v>
      </c>
      <c r="V13" s="242">
        <f t="shared" si="1"/>
        <v>88.326039735555199</v>
      </c>
      <c r="W13" s="243">
        <f t="shared" si="2"/>
        <v>97.221039338287653</v>
      </c>
      <c r="X13" s="244">
        <f t="shared" si="2"/>
        <v>100.19864156951141</v>
      </c>
      <c r="Y13" s="245">
        <f t="shared" si="2"/>
        <v>101.52580525657666</v>
      </c>
      <c r="Z13" s="245">
        <f t="shared" si="2"/>
        <v>101.88118943140087</v>
      </c>
      <c r="AA13" s="245">
        <f t="shared" si="2"/>
        <v>102.23812621990891</v>
      </c>
      <c r="AB13" s="245">
        <f t="shared" si="2"/>
        <v>102.06821942217132</v>
      </c>
      <c r="AC13" s="245">
        <f t="shared" si="2"/>
        <v>102.06933100567363</v>
      </c>
      <c r="AD13" s="245">
        <f t="shared" si="2"/>
        <v>102.07013664490043</v>
      </c>
      <c r="AE13" s="245">
        <f t="shared" si="2"/>
        <v>102.0712396318328</v>
      </c>
      <c r="AF13" s="245">
        <f t="shared" si="2"/>
        <v>102.07201027210525</v>
      </c>
      <c r="AG13" s="246">
        <f t="shared" si="2"/>
        <v>102.07188112101005</v>
      </c>
      <c r="AI13" s="247">
        <f t="shared" si="4"/>
        <v>25.160849000000013</v>
      </c>
      <c r="AJ13" s="248">
        <f t="shared" si="5"/>
        <v>116.49468273230393</v>
      </c>
      <c r="AK13" s="249">
        <f t="shared" si="6"/>
        <v>101.3976354471793</v>
      </c>
      <c r="AN13" s="250"/>
    </row>
    <row r="14" spans="1:40">
      <c r="A14" s="185" t="s">
        <v>256</v>
      </c>
      <c r="B14" s="232" t="s">
        <v>300</v>
      </c>
      <c r="C14" s="233">
        <f t="shared" si="7"/>
        <v>64.987162000000012</v>
      </c>
      <c r="D14" s="234">
        <f t="shared" si="7"/>
        <v>60.504542999999998</v>
      </c>
      <c r="E14" s="235">
        <f t="shared" si="7"/>
        <v>63.753810000000001</v>
      </c>
      <c r="F14" s="236">
        <f t="shared" si="7"/>
        <v>67.717740000000006</v>
      </c>
      <c r="G14" s="237">
        <f t="shared" si="7"/>
        <v>70.265239999999991</v>
      </c>
      <c r="H14" s="238">
        <f t="shared" si="7"/>
        <v>70.124746999999999</v>
      </c>
      <c r="I14" s="239">
        <f t="shared" si="7"/>
        <v>70.810646227691365</v>
      </c>
      <c r="J14" s="235">
        <f t="shared" si="7"/>
        <v>72.906000000000006</v>
      </c>
      <c r="K14" s="235">
        <f t="shared" si="7"/>
        <v>75.13300000000001</v>
      </c>
      <c r="L14" s="235">
        <f t="shared" si="7"/>
        <v>77.78</v>
      </c>
      <c r="M14" s="235">
        <f t="shared" si="7"/>
        <v>80.057000000000002</v>
      </c>
      <c r="N14" s="235">
        <f t="shared" si="7"/>
        <v>82.42</v>
      </c>
      <c r="O14" s="235">
        <f t="shared" si="7"/>
        <v>84.873000000000005</v>
      </c>
      <c r="P14" s="235">
        <f t="shared" si="7"/>
        <v>87.418000000000006</v>
      </c>
      <c r="Q14" s="235">
        <f t="shared" si="7"/>
        <v>90.058999999999997</v>
      </c>
      <c r="R14" s="235">
        <f t="shared" si="7"/>
        <v>92.8</v>
      </c>
      <c r="S14" s="240">
        <f t="shared" si="1"/>
        <v>93.10230072825766</v>
      </c>
      <c r="T14" s="241">
        <f t="shared" si="1"/>
        <v>105.37028599654079</v>
      </c>
      <c r="U14" s="241">
        <f t="shared" si="1"/>
        <v>106.21755782125022</v>
      </c>
      <c r="V14" s="242">
        <f t="shared" si="1"/>
        <v>103.76193889518461</v>
      </c>
      <c r="W14" s="243">
        <f t="shared" si="2"/>
        <v>99.800053340741471</v>
      </c>
      <c r="X14" s="244">
        <f t="shared" si="2"/>
        <v>100.97811294448074</v>
      </c>
      <c r="Y14" s="245">
        <f t="shared" si="2"/>
        <v>102.95909426609531</v>
      </c>
      <c r="Z14" s="245">
        <f t="shared" si="2"/>
        <v>103.05461827558776</v>
      </c>
      <c r="AA14" s="245">
        <f t="shared" si="2"/>
        <v>103.52308572797571</v>
      </c>
      <c r="AB14" s="245">
        <f t="shared" si="2"/>
        <v>102.92748778606327</v>
      </c>
      <c r="AC14" s="245">
        <f t="shared" si="2"/>
        <v>102.95164695154702</v>
      </c>
      <c r="AD14" s="245">
        <f t="shared" si="2"/>
        <v>102.97621936423198</v>
      </c>
      <c r="AE14" s="245">
        <f t="shared" si="2"/>
        <v>102.99859790510529</v>
      </c>
      <c r="AF14" s="245">
        <f t="shared" si="2"/>
        <v>103.02111693243954</v>
      </c>
      <c r="AG14" s="246">
        <f t="shared" si="2"/>
        <v>103.04356033267081</v>
      </c>
      <c r="AI14" s="247">
        <f t="shared" si="4"/>
        <v>22.534760000000006</v>
      </c>
      <c r="AJ14" s="248">
        <f t="shared" si="5"/>
        <v>132.0709927127553</v>
      </c>
      <c r="AK14" s="249">
        <f t="shared" si="6"/>
        <v>102.561058579226</v>
      </c>
      <c r="AN14" s="250"/>
    </row>
    <row r="15" spans="1:40">
      <c r="A15" s="185" t="s">
        <v>256</v>
      </c>
      <c r="B15" s="232" t="s">
        <v>301</v>
      </c>
      <c r="C15" s="233">
        <f t="shared" si="7"/>
        <v>27.655439000000001</v>
      </c>
      <c r="D15" s="234">
        <f t="shared" si="7"/>
        <v>26.825572000000001</v>
      </c>
      <c r="E15" s="235">
        <f t="shared" si="7"/>
        <v>35.679511000000005</v>
      </c>
      <c r="F15" s="236">
        <f t="shared" si="7"/>
        <v>34.154890999999999</v>
      </c>
      <c r="G15" s="237">
        <f t="shared" si="7"/>
        <v>29.932774999999999</v>
      </c>
      <c r="H15" s="238">
        <f t="shared" si="7"/>
        <v>33.506471000000005</v>
      </c>
      <c r="I15" s="239">
        <f t="shared" si="7"/>
        <v>34.318799765636129</v>
      </c>
      <c r="J15" s="235">
        <f t="shared" si="7"/>
        <v>35.754999999999995</v>
      </c>
      <c r="K15" s="235">
        <f t="shared" si="7"/>
        <v>37.162999999999997</v>
      </c>
      <c r="L15" s="235">
        <f t="shared" si="7"/>
        <v>38.650000000000006</v>
      </c>
      <c r="M15" s="235">
        <f t="shared" si="7"/>
        <v>39.342999999999982</v>
      </c>
      <c r="N15" s="235">
        <f t="shared" si="7"/>
        <v>40.059999999999988</v>
      </c>
      <c r="O15" s="235">
        <f t="shared" si="7"/>
        <v>41.024999999999991</v>
      </c>
      <c r="P15" s="235">
        <f t="shared" si="7"/>
        <v>42.059999999999995</v>
      </c>
      <c r="Q15" s="235">
        <f t="shared" si="7"/>
        <v>43.173000000000002</v>
      </c>
      <c r="R15" s="235">
        <f t="shared" si="7"/>
        <v>44</v>
      </c>
      <c r="S15" s="240">
        <f t="shared" si="1"/>
        <v>96.999262965957627</v>
      </c>
      <c r="T15" s="241">
        <f t="shared" si="1"/>
        <v>133.00559257413042</v>
      </c>
      <c r="U15" s="241">
        <f t="shared" si="1"/>
        <v>95.726903319947382</v>
      </c>
      <c r="V15" s="242">
        <f t="shared" si="1"/>
        <v>87.638326821186467</v>
      </c>
      <c r="W15" s="243">
        <f t="shared" si="2"/>
        <v>111.93907347380924</v>
      </c>
      <c r="X15" s="244">
        <f t="shared" si="2"/>
        <v>102.4243936809583</v>
      </c>
      <c r="Y15" s="245">
        <f t="shared" si="2"/>
        <v>104.18487897062749</v>
      </c>
      <c r="Z15" s="245">
        <f t="shared" si="2"/>
        <v>103.93791078170887</v>
      </c>
      <c r="AA15" s="245">
        <f t="shared" si="2"/>
        <v>104.00129160724379</v>
      </c>
      <c r="AB15" s="245">
        <f t="shared" si="2"/>
        <v>101.79301423027161</v>
      </c>
      <c r="AC15" s="245">
        <f t="shared" si="2"/>
        <v>101.82243346974052</v>
      </c>
      <c r="AD15" s="245">
        <f t="shared" si="2"/>
        <v>102.40888666999501</v>
      </c>
      <c r="AE15" s="245">
        <f t="shared" si="2"/>
        <v>102.52285191956125</v>
      </c>
      <c r="AF15" s="245">
        <f t="shared" si="2"/>
        <v>102.64621968616264</v>
      </c>
      <c r="AG15" s="246">
        <f t="shared" si="2"/>
        <v>101.9155490700206</v>
      </c>
      <c r="AI15" s="247">
        <f t="shared" si="4"/>
        <v>14.067225000000001</v>
      </c>
      <c r="AJ15" s="248">
        <f t="shared" si="5"/>
        <v>146.99606033854195</v>
      </c>
      <c r="AK15" s="249">
        <f t="shared" si="6"/>
        <v>103.56418901296458</v>
      </c>
      <c r="AN15" s="250"/>
    </row>
    <row r="16" spans="1:40">
      <c r="A16" s="185" t="s">
        <v>256</v>
      </c>
      <c r="B16" s="251" t="s">
        <v>302</v>
      </c>
      <c r="C16" s="252">
        <f t="shared" si="7"/>
        <v>142.004977</v>
      </c>
      <c r="D16" s="253">
        <f t="shared" si="7"/>
        <v>138.26116300000001</v>
      </c>
      <c r="E16" s="254">
        <f t="shared" si="7"/>
        <v>144.35844400000002</v>
      </c>
      <c r="F16" s="255">
        <f t="shared" si="7"/>
        <v>143.01651200000003</v>
      </c>
      <c r="G16" s="256">
        <f t="shared" si="7"/>
        <v>130.503467</v>
      </c>
      <c r="H16" s="257">
        <f t="shared" si="7"/>
        <v>131.377565</v>
      </c>
      <c r="I16" s="258">
        <f t="shared" si="7"/>
        <v>133.32793550854885</v>
      </c>
      <c r="J16" s="254">
        <f t="shared" si="7"/>
        <v>140.904</v>
      </c>
      <c r="K16" s="254">
        <f t="shared" si="7"/>
        <v>147.42099999999999</v>
      </c>
      <c r="L16" s="254">
        <f t="shared" si="7"/>
        <v>155.72000000000003</v>
      </c>
      <c r="M16" s="254">
        <f t="shared" si="7"/>
        <v>164.666</v>
      </c>
      <c r="N16" s="254">
        <f t="shared" si="7"/>
        <v>168.732</v>
      </c>
      <c r="O16" s="254">
        <f t="shared" si="7"/>
        <v>173.42399999999998</v>
      </c>
      <c r="P16" s="254">
        <f t="shared" si="7"/>
        <v>178.316</v>
      </c>
      <c r="Q16" s="254">
        <f t="shared" si="7"/>
        <v>183.53199999999998</v>
      </c>
      <c r="R16" s="254">
        <f t="shared" si="7"/>
        <v>188.16899999999998</v>
      </c>
      <c r="S16" s="259">
        <f t="shared" si="1"/>
        <v>97.363603671440345</v>
      </c>
      <c r="T16" s="260">
        <f t="shared" si="1"/>
        <v>104.40997375380098</v>
      </c>
      <c r="U16" s="260">
        <f t="shared" si="1"/>
        <v>99.070416691385248</v>
      </c>
      <c r="V16" s="261">
        <f t="shared" si="1"/>
        <v>91.250629158121242</v>
      </c>
      <c r="W16" s="262">
        <f t="shared" si="2"/>
        <v>100.66978910223128</v>
      </c>
      <c r="X16" s="263">
        <f t="shared" si="2"/>
        <v>101.48455370484972</v>
      </c>
      <c r="Y16" s="264">
        <f t="shared" si="2"/>
        <v>105.68227840816253</v>
      </c>
      <c r="Z16" s="264">
        <f t="shared" si="2"/>
        <v>104.62513484358145</v>
      </c>
      <c r="AA16" s="264">
        <f t="shared" si="2"/>
        <v>105.6294557763141</v>
      </c>
      <c r="AB16" s="264">
        <f t="shared" si="2"/>
        <v>105.74492679167736</v>
      </c>
      <c r="AC16" s="264">
        <f t="shared" si="2"/>
        <v>102.46924076615696</v>
      </c>
      <c r="AD16" s="264">
        <f t="shared" si="2"/>
        <v>102.78074105682381</v>
      </c>
      <c r="AE16" s="264">
        <f t="shared" si="2"/>
        <v>102.82083218009043</v>
      </c>
      <c r="AF16" s="264">
        <f t="shared" si="2"/>
        <v>102.92514412615805</v>
      </c>
      <c r="AG16" s="265">
        <f t="shared" si="2"/>
        <v>102.52653488220038</v>
      </c>
      <c r="AI16" s="266">
        <f t="shared" si="4"/>
        <v>57.665532999999982</v>
      </c>
      <c r="AJ16" s="267">
        <f t="shared" si="5"/>
        <v>144.18697397518181</v>
      </c>
      <c r="AK16" s="268">
        <f t="shared" si="6"/>
        <v>103.38268819841375</v>
      </c>
      <c r="AN16" s="250"/>
    </row>
    <row r="17" spans="1:37" ht="15" thickBot="1">
      <c r="A17" s="185" t="s">
        <v>256</v>
      </c>
      <c r="B17" s="269" t="s">
        <v>303</v>
      </c>
      <c r="C17" s="270">
        <f t="shared" si="7"/>
        <v>46.054611000000001</v>
      </c>
      <c r="D17" s="271">
        <f t="shared" si="7"/>
        <v>44.986288999999999</v>
      </c>
      <c r="E17" s="272">
        <f t="shared" si="7"/>
        <v>50.746234000000001</v>
      </c>
      <c r="F17" s="273">
        <f t="shared" si="7"/>
        <v>51.559927000000002</v>
      </c>
      <c r="G17" s="274">
        <f t="shared" si="7"/>
        <v>50.881788999999998</v>
      </c>
      <c r="H17" s="275">
        <f t="shared" si="7"/>
        <v>51.020594000000003</v>
      </c>
      <c r="I17" s="276">
        <f t="shared" si="7"/>
        <v>53.451000000000001</v>
      </c>
      <c r="J17" s="272">
        <f t="shared" si="7"/>
        <v>59.091999999999999</v>
      </c>
      <c r="K17" s="272">
        <f t="shared" si="7"/>
        <v>64.034999999999997</v>
      </c>
      <c r="L17" s="272">
        <f t="shared" si="7"/>
        <v>71.828999999999994</v>
      </c>
      <c r="M17" s="272">
        <f t="shared" si="7"/>
        <v>78.421999999999997</v>
      </c>
      <c r="N17" s="272">
        <f t="shared" si="7"/>
        <v>80.496000000000009</v>
      </c>
      <c r="O17" s="272">
        <f t="shared" si="7"/>
        <v>82.789000000000001</v>
      </c>
      <c r="P17" s="272">
        <f t="shared" si="7"/>
        <v>85.17</v>
      </c>
      <c r="Q17" s="272">
        <f t="shared" si="7"/>
        <v>87.644000000000005</v>
      </c>
      <c r="R17" s="272">
        <f t="shared" si="7"/>
        <v>90.08</v>
      </c>
      <c r="S17" s="277">
        <f>D17/C17*100</f>
        <v>97.680314789761226</v>
      </c>
      <c r="T17" s="278">
        <f>E17/D17*100</f>
        <v>112.8037789469587</v>
      </c>
      <c r="U17" s="278">
        <f t="shared" si="1"/>
        <v>101.60345494800657</v>
      </c>
      <c r="V17" s="279">
        <f t="shared" si="1"/>
        <v>98.684757641336446</v>
      </c>
      <c r="W17" s="280">
        <f t="shared" si="1"/>
        <v>100.27279897725295</v>
      </c>
      <c r="X17" s="281">
        <f t="shared" si="1"/>
        <v>104.76357840914199</v>
      </c>
      <c r="Y17" s="282">
        <f t="shared" si="1"/>
        <v>110.55359113954837</v>
      </c>
      <c r="Z17" s="282">
        <f t="shared" si="1"/>
        <v>108.36492249373858</v>
      </c>
      <c r="AA17" s="282">
        <f t="shared" si="1"/>
        <v>112.17146872803936</v>
      </c>
      <c r="AB17" s="282">
        <f t="shared" si="2"/>
        <v>109.17874396135265</v>
      </c>
      <c r="AC17" s="282">
        <f t="shared" si="2"/>
        <v>102.64466603759151</v>
      </c>
      <c r="AD17" s="282">
        <f t="shared" si="2"/>
        <v>102.84858874975154</v>
      </c>
      <c r="AE17" s="282">
        <f t="shared" si="2"/>
        <v>102.87598594016114</v>
      </c>
      <c r="AF17" s="282">
        <f t="shared" si="2"/>
        <v>102.90477867793824</v>
      </c>
      <c r="AG17" s="283">
        <f t="shared" si="2"/>
        <v>102.7794258591575</v>
      </c>
      <c r="AI17" s="284">
        <f t="shared" si="4"/>
        <v>39.198211000000001</v>
      </c>
      <c r="AJ17" s="285">
        <f t="shared" si="5"/>
        <v>177.0378003021867</v>
      </c>
      <c r="AK17" s="286">
        <f t="shared" si="6"/>
        <v>105.32984739944457</v>
      </c>
    </row>
    <row r="18" spans="1:37">
      <c r="A18" s="185" t="s">
        <v>304</v>
      </c>
      <c r="B18" s="198" t="s">
        <v>304</v>
      </c>
      <c r="C18" s="199">
        <f>SUM(C20:C29)</f>
        <v>792.75903200000016</v>
      </c>
      <c r="D18" s="200">
        <f>SUM(D20:D29)</f>
        <v>805.04258799999991</v>
      </c>
      <c r="E18" s="201">
        <f>SUM(E20:E29)</f>
        <v>800.57302400000003</v>
      </c>
      <c r="F18" s="202">
        <f t="shared" ref="F18:R18" si="8">SUM(F20:F29)</f>
        <v>767.24542299999996</v>
      </c>
      <c r="G18" s="203">
        <f t="shared" si="8"/>
        <v>703.91744399999993</v>
      </c>
      <c r="H18" s="204">
        <f t="shared" si="8"/>
        <v>688.20139099999994</v>
      </c>
      <c r="I18" s="205">
        <f t="shared" si="8"/>
        <v>690.58316016849824</v>
      </c>
      <c r="J18" s="201">
        <f t="shared" si="8"/>
        <v>700.32800000000009</v>
      </c>
      <c r="K18" s="201">
        <f t="shared" si="8"/>
        <v>712.524</v>
      </c>
      <c r="L18" s="201">
        <f t="shared" si="8"/>
        <v>727.30000000000007</v>
      </c>
      <c r="M18" s="201">
        <f t="shared" si="8"/>
        <v>741.8</v>
      </c>
      <c r="N18" s="201">
        <f t="shared" si="8"/>
        <v>756.13800000000003</v>
      </c>
      <c r="O18" s="201">
        <f t="shared" si="8"/>
        <v>770.82799999999997</v>
      </c>
      <c r="P18" s="201">
        <f t="shared" si="8"/>
        <v>785.87799999999993</v>
      </c>
      <c r="Q18" s="201">
        <f t="shared" si="8"/>
        <v>801.29699999999991</v>
      </c>
      <c r="R18" s="201">
        <f t="shared" si="8"/>
        <v>817.1</v>
      </c>
      <c r="S18" s="206">
        <f t="shared" si="1"/>
        <v>101.54946906994051</v>
      </c>
      <c r="T18" s="207">
        <f t="shared" si="1"/>
        <v>99.444804030665779</v>
      </c>
      <c r="U18" s="207">
        <f t="shared" si="1"/>
        <v>95.837031725915352</v>
      </c>
      <c r="V18" s="208">
        <f t="shared" si="1"/>
        <v>91.746059722014138</v>
      </c>
      <c r="W18" s="209">
        <f t="shared" si="2"/>
        <v>97.76734429101603</v>
      </c>
      <c r="X18" s="210">
        <f t="shared" si="2"/>
        <v>100.346086073008</v>
      </c>
      <c r="Y18" s="211">
        <f t="shared" si="2"/>
        <v>101.41110302039861</v>
      </c>
      <c r="Z18" s="211">
        <f t="shared" si="2"/>
        <v>101.74146971133524</v>
      </c>
      <c r="AA18" s="211">
        <f t="shared" si="2"/>
        <v>102.07375470861334</v>
      </c>
      <c r="AB18" s="211">
        <f t="shared" si="2"/>
        <v>101.99367523717859</v>
      </c>
      <c r="AC18" s="211">
        <f t="shared" si="2"/>
        <v>101.93286600161771</v>
      </c>
      <c r="AD18" s="211">
        <f t="shared" si="2"/>
        <v>101.94276706103911</v>
      </c>
      <c r="AE18" s="211">
        <f t="shared" si="2"/>
        <v>101.95244594124759</v>
      </c>
      <c r="AF18" s="211">
        <f t="shared" si="2"/>
        <v>101.96200937041118</v>
      </c>
      <c r="AG18" s="212">
        <f t="shared" si="2"/>
        <v>101.97217760705458</v>
      </c>
      <c r="AI18" s="287">
        <f t="shared" si="4"/>
        <v>113.18255600000009</v>
      </c>
      <c r="AJ18" s="288">
        <f t="shared" si="5"/>
        <v>116.07895314496568</v>
      </c>
      <c r="AK18" s="215">
        <f t="shared" si="6"/>
        <v>101.3646862011846</v>
      </c>
    </row>
    <row r="19" spans="1:37">
      <c r="A19" s="185" t="s">
        <v>304</v>
      </c>
      <c r="B19" s="216" t="s">
        <v>292</v>
      </c>
      <c r="C19" s="217">
        <f>C18-C20</f>
        <v>636.18852600000014</v>
      </c>
      <c r="D19" s="218">
        <f>D18-D20</f>
        <v>647.76155899999992</v>
      </c>
      <c r="E19" s="219">
        <f>E18-E20</f>
        <v>646.04869499999995</v>
      </c>
      <c r="F19" s="220">
        <f>F18-F20</f>
        <v>613.39495899999997</v>
      </c>
      <c r="G19" s="221">
        <f t="shared" ref="G19:R19" si="9">G18-G20</f>
        <v>556.47905199999991</v>
      </c>
      <c r="H19" s="222">
        <f t="shared" si="9"/>
        <v>544.77861999999993</v>
      </c>
      <c r="I19" s="223">
        <f t="shared" si="9"/>
        <v>547.04416016849825</v>
      </c>
      <c r="J19" s="219">
        <f t="shared" si="9"/>
        <v>556.80300000000011</v>
      </c>
      <c r="K19" s="219">
        <f t="shared" si="9"/>
        <v>568.71299999999997</v>
      </c>
      <c r="L19" s="219">
        <f t="shared" si="9"/>
        <v>582.90000000000009</v>
      </c>
      <c r="M19" s="219">
        <f t="shared" si="9"/>
        <v>596.48099999999999</v>
      </c>
      <c r="N19" s="219">
        <f t="shared" si="9"/>
        <v>609.89499999999998</v>
      </c>
      <c r="O19" s="219">
        <f t="shared" si="9"/>
        <v>623.65499999999997</v>
      </c>
      <c r="P19" s="219">
        <f t="shared" si="9"/>
        <v>637.76899999999989</v>
      </c>
      <c r="Q19" s="219">
        <f t="shared" si="9"/>
        <v>652.24599999999987</v>
      </c>
      <c r="R19" s="219">
        <f t="shared" si="9"/>
        <v>667.1</v>
      </c>
      <c r="S19" s="224">
        <f t="shared" si="1"/>
        <v>101.81912004492828</v>
      </c>
      <c r="T19" s="225">
        <f t="shared" si="1"/>
        <v>99.735571835623546</v>
      </c>
      <c r="U19" s="225">
        <f t="shared" si="1"/>
        <v>94.945623100438269</v>
      </c>
      <c r="V19" s="226">
        <f t="shared" si="1"/>
        <v>90.721164860437</v>
      </c>
      <c r="W19" s="227">
        <f t="shared" si="2"/>
        <v>97.897417349683096</v>
      </c>
      <c r="X19" s="228">
        <f t="shared" si="2"/>
        <v>100.41586436863075</v>
      </c>
      <c r="Y19" s="229">
        <f t="shared" si="2"/>
        <v>101.78392176392049</v>
      </c>
      <c r="Z19" s="229">
        <f t="shared" si="2"/>
        <v>102.1389970959208</v>
      </c>
      <c r="AA19" s="229">
        <f t="shared" si="2"/>
        <v>102.49457986717381</v>
      </c>
      <c r="AB19" s="229">
        <f t="shared" si="2"/>
        <v>102.32990221307254</v>
      </c>
      <c r="AC19" s="229">
        <f t="shared" si="2"/>
        <v>102.2488562083285</v>
      </c>
      <c r="AD19" s="229">
        <f t="shared" si="2"/>
        <v>102.2561260544848</v>
      </c>
      <c r="AE19" s="229">
        <f t="shared" si="2"/>
        <v>102.26311021317875</v>
      </c>
      <c r="AF19" s="229">
        <f t="shared" si="2"/>
        <v>102.26994413337745</v>
      </c>
      <c r="AG19" s="230">
        <f t="shared" si="2"/>
        <v>102.27736160896353</v>
      </c>
      <c r="AI19" s="213">
        <f t="shared" si="4"/>
        <v>110.62094800000011</v>
      </c>
      <c r="AJ19" s="214">
        <f t="shared" si="5"/>
        <v>119.87872636039498</v>
      </c>
      <c r="AK19" s="231">
        <f t="shared" si="6"/>
        <v>101.66193567823616</v>
      </c>
    </row>
    <row r="20" spans="1:37">
      <c r="A20" s="185" t="s">
        <v>304</v>
      </c>
      <c r="B20" s="232" t="s">
        <v>293</v>
      </c>
      <c r="C20" s="233">
        <v>156.57050600000002</v>
      </c>
      <c r="D20" s="234">
        <v>157.28102900000002</v>
      </c>
      <c r="E20" s="235">
        <v>154.52432900000002</v>
      </c>
      <c r="F20" s="236">
        <v>153.85046399999999</v>
      </c>
      <c r="G20" s="237">
        <v>147.43839200000002</v>
      </c>
      <c r="H20" s="238">
        <v>143.42277100000001</v>
      </c>
      <c r="I20" s="239">
        <v>143.53899999999999</v>
      </c>
      <c r="J20" s="235">
        <v>143.52499999999998</v>
      </c>
      <c r="K20" s="235">
        <v>143.81100000000001</v>
      </c>
      <c r="L20" s="235">
        <v>144.4</v>
      </c>
      <c r="M20" s="235">
        <v>145.31899999999999</v>
      </c>
      <c r="N20" s="235">
        <v>146.24299999999999</v>
      </c>
      <c r="O20" s="235">
        <v>147.173</v>
      </c>
      <c r="P20" s="235">
        <v>148.10900000000001</v>
      </c>
      <c r="Q20" s="235">
        <v>149.05099999999999</v>
      </c>
      <c r="R20" s="235">
        <v>150</v>
      </c>
      <c r="S20" s="240">
        <f t="shared" si="1"/>
        <v>100.4538038600961</v>
      </c>
      <c r="T20" s="241">
        <f t="shared" si="1"/>
        <v>98.247277489518453</v>
      </c>
      <c r="U20" s="241">
        <f t="shared" si="1"/>
        <v>99.563910094700987</v>
      </c>
      <c r="V20" s="242">
        <f t="shared" si="1"/>
        <v>95.832269963124745</v>
      </c>
      <c r="W20" s="243">
        <f t="shared" si="2"/>
        <v>97.276407490933565</v>
      </c>
      <c r="X20" s="244">
        <f t="shared" si="2"/>
        <v>100.08103943271323</v>
      </c>
      <c r="Y20" s="245">
        <f t="shared" si="2"/>
        <v>99.990246553201573</v>
      </c>
      <c r="Z20" s="245">
        <f t="shared" si="2"/>
        <v>100.19926842013589</v>
      </c>
      <c r="AA20" s="245">
        <f t="shared" si="2"/>
        <v>100.40956533227639</v>
      </c>
      <c r="AB20" s="245">
        <f t="shared" si="2"/>
        <v>100.63642659279776</v>
      </c>
      <c r="AC20" s="245">
        <f t="shared" si="2"/>
        <v>100.63584252575369</v>
      </c>
      <c r="AD20" s="245">
        <f t="shared" si="2"/>
        <v>100.63592787347086</v>
      </c>
      <c r="AE20" s="245">
        <f t="shared" si="2"/>
        <v>100.63598622029856</v>
      </c>
      <c r="AF20" s="245">
        <f t="shared" si="2"/>
        <v>100.6360180677744</v>
      </c>
      <c r="AG20" s="246">
        <f t="shared" si="2"/>
        <v>100.63669482257751</v>
      </c>
      <c r="AI20" s="247">
        <f t="shared" si="4"/>
        <v>2.5616079999999783</v>
      </c>
      <c r="AJ20" s="248">
        <f t="shared" si="5"/>
        <v>101.73740907320801</v>
      </c>
      <c r="AK20" s="249">
        <f t="shared" si="6"/>
        <v>100.15671254711414</v>
      </c>
    </row>
    <row r="21" spans="1:37">
      <c r="A21" s="185" t="s">
        <v>304</v>
      </c>
      <c r="B21" s="232" t="s">
        <v>294</v>
      </c>
      <c r="C21" s="233">
        <v>7.9128999999999996</v>
      </c>
      <c r="D21" s="234">
        <v>7.406706999999999</v>
      </c>
      <c r="E21" s="235">
        <v>8.8908290000000001</v>
      </c>
      <c r="F21" s="236">
        <v>9.0443160000000002</v>
      </c>
      <c r="G21" s="237">
        <v>8.0008340000000011</v>
      </c>
      <c r="H21" s="238">
        <v>7.5184219999999993</v>
      </c>
      <c r="I21" s="239">
        <v>7.7498000000000014</v>
      </c>
      <c r="J21" s="235">
        <v>8.0549999999999997</v>
      </c>
      <c r="K21" s="235">
        <v>8.3719999999999999</v>
      </c>
      <c r="L21" s="235">
        <v>8.6999999999999993</v>
      </c>
      <c r="M21" s="235">
        <v>8.8130000000000006</v>
      </c>
      <c r="N21" s="235">
        <v>8.9269999999999996</v>
      </c>
      <c r="O21" s="235">
        <v>9.0429999999999993</v>
      </c>
      <c r="P21" s="235">
        <v>9.16</v>
      </c>
      <c r="Q21" s="235">
        <v>9.2789999999999999</v>
      </c>
      <c r="R21" s="235">
        <v>9.4</v>
      </c>
      <c r="S21" s="240">
        <f t="shared" ref="S21:AC43" si="10">D21/C21*100</f>
        <v>93.602939503848134</v>
      </c>
      <c r="T21" s="241">
        <f t="shared" si="10"/>
        <v>120.03754164975071</v>
      </c>
      <c r="U21" s="241">
        <f t="shared" si="10"/>
        <v>101.72635195210707</v>
      </c>
      <c r="V21" s="242">
        <f t="shared" si="10"/>
        <v>88.462565881156749</v>
      </c>
      <c r="W21" s="243">
        <f t="shared" si="2"/>
        <v>93.970478577608262</v>
      </c>
      <c r="X21" s="244">
        <f t="shared" si="2"/>
        <v>103.07748088628175</v>
      </c>
      <c r="Y21" s="245">
        <f t="shared" si="2"/>
        <v>103.93816614622311</v>
      </c>
      <c r="Z21" s="245">
        <f t="shared" si="2"/>
        <v>103.93544382371198</v>
      </c>
      <c r="AA21" s="245">
        <f t="shared" si="2"/>
        <v>103.91782130912566</v>
      </c>
      <c r="AB21" s="245">
        <f t="shared" si="2"/>
        <v>101.29885057471266</v>
      </c>
      <c r="AC21" s="245">
        <f t="shared" si="2"/>
        <v>101.29354362873026</v>
      </c>
      <c r="AD21" s="245">
        <f t="shared" si="2"/>
        <v>101.2994286994511</v>
      </c>
      <c r="AE21" s="245">
        <f t="shared" si="2"/>
        <v>101.29381842308969</v>
      </c>
      <c r="AF21" s="245">
        <f t="shared" si="2"/>
        <v>101.29912663755458</v>
      </c>
      <c r="AG21" s="246">
        <f t="shared" si="2"/>
        <v>101.30401982972303</v>
      </c>
      <c r="AI21" s="247">
        <f t="shared" si="4"/>
        <v>1.3991659999999992</v>
      </c>
      <c r="AJ21" s="248">
        <f t="shared" si="5"/>
        <v>117.48775190186423</v>
      </c>
      <c r="AK21" s="249">
        <f t="shared" si="6"/>
        <v>101.47591197767383</v>
      </c>
    </row>
    <row r="22" spans="1:37">
      <c r="A22" s="185" t="s">
        <v>304</v>
      </c>
      <c r="B22" s="232" t="s">
        <v>295</v>
      </c>
      <c r="C22" s="233">
        <v>126.07659400000001</v>
      </c>
      <c r="D22" s="234">
        <v>129.03155699999999</v>
      </c>
      <c r="E22" s="235">
        <v>126.18906699999999</v>
      </c>
      <c r="F22" s="236">
        <v>125.68165099999999</v>
      </c>
      <c r="G22" s="237">
        <v>120.69455500000001</v>
      </c>
      <c r="H22" s="238">
        <v>119.03292</v>
      </c>
      <c r="I22" s="239">
        <v>119.409491495</v>
      </c>
      <c r="J22" s="235">
        <v>120.258</v>
      </c>
      <c r="K22" s="235">
        <v>121.616</v>
      </c>
      <c r="L22" s="235">
        <v>123.5</v>
      </c>
      <c r="M22" s="235">
        <v>125.346</v>
      </c>
      <c r="N22" s="235">
        <v>127.22</v>
      </c>
      <c r="O22" s="235">
        <v>129.12200000000001</v>
      </c>
      <c r="P22" s="235">
        <v>131.05199999999999</v>
      </c>
      <c r="Q22" s="235">
        <v>133.011</v>
      </c>
      <c r="R22" s="235">
        <v>135</v>
      </c>
      <c r="S22" s="240">
        <f t="shared" si="10"/>
        <v>102.34378396992543</v>
      </c>
      <c r="T22" s="241">
        <f t="shared" si="10"/>
        <v>97.797058280866906</v>
      </c>
      <c r="U22" s="241">
        <f t="shared" si="10"/>
        <v>99.597892264311611</v>
      </c>
      <c r="V22" s="242">
        <f t="shared" si="10"/>
        <v>96.031961737994692</v>
      </c>
      <c r="W22" s="243">
        <f t="shared" si="2"/>
        <v>98.623272607451099</v>
      </c>
      <c r="X22" s="244">
        <f t="shared" si="2"/>
        <v>100.31635911729293</v>
      </c>
      <c r="Y22" s="245">
        <f t="shared" si="2"/>
        <v>100.71058715214069</v>
      </c>
      <c r="Z22" s="245">
        <f t="shared" si="2"/>
        <v>101.1292388032397</v>
      </c>
      <c r="AA22" s="245">
        <f t="shared" si="2"/>
        <v>101.5491382712801</v>
      </c>
      <c r="AB22" s="245">
        <f t="shared" si="2"/>
        <v>101.49473684210525</v>
      </c>
      <c r="AC22" s="245">
        <f t="shared" si="2"/>
        <v>101.49506166929937</v>
      </c>
      <c r="AD22" s="245">
        <f t="shared" si="2"/>
        <v>101.4950479484358</v>
      </c>
      <c r="AE22" s="245">
        <f t="shared" si="2"/>
        <v>101.49471042889668</v>
      </c>
      <c r="AF22" s="245">
        <f t="shared" si="2"/>
        <v>101.49482648109147</v>
      </c>
      <c r="AG22" s="246">
        <f t="shared" si="2"/>
        <v>101.49536504499628</v>
      </c>
      <c r="AI22" s="247">
        <f t="shared" si="4"/>
        <v>14.305444999999992</v>
      </c>
      <c r="AJ22" s="248">
        <f t="shared" si="5"/>
        <v>111.85260180129914</v>
      </c>
      <c r="AK22" s="249">
        <f t="shared" si="6"/>
        <v>101.02349095914217</v>
      </c>
    </row>
    <row r="23" spans="1:37">
      <c r="A23" s="185" t="s">
        <v>304</v>
      </c>
      <c r="B23" s="232" t="s">
        <v>296</v>
      </c>
      <c r="C23" s="233">
        <v>112.11913699999999</v>
      </c>
      <c r="D23" s="234">
        <v>114.84624400000001</v>
      </c>
      <c r="E23" s="235">
        <v>112.751079</v>
      </c>
      <c r="F23" s="236">
        <v>108.86578299999999</v>
      </c>
      <c r="G23" s="237">
        <v>105.30535900000001</v>
      </c>
      <c r="H23" s="238">
        <v>102.66740799999999</v>
      </c>
      <c r="I23" s="239">
        <v>103.22913950949119</v>
      </c>
      <c r="J23" s="235">
        <v>105.075</v>
      </c>
      <c r="K23" s="235">
        <v>107.259</v>
      </c>
      <c r="L23" s="235">
        <v>109.8</v>
      </c>
      <c r="M23" s="235">
        <v>112.322</v>
      </c>
      <c r="N23" s="235">
        <v>114.381</v>
      </c>
      <c r="O23" s="235">
        <v>116.477</v>
      </c>
      <c r="P23" s="235">
        <v>118.61199999999999</v>
      </c>
      <c r="Q23" s="235">
        <v>120.786</v>
      </c>
      <c r="R23" s="235">
        <v>123</v>
      </c>
      <c r="S23" s="240">
        <f t="shared" si="10"/>
        <v>102.43232963878417</v>
      </c>
      <c r="T23" s="241">
        <f t="shared" si="10"/>
        <v>98.175678257270647</v>
      </c>
      <c r="U23" s="241">
        <f t="shared" si="10"/>
        <v>96.554094174123151</v>
      </c>
      <c r="V23" s="242">
        <f t="shared" si="10"/>
        <v>96.729528873181408</v>
      </c>
      <c r="W23" s="243">
        <f t="shared" si="2"/>
        <v>97.494950850507038</v>
      </c>
      <c r="X23" s="244">
        <f t="shared" si="2"/>
        <v>100.54713712991683</v>
      </c>
      <c r="Y23" s="245">
        <f t="shared" si="2"/>
        <v>101.78811961358944</v>
      </c>
      <c r="Z23" s="245">
        <f t="shared" si="2"/>
        <v>102.07851534618129</v>
      </c>
      <c r="AA23" s="245">
        <f t="shared" si="2"/>
        <v>102.36903196934523</v>
      </c>
      <c r="AB23" s="245">
        <f t="shared" si="2"/>
        <v>102.29690346083788</v>
      </c>
      <c r="AC23" s="245">
        <f t="shared" si="2"/>
        <v>101.83312262958279</v>
      </c>
      <c r="AD23" s="245">
        <f t="shared" si="2"/>
        <v>101.83247217632298</v>
      </c>
      <c r="AE23" s="245">
        <f t="shared" si="2"/>
        <v>101.83297990161147</v>
      </c>
      <c r="AF23" s="245">
        <f t="shared" si="2"/>
        <v>101.83286682629075</v>
      </c>
      <c r="AG23" s="246">
        <f t="shared" si="2"/>
        <v>101.83299389002036</v>
      </c>
      <c r="AI23" s="247">
        <f t="shared" si="4"/>
        <v>17.69464099999999</v>
      </c>
      <c r="AJ23" s="248">
        <f t="shared" si="5"/>
        <v>116.80317238175884</v>
      </c>
      <c r="AK23" s="249">
        <f t="shared" si="6"/>
        <v>101.42201621896885</v>
      </c>
    </row>
    <row r="24" spans="1:37">
      <c r="A24" s="185" t="s">
        <v>304</v>
      </c>
      <c r="B24" s="232" t="s">
        <v>297</v>
      </c>
      <c r="C24" s="233">
        <v>39.636424999999996</v>
      </c>
      <c r="D24" s="234">
        <v>42.413809999999998</v>
      </c>
      <c r="E24" s="235">
        <v>45.233941999999999</v>
      </c>
      <c r="F24" s="236">
        <v>41.038584999999998</v>
      </c>
      <c r="G24" s="237">
        <v>29.816009000000001</v>
      </c>
      <c r="H24" s="238">
        <v>25.582208999999995</v>
      </c>
      <c r="I24" s="239">
        <v>25.637059913883192</v>
      </c>
      <c r="J24" s="235">
        <v>26.102</v>
      </c>
      <c r="K24" s="235">
        <v>26.88</v>
      </c>
      <c r="L24" s="235">
        <v>28</v>
      </c>
      <c r="M24" s="235">
        <v>29.061</v>
      </c>
      <c r="N24" s="235">
        <v>30.161999999999999</v>
      </c>
      <c r="O24" s="235">
        <v>31.305</v>
      </c>
      <c r="P24" s="235">
        <v>32.491</v>
      </c>
      <c r="Q24" s="235">
        <v>33.722000000000001</v>
      </c>
      <c r="R24" s="235">
        <v>35</v>
      </c>
      <c r="S24" s="240">
        <f t="shared" si="10"/>
        <v>107.00715314259548</v>
      </c>
      <c r="T24" s="241">
        <f t="shared" si="10"/>
        <v>106.64908905849298</v>
      </c>
      <c r="U24" s="241">
        <f t="shared" si="10"/>
        <v>90.725201442757296</v>
      </c>
      <c r="V24" s="242">
        <f t="shared" si="10"/>
        <v>72.653599045873534</v>
      </c>
      <c r="W24" s="243">
        <f t="shared" si="2"/>
        <v>85.800245767299018</v>
      </c>
      <c r="X24" s="244">
        <f t="shared" si="2"/>
        <v>100.21441038920133</v>
      </c>
      <c r="Y24" s="245">
        <f t="shared" si="2"/>
        <v>101.81354682509843</v>
      </c>
      <c r="Z24" s="245">
        <f t="shared" si="2"/>
        <v>102.98061451229789</v>
      </c>
      <c r="AA24" s="245">
        <f t="shared" si="2"/>
        <v>104.16666666666667</v>
      </c>
      <c r="AB24" s="245">
        <f t="shared" si="2"/>
        <v>103.78928571428571</v>
      </c>
      <c r="AC24" s="245">
        <f t="shared" si="2"/>
        <v>103.78858263652317</v>
      </c>
      <c r="AD24" s="245">
        <f t="shared" si="2"/>
        <v>103.78953650288443</v>
      </c>
      <c r="AE24" s="245">
        <f t="shared" si="2"/>
        <v>103.78853218335729</v>
      </c>
      <c r="AF24" s="245">
        <f t="shared" si="2"/>
        <v>103.7887414976455</v>
      </c>
      <c r="AG24" s="246">
        <f t="shared" si="2"/>
        <v>103.78981080600201</v>
      </c>
      <c r="AI24" s="247">
        <f t="shared" si="4"/>
        <v>5.1839909999999989</v>
      </c>
      <c r="AJ24" s="248">
        <f t="shared" si="5"/>
        <v>117.38660261338127</v>
      </c>
      <c r="AK24" s="249">
        <f t="shared" si="6"/>
        <v>101.46796667345966</v>
      </c>
    </row>
    <row r="25" spans="1:37">
      <c r="A25" s="185" t="s">
        <v>304</v>
      </c>
      <c r="B25" s="232" t="s">
        <v>298</v>
      </c>
      <c r="C25" s="233">
        <v>22.43515</v>
      </c>
      <c r="D25" s="234">
        <v>21.468298999999998</v>
      </c>
      <c r="E25" s="235">
        <v>19.072505000000003</v>
      </c>
      <c r="F25" s="236">
        <v>19.289507000000004</v>
      </c>
      <c r="G25" s="237">
        <v>18.687860999999998</v>
      </c>
      <c r="H25" s="238">
        <v>17.953913000000007</v>
      </c>
      <c r="I25" s="239">
        <v>18.021999999999998</v>
      </c>
      <c r="J25" s="235">
        <v>18.812999999999999</v>
      </c>
      <c r="K25" s="235">
        <v>19.638999999999999</v>
      </c>
      <c r="L25" s="235">
        <v>20.5</v>
      </c>
      <c r="M25" s="235">
        <v>20.835999999999999</v>
      </c>
      <c r="N25" s="235">
        <v>21.177</v>
      </c>
      <c r="O25" s="235">
        <v>21.524000000000001</v>
      </c>
      <c r="P25" s="235">
        <v>21.876999999999999</v>
      </c>
      <c r="Q25" s="235">
        <v>22.234999999999999</v>
      </c>
      <c r="R25" s="235">
        <v>22.6</v>
      </c>
      <c r="S25" s="240">
        <f t="shared" si="10"/>
        <v>95.690463402295052</v>
      </c>
      <c r="T25" s="241">
        <f t="shared" si="10"/>
        <v>88.840317530513275</v>
      </c>
      <c r="U25" s="241">
        <f t="shared" si="10"/>
        <v>101.13777398406765</v>
      </c>
      <c r="V25" s="242">
        <f t="shared" si="10"/>
        <v>96.880967460702834</v>
      </c>
      <c r="W25" s="243">
        <f t="shared" si="2"/>
        <v>96.072594932079227</v>
      </c>
      <c r="X25" s="244">
        <f t="shared" si="2"/>
        <v>100.37923209274764</v>
      </c>
      <c r="Y25" s="245">
        <f t="shared" si="2"/>
        <v>104.38908001331706</v>
      </c>
      <c r="Z25" s="245">
        <f t="shared" si="2"/>
        <v>104.3905809812364</v>
      </c>
      <c r="AA25" s="245">
        <f t="shared" si="2"/>
        <v>104.38413361169103</v>
      </c>
      <c r="AB25" s="245">
        <f t="shared" si="2"/>
        <v>101.6390243902439</v>
      </c>
      <c r="AC25" s="245">
        <f t="shared" si="2"/>
        <v>101.63659051641389</v>
      </c>
      <c r="AD25" s="245">
        <f t="shared" si="2"/>
        <v>101.63857014685745</v>
      </c>
      <c r="AE25" s="245">
        <f t="shared" si="2"/>
        <v>101.64002973425012</v>
      </c>
      <c r="AF25" s="245">
        <f t="shared" si="2"/>
        <v>101.63642181286284</v>
      </c>
      <c r="AG25" s="246">
        <f t="shared" si="2"/>
        <v>101.6415561052395</v>
      </c>
      <c r="AI25" s="247">
        <f t="shared" si="4"/>
        <v>3.9121390000000034</v>
      </c>
      <c r="AJ25" s="248">
        <f t="shared" si="5"/>
        <v>120.93411867735962</v>
      </c>
      <c r="AK25" s="249">
        <f t="shared" si="6"/>
        <v>101.74297686453532</v>
      </c>
    </row>
    <row r="26" spans="1:37">
      <c r="A26" s="185" t="s">
        <v>304</v>
      </c>
      <c r="B26" s="232" t="s">
        <v>299</v>
      </c>
      <c r="C26" s="233">
        <v>191.38905499999998</v>
      </c>
      <c r="D26" s="234">
        <v>192.96150599999999</v>
      </c>
      <c r="E26" s="235">
        <v>189.839393</v>
      </c>
      <c r="F26" s="236">
        <v>168.60355299999998</v>
      </c>
      <c r="G26" s="237">
        <v>148.64243499999998</v>
      </c>
      <c r="H26" s="238">
        <v>144.97518199999999</v>
      </c>
      <c r="I26" s="239">
        <v>145.16073374157494</v>
      </c>
      <c r="J26" s="235">
        <v>147.06700000000001</v>
      </c>
      <c r="K26" s="235">
        <v>149.505</v>
      </c>
      <c r="L26" s="235">
        <v>152.5</v>
      </c>
      <c r="M26" s="235">
        <v>155.68</v>
      </c>
      <c r="N26" s="235">
        <v>158.92599999999999</v>
      </c>
      <c r="O26" s="235">
        <v>162.24</v>
      </c>
      <c r="P26" s="235">
        <v>165.62299999999999</v>
      </c>
      <c r="Q26" s="235">
        <v>169.07599999999999</v>
      </c>
      <c r="R26" s="235">
        <v>172.6</v>
      </c>
      <c r="S26" s="240">
        <f t="shared" si="10"/>
        <v>100.82159922885872</v>
      </c>
      <c r="T26" s="241">
        <f t="shared" si="10"/>
        <v>98.382002159539539</v>
      </c>
      <c r="U26" s="241">
        <f t="shared" si="10"/>
        <v>88.813786398906132</v>
      </c>
      <c r="V26" s="242">
        <f t="shared" si="10"/>
        <v>88.160914971940116</v>
      </c>
      <c r="W26" s="243">
        <f t="shared" si="2"/>
        <v>97.532835761201042</v>
      </c>
      <c r="X26" s="244">
        <f t="shared" si="2"/>
        <v>100.12798862468402</v>
      </c>
      <c r="Y26" s="245">
        <f t="shared" si="2"/>
        <v>101.31321067983765</v>
      </c>
      <c r="Z26" s="245">
        <f t="shared" si="2"/>
        <v>101.65774782922068</v>
      </c>
      <c r="AA26" s="245">
        <f t="shared" si="2"/>
        <v>102.00327748235844</v>
      </c>
      <c r="AB26" s="245">
        <f t="shared" si="2"/>
        <v>102.08524590163934</v>
      </c>
      <c r="AC26" s="245">
        <f t="shared" si="2"/>
        <v>102.0850462487153</v>
      </c>
      <c r="AD26" s="245">
        <f t="shared" si="2"/>
        <v>102.08524722197754</v>
      </c>
      <c r="AE26" s="245">
        <f t="shared" si="2"/>
        <v>102.08518244575934</v>
      </c>
      <c r="AF26" s="245">
        <f t="shared" si="2"/>
        <v>102.0848553642912</v>
      </c>
      <c r="AG26" s="246">
        <f t="shared" si="2"/>
        <v>102.08426979583145</v>
      </c>
      <c r="AI26" s="247">
        <f t="shared" si="4"/>
        <v>23.957565000000017</v>
      </c>
      <c r="AJ26" s="248">
        <f t="shared" si="5"/>
        <v>116.11758109317843</v>
      </c>
      <c r="AK26" s="249">
        <f t="shared" si="6"/>
        <v>101.36775223168021</v>
      </c>
    </row>
    <row r="27" spans="1:37">
      <c r="A27" s="185" t="s">
        <v>304</v>
      </c>
      <c r="B27" s="232" t="s">
        <v>300</v>
      </c>
      <c r="C27" s="233">
        <v>26.306975000000001</v>
      </c>
      <c r="D27" s="234">
        <v>30.78435</v>
      </c>
      <c r="E27" s="235">
        <v>33.040373000000002</v>
      </c>
      <c r="F27" s="236">
        <v>31.475928</v>
      </c>
      <c r="G27" s="237">
        <v>27.801417999999998</v>
      </c>
      <c r="H27" s="238">
        <v>28.197012000000001</v>
      </c>
      <c r="I27" s="239">
        <v>28.359000000000002</v>
      </c>
      <c r="J27" s="235">
        <v>29.07</v>
      </c>
      <c r="K27" s="235">
        <v>30.106000000000002</v>
      </c>
      <c r="L27" s="235">
        <v>31.5</v>
      </c>
      <c r="M27" s="235">
        <v>32.914999999999999</v>
      </c>
      <c r="N27" s="235">
        <v>34.393000000000001</v>
      </c>
      <c r="O27" s="235">
        <v>35.938000000000002</v>
      </c>
      <c r="P27" s="235">
        <v>37.552</v>
      </c>
      <c r="Q27" s="235">
        <v>39.238</v>
      </c>
      <c r="R27" s="235">
        <v>41</v>
      </c>
      <c r="S27" s="240">
        <f t="shared" si="10"/>
        <v>117.01972575714234</v>
      </c>
      <c r="T27" s="241">
        <f t="shared" si="10"/>
        <v>107.32847372122525</v>
      </c>
      <c r="U27" s="241">
        <f t="shared" si="10"/>
        <v>95.265050427850795</v>
      </c>
      <c r="V27" s="242">
        <f t="shared" si="10"/>
        <v>88.325967704589985</v>
      </c>
      <c r="W27" s="243">
        <f t="shared" si="2"/>
        <v>101.42292742046467</v>
      </c>
      <c r="X27" s="244">
        <f t="shared" si="2"/>
        <v>100.57448640302739</v>
      </c>
      <c r="Y27" s="245">
        <f t="shared" si="2"/>
        <v>102.50714059028878</v>
      </c>
      <c r="Z27" s="245">
        <f t="shared" si="2"/>
        <v>103.56381148950808</v>
      </c>
      <c r="AA27" s="245">
        <f t="shared" si="2"/>
        <v>104.63030625124559</v>
      </c>
      <c r="AB27" s="245">
        <f t="shared" si="2"/>
        <v>104.49206349206348</v>
      </c>
      <c r="AC27" s="245">
        <f t="shared" si="2"/>
        <v>104.49035394197175</v>
      </c>
      <c r="AD27" s="245">
        <f t="shared" si="2"/>
        <v>104.49219317884453</v>
      </c>
      <c r="AE27" s="245">
        <f t="shared" si="2"/>
        <v>104.49106795035894</v>
      </c>
      <c r="AF27" s="245">
        <f t="shared" si="2"/>
        <v>104.489774179804</v>
      </c>
      <c r="AG27" s="246">
        <f t="shared" si="2"/>
        <v>104.49054487996329</v>
      </c>
      <c r="AI27" s="247">
        <f t="shared" si="4"/>
        <v>13.198582000000002</v>
      </c>
      <c r="AJ27" s="248">
        <f t="shared" si="5"/>
        <v>147.47449212842309</v>
      </c>
      <c r="AK27" s="249">
        <f t="shared" si="6"/>
        <v>103.59478677106789</v>
      </c>
    </row>
    <row r="28" spans="1:37">
      <c r="A28" s="185" t="s">
        <v>304</v>
      </c>
      <c r="B28" s="232" t="s">
        <v>301</v>
      </c>
      <c r="C28" s="233">
        <v>13.031995999999999</v>
      </c>
      <c r="D28" s="234">
        <v>12.123923000000001</v>
      </c>
      <c r="E28" s="235">
        <v>11.058006000000001</v>
      </c>
      <c r="F28" s="236">
        <v>10.721032999999998</v>
      </c>
      <c r="G28" s="237">
        <v>12.269730000000001</v>
      </c>
      <c r="H28" s="238">
        <v>11.254414000000001</v>
      </c>
      <c r="I28" s="239">
        <v>11.346</v>
      </c>
      <c r="J28" s="235">
        <v>11.872999999999999</v>
      </c>
      <c r="K28" s="235">
        <v>12.423999999999999</v>
      </c>
      <c r="L28" s="235">
        <v>13</v>
      </c>
      <c r="M28" s="235">
        <v>13.162000000000001</v>
      </c>
      <c r="N28" s="235">
        <v>13.326000000000001</v>
      </c>
      <c r="O28" s="235">
        <v>13.492000000000001</v>
      </c>
      <c r="P28" s="235">
        <v>13.66</v>
      </c>
      <c r="Q28" s="235">
        <v>13.83</v>
      </c>
      <c r="R28" s="235">
        <v>14</v>
      </c>
      <c r="S28" s="240">
        <f t="shared" si="10"/>
        <v>93.031972999377857</v>
      </c>
      <c r="T28" s="241">
        <f t="shared" si="10"/>
        <v>91.208151025043634</v>
      </c>
      <c r="U28" s="241">
        <f t="shared" si="10"/>
        <v>96.952678448537625</v>
      </c>
      <c r="V28" s="242">
        <f t="shared" si="10"/>
        <v>114.44540838555393</v>
      </c>
      <c r="W28" s="243">
        <f t="shared" si="2"/>
        <v>91.725033884201196</v>
      </c>
      <c r="X28" s="244">
        <f t="shared" si="2"/>
        <v>100.81377848726729</v>
      </c>
      <c r="Y28" s="245">
        <f t="shared" si="2"/>
        <v>104.64480874316939</v>
      </c>
      <c r="Z28" s="245">
        <f t="shared" si="2"/>
        <v>104.640781605323</v>
      </c>
      <c r="AA28" s="245">
        <f t="shared" si="2"/>
        <v>104.63618802318095</v>
      </c>
      <c r="AB28" s="245">
        <f t="shared" si="2"/>
        <v>101.24615384615385</v>
      </c>
      <c r="AC28" s="245">
        <f t="shared" si="2"/>
        <v>101.24601124449171</v>
      </c>
      <c r="AD28" s="245">
        <f t="shared" ref="AD28:AG82" si="11">O28/N28*100</f>
        <v>101.24568512681975</v>
      </c>
      <c r="AE28" s="245">
        <f t="shared" si="11"/>
        <v>101.24518233026978</v>
      </c>
      <c r="AF28" s="245">
        <f t="shared" si="11"/>
        <v>101.24450951683748</v>
      </c>
      <c r="AG28" s="246">
        <f t="shared" si="11"/>
        <v>101.22921185827911</v>
      </c>
      <c r="AI28" s="247">
        <f t="shared" si="4"/>
        <v>1.7302699999999991</v>
      </c>
      <c r="AJ28" s="248">
        <f t="shared" si="5"/>
        <v>114.10194030349486</v>
      </c>
      <c r="AK28" s="249">
        <f t="shared" si="6"/>
        <v>101.20651193736343</v>
      </c>
    </row>
    <row r="29" spans="1:37">
      <c r="A29" s="185" t="s">
        <v>304</v>
      </c>
      <c r="B29" s="251" t="s">
        <v>302</v>
      </c>
      <c r="C29" s="252">
        <v>97.280293999999984</v>
      </c>
      <c r="D29" s="253">
        <v>96.725162999999995</v>
      </c>
      <c r="E29" s="254">
        <v>99.973500999999999</v>
      </c>
      <c r="F29" s="255">
        <v>98.674603000000019</v>
      </c>
      <c r="G29" s="256">
        <v>85.260850999999988</v>
      </c>
      <c r="H29" s="257">
        <v>87.597139999999996</v>
      </c>
      <c r="I29" s="258">
        <v>88.130935508548845</v>
      </c>
      <c r="J29" s="254">
        <v>90.49</v>
      </c>
      <c r="K29" s="254">
        <v>92.912000000000006</v>
      </c>
      <c r="L29" s="254">
        <v>95.4</v>
      </c>
      <c r="M29" s="254">
        <v>98.346000000000004</v>
      </c>
      <c r="N29" s="254">
        <v>101.383</v>
      </c>
      <c r="O29" s="254">
        <v>104.514</v>
      </c>
      <c r="P29" s="254">
        <v>107.742</v>
      </c>
      <c r="Q29" s="254">
        <v>111.069</v>
      </c>
      <c r="R29" s="254">
        <v>114.5</v>
      </c>
      <c r="S29" s="259">
        <f t="shared" si="10"/>
        <v>99.429348969689599</v>
      </c>
      <c r="T29" s="260">
        <f t="shared" si="10"/>
        <v>103.35831742149662</v>
      </c>
      <c r="U29" s="260">
        <f t="shared" si="10"/>
        <v>98.700757713786587</v>
      </c>
      <c r="V29" s="261">
        <f t="shared" si="10"/>
        <v>86.406074519499171</v>
      </c>
      <c r="W29" s="262">
        <f t="shared" si="10"/>
        <v>102.7401661754467</v>
      </c>
      <c r="X29" s="263">
        <f t="shared" si="10"/>
        <v>100.6093754985024</v>
      </c>
      <c r="Y29" s="264">
        <f t="shared" si="10"/>
        <v>102.67677232499402</v>
      </c>
      <c r="Z29" s="264">
        <f t="shared" si="10"/>
        <v>102.67653884407117</v>
      </c>
      <c r="AA29" s="264">
        <f t="shared" si="10"/>
        <v>102.67780265197175</v>
      </c>
      <c r="AB29" s="264">
        <f t="shared" si="10"/>
        <v>103.08805031446539</v>
      </c>
      <c r="AC29" s="264">
        <f t="shared" si="10"/>
        <v>103.08807679010839</v>
      </c>
      <c r="AD29" s="264">
        <f t="shared" si="11"/>
        <v>103.08828896363296</v>
      </c>
      <c r="AE29" s="264">
        <f t="shared" si="11"/>
        <v>103.08858143406626</v>
      </c>
      <c r="AF29" s="264">
        <f t="shared" si="11"/>
        <v>103.08793228267528</v>
      </c>
      <c r="AG29" s="265">
        <f t="shared" si="11"/>
        <v>103.08907075781721</v>
      </c>
      <c r="AI29" s="266">
        <f t="shared" si="4"/>
        <v>29.239149000000012</v>
      </c>
      <c r="AJ29" s="267">
        <f t="shared" si="5"/>
        <v>134.29375693188896</v>
      </c>
      <c r="AK29" s="268">
        <f t="shared" si="6"/>
        <v>102.71678992861388</v>
      </c>
    </row>
    <row r="30" spans="1:37" ht="15" thickBot="1">
      <c r="A30" s="185" t="s">
        <v>304</v>
      </c>
      <c r="B30" s="269" t="s">
        <v>303</v>
      </c>
      <c r="C30" s="270">
        <v>21.058302000000001</v>
      </c>
      <c r="D30" s="271">
        <v>20.773652000000002</v>
      </c>
      <c r="E30" s="272">
        <v>23.369199999999999</v>
      </c>
      <c r="F30" s="273">
        <v>23.746445000000001</v>
      </c>
      <c r="G30" s="274">
        <v>20.925098000000002</v>
      </c>
      <c r="H30" s="275">
        <v>21.091524</v>
      </c>
      <c r="I30" s="276">
        <v>21.963999999999999</v>
      </c>
      <c r="J30" s="272">
        <v>23.652999999999999</v>
      </c>
      <c r="K30" s="272">
        <v>25.471</v>
      </c>
      <c r="L30" s="272">
        <v>27.428999999999998</v>
      </c>
      <c r="M30" s="272">
        <v>28.498000000000001</v>
      </c>
      <c r="N30" s="272">
        <v>29.608000000000001</v>
      </c>
      <c r="O30" s="272">
        <v>30.762</v>
      </c>
      <c r="P30" s="272">
        <v>31.960999999999999</v>
      </c>
      <c r="Q30" s="272">
        <v>33.206000000000003</v>
      </c>
      <c r="R30" s="272">
        <v>34.5</v>
      </c>
      <c r="S30" s="277">
        <f>D30/C30*100</f>
        <v>98.648276579944579</v>
      </c>
      <c r="T30" s="278">
        <f>E30/D30*100</f>
        <v>112.49442322418801</v>
      </c>
      <c r="U30" s="278">
        <f t="shared" si="10"/>
        <v>101.61428290228164</v>
      </c>
      <c r="V30" s="279">
        <f t="shared" si="10"/>
        <v>88.118865792332286</v>
      </c>
      <c r="W30" s="280">
        <f t="shared" si="10"/>
        <v>100.79534155586749</v>
      </c>
      <c r="X30" s="281">
        <f t="shared" si="10"/>
        <v>104.13661905133075</v>
      </c>
      <c r="Y30" s="282">
        <f t="shared" si="10"/>
        <v>107.68985612820981</v>
      </c>
      <c r="Z30" s="282">
        <f t="shared" si="10"/>
        <v>107.68612860947873</v>
      </c>
      <c r="AA30" s="282">
        <f t="shared" si="10"/>
        <v>107.68717364846295</v>
      </c>
      <c r="AB30" s="282">
        <f t="shared" si="10"/>
        <v>103.89733493747495</v>
      </c>
      <c r="AC30" s="282">
        <f t="shared" si="10"/>
        <v>103.89501017615271</v>
      </c>
      <c r="AD30" s="282">
        <f t="shared" si="11"/>
        <v>103.8975952445285</v>
      </c>
      <c r="AE30" s="282">
        <f t="shared" si="11"/>
        <v>103.89766595149858</v>
      </c>
      <c r="AF30" s="282">
        <f t="shared" si="11"/>
        <v>103.89537248521637</v>
      </c>
      <c r="AG30" s="283">
        <f t="shared" si="11"/>
        <v>103.89688610492078</v>
      </c>
      <c r="AI30" s="284">
        <f t="shared" si="4"/>
        <v>13.574901999999998</v>
      </c>
      <c r="AJ30" s="285">
        <f t="shared" si="5"/>
        <v>164.87377980260831</v>
      </c>
      <c r="AK30" s="286">
        <f t="shared" si="6"/>
        <v>104.65043888719514</v>
      </c>
    </row>
    <row r="31" spans="1:37">
      <c r="A31" s="185" t="s">
        <v>23</v>
      </c>
      <c r="B31" s="198" t="s">
        <v>23</v>
      </c>
      <c r="C31" s="199">
        <f>SUM(C33:C42)</f>
        <v>490.05548999999996</v>
      </c>
      <c r="D31" s="200">
        <f>SUM(D33:D42)</f>
        <v>429.24658700000003</v>
      </c>
      <c r="E31" s="201">
        <f>SUM(E33:E42)</f>
        <v>431.66647000000006</v>
      </c>
      <c r="F31" s="202">
        <f t="shared" ref="F31:R31" si="12">SUM(F33:F42)</f>
        <v>414.17956499999997</v>
      </c>
      <c r="G31" s="203">
        <f t="shared" si="12"/>
        <v>411.846025</v>
      </c>
      <c r="H31" s="204">
        <f t="shared" si="12"/>
        <v>420.33168399999994</v>
      </c>
      <c r="I31" s="205">
        <f t="shared" si="12"/>
        <v>424.14351196695549</v>
      </c>
      <c r="J31" s="201">
        <f t="shared" si="12"/>
        <v>434.673</v>
      </c>
      <c r="K31" s="201">
        <f t="shared" si="12"/>
        <v>444.30399999999997</v>
      </c>
      <c r="L31" s="201">
        <f t="shared" si="12"/>
        <v>456.48500000000001</v>
      </c>
      <c r="M31" s="201">
        <f t="shared" si="12"/>
        <v>481.00877099999991</v>
      </c>
      <c r="N31" s="201">
        <f t="shared" si="12"/>
        <v>484.8337709999999</v>
      </c>
      <c r="O31" s="201">
        <f t="shared" si="12"/>
        <v>501.78599999999994</v>
      </c>
      <c r="P31" s="201">
        <f t="shared" si="12"/>
        <v>520.80199999999991</v>
      </c>
      <c r="Q31" s="201">
        <f t="shared" si="12"/>
        <v>542.11877100000004</v>
      </c>
      <c r="R31" s="201">
        <f t="shared" si="12"/>
        <v>546.46477100000016</v>
      </c>
      <c r="S31" s="206">
        <f t="shared" ref="S31:T42" si="13">D31/C31*100</f>
        <v>87.59142500372765</v>
      </c>
      <c r="T31" s="207">
        <f t="shared" si="13"/>
        <v>100.5637512500478</v>
      </c>
      <c r="U31" s="207">
        <f t="shared" si="10"/>
        <v>95.94897769104</v>
      </c>
      <c r="V31" s="208">
        <f t="shared" si="10"/>
        <v>99.436587365192679</v>
      </c>
      <c r="W31" s="209">
        <f t="shared" si="10"/>
        <v>102.06039599386688</v>
      </c>
      <c r="X31" s="210">
        <f t="shared" si="10"/>
        <v>100.90686191692262</v>
      </c>
      <c r="Y31" s="211">
        <f t="shared" si="10"/>
        <v>102.48252955331422</v>
      </c>
      <c r="Z31" s="211">
        <f t="shared" si="10"/>
        <v>102.21568857508979</v>
      </c>
      <c r="AA31" s="211">
        <f t="shared" si="10"/>
        <v>102.74159134286435</v>
      </c>
      <c r="AB31" s="211">
        <f t="shared" si="10"/>
        <v>105.3723059903392</v>
      </c>
      <c r="AC31" s="211">
        <f t="shared" si="10"/>
        <v>100.79520379473496</v>
      </c>
      <c r="AD31" s="211">
        <f t="shared" si="11"/>
        <v>103.49650334072955</v>
      </c>
      <c r="AE31" s="211">
        <f t="shared" si="11"/>
        <v>103.78966332261162</v>
      </c>
      <c r="AF31" s="211">
        <f t="shared" si="11"/>
        <v>104.09306627086687</v>
      </c>
      <c r="AG31" s="212">
        <f t="shared" si="11"/>
        <v>100.80166934488976</v>
      </c>
      <c r="AI31" s="287">
        <f t="shared" si="4"/>
        <v>134.61874600000016</v>
      </c>
      <c r="AJ31" s="288">
        <f t="shared" si="5"/>
        <v>132.68666876170533</v>
      </c>
      <c r="AK31" s="215">
        <f t="shared" si="6"/>
        <v>102.60443124595461</v>
      </c>
    </row>
    <row r="32" spans="1:37">
      <c r="A32" s="185" t="s">
        <v>23</v>
      </c>
      <c r="B32" s="216" t="s">
        <v>292</v>
      </c>
      <c r="C32" s="289">
        <f>C31-C33</f>
        <v>274.96560599999998</v>
      </c>
      <c r="D32" s="290">
        <f>D31-D33</f>
        <v>232.12702300000001</v>
      </c>
      <c r="E32" s="291">
        <f>E31-E33</f>
        <v>235.90865600000006</v>
      </c>
      <c r="F32" s="292">
        <f t="shared" ref="F32:R32" si="14">F31-F33</f>
        <v>236.62664399999997</v>
      </c>
      <c r="G32" s="293">
        <f t="shared" si="14"/>
        <v>234.81807699999999</v>
      </c>
      <c r="H32" s="294">
        <f t="shared" si="14"/>
        <v>235.51386499999995</v>
      </c>
      <c r="I32" s="295">
        <f t="shared" si="14"/>
        <v>241.4560292373269</v>
      </c>
      <c r="J32" s="291">
        <f t="shared" si="14"/>
        <v>251.47300000000001</v>
      </c>
      <c r="K32" s="291">
        <f t="shared" si="14"/>
        <v>260.60399999999998</v>
      </c>
      <c r="L32" s="291">
        <f t="shared" si="14"/>
        <v>271.98500000000001</v>
      </c>
      <c r="M32" s="291">
        <f t="shared" si="14"/>
        <v>282.78799999999995</v>
      </c>
      <c r="N32" s="291">
        <f t="shared" si="14"/>
        <v>286.28499999999997</v>
      </c>
      <c r="O32" s="291">
        <f t="shared" si="14"/>
        <v>291.91899999999998</v>
      </c>
      <c r="P32" s="291">
        <f t="shared" si="14"/>
        <v>297.84899999999993</v>
      </c>
      <c r="Q32" s="291">
        <f t="shared" si="14"/>
        <v>304.21600000000001</v>
      </c>
      <c r="R32" s="291">
        <f t="shared" si="14"/>
        <v>308.21900000000016</v>
      </c>
      <c r="S32" s="224">
        <f t="shared" si="13"/>
        <v>84.420384926251472</v>
      </c>
      <c r="T32" s="225">
        <f t="shared" si="13"/>
        <v>101.62912225863512</v>
      </c>
      <c r="U32" s="225">
        <f t="shared" si="10"/>
        <v>100.3043500023161</v>
      </c>
      <c r="V32" s="226">
        <f t="shared" si="10"/>
        <v>99.235687507785471</v>
      </c>
      <c r="W32" s="227">
        <f t="shared" si="10"/>
        <v>100.29630938507343</v>
      </c>
      <c r="X32" s="228">
        <f t="shared" si="10"/>
        <v>102.5230634456816</v>
      </c>
      <c r="Y32" s="229">
        <f t="shared" si="10"/>
        <v>104.14856932515337</v>
      </c>
      <c r="Z32" s="229">
        <f t="shared" si="10"/>
        <v>103.63100611198814</v>
      </c>
      <c r="AA32" s="229">
        <f t="shared" si="10"/>
        <v>104.3671624380286</v>
      </c>
      <c r="AB32" s="229">
        <f t="shared" si="10"/>
        <v>103.97191021563688</v>
      </c>
      <c r="AC32" s="229">
        <f t="shared" si="10"/>
        <v>101.23661541508126</v>
      </c>
      <c r="AD32" s="229">
        <f t="shared" si="11"/>
        <v>101.96796898195855</v>
      </c>
      <c r="AE32" s="229">
        <f t="shared" si="11"/>
        <v>102.03138541855787</v>
      </c>
      <c r="AF32" s="229">
        <f t="shared" si="11"/>
        <v>102.13766035810094</v>
      </c>
      <c r="AG32" s="230">
        <f t="shared" si="11"/>
        <v>101.31584137586458</v>
      </c>
      <c r="AI32" s="213">
        <f t="shared" si="4"/>
        <v>73.400923000000176</v>
      </c>
      <c r="AJ32" s="214">
        <f t="shared" si="5"/>
        <v>131.25863389129114</v>
      </c>
      <c r="AK32" s="231">
        <f t="shared" si="6"/>
        <v>102.50354802300818</v>
      </c>
    </row>
    <row r="33" spans="1:37">
      <c r="A33" s="185" t="s">
        <v>23</v>
      </c>
      <c r="B33" s="232" t="s">
        <v>293</v>
      </c>
      <c r="C33" s="233">
        <f t="shared" ref="C33:R43" si="15">C46+C59+C72</f>
        <v>215.08988399999998</v>
      </c>
      <c r="D33" s="234">
        <f t="shared" si="15"/>
        <v>197.11956400000003</v>
      </c>
      <c r="E33" s="235">
        <f t="shared" si="15"/>
        <v>195.757814</v>
      </c>
      <c r="F33" s="236">
        <f t="shared" si="15"/>
        <v>177.552921</v>
      </c>
      <c r="G33" s="237">
        <f t="shared" si="15"/>
        <v>177.02794800000001</v>
      </c>
      <c r="H33" s="238">
        <f t="shared" si="15"/>
        <v>184.81781899999999</v>
      </c>
      <c r="I33" s="239">
        <f t="shared" si="15"/>
        <v>182.68748272962858</v>
      </c>
      <c r="J33" s="235">
        <f t="shared" si="15"/>
        <v>183.2</v>
      </c>
      <c r="K33" s="235">
        <f t="shared" si="15"/>
        <v>183.7</v>
      </c>
      <c r="L33" s="235">
        <f t="shared" si="15"/>
        <v>184.5</v>
      </c>
      <c r="M33" s="235">
        <f t="shared" si="15"/>
        <v>198.22077099999996</v>
      </c>
      <c r="N33" s="235">
        <f t="shared" si="15"/>
        <v>198.54877099999993</v>
      </c>
      <c r="O33" s="235">
        <f t="shared" si="15"/>
        <v>209.86699999999999</v>
      </c>
      <c r="P33" s="235">
        <f t="shared" si="15"/>
        <v>222.95299999999997</v>
      </c>
      <c r="Q33" s="235">
        <f t="shared" si="15"/>
        <v>237.90277100000003</v>
      </c>
      <c r="R33" s="235">
        <f t="shared" si="15"/>
        <v>238.24577100000002</v>
      </c>
      <c r="S33" s="240">
        <f t="shared" si="13"/>
        <v>91.645204476469033</v>
      </c>
      <c r="T33" s="241">
        <f t="shared" si="13"/>
        <v>99.309175622973669</v>
      </c>
      <c r="U33" s="241">
        <f t="shared" si="10"/>
        <v>90.700298175581381</v>
      </c>
      <c r="V33" s="242">
        <f t="shared" si="10"/>
        <v>99.704328716732292</v>
      </c>
      <c r="W33" s="243">
        <f t="shared" si="10"/>
        <v>104.40036225240547</v>
      </c>
      <c r="X33" s="244">
        <f t="shared" si="10"/>
        <v>98.847331776828611</v>
      </c>
      <c r="Y33" s="245">
        <f t="shared" si="10"/>
        <v>100.28054317828108</v>
      </c>
      <c r="Z33" s="245">
        <f t="shared" si="10"/>
        <v>100.27292576419214</v>
      </c>
      <c r="AA33" s="245">
        <f t="shared" si="10"/>
        <v>100.43549265106151</v>
      </c>
      <c r="AB33" s="245">
        <f t="shared" si="10"/>
        <v>107.43673224932246</v>
      </c>
      <c r="AC33" s="245">
        <f t="shared" si="10"/>
        <v>100.16547206347006</v>
      </c>
      <c r="AD33" s="245">
        <f t="shared" si="11"/>
        <v>105.70047799490034</v>
      </c>
      <c r="AE33" s="245">
        <f t="shared" si="11"/>
        <v>106.2353776439364</v>
      </c>
      <c r="AF33" s="245">
        <f t="shared" si="11"/>
        <v>106.70534641830342</v>
      </c>
      <c r="AG33" s="246">
        <f t="shared" si="11"/>
        <v>100.14417654681289</v>
      </c>
      <c r="AI33" s="247">
        <f t="shared" si="4"/>
        <v>61.21782300000001</v>
      </c>
      <c r="AJ33" s="248">
        <f t="shared" si="5"/>
        <v>134.58088041556016</v>
      </c>
      <c r="AK33" s="249">
        <f t="shared" si="6"/>
        <v>102.73673520013095</v>
      </c>
    </row>
    <row r="34" spans="1:37">
      <c r="A34" s="185" t="s">
        <v>23</v>
      </c>
      <c r="B34" s="232" t="s">
        <v>294</v>
      </c>
      <c r="C34" s="233">
        <f t="shared" si="15"/>
        <v>4.1215580000000003</v>
      </c>
      <c r="D34" s="234">
        <f t="shared" si="15"/>
        <v>2.7373599999999998</v>
      </c>
      <c r="E34" s="235">
        <f t="shared" si="15"/>
        <v>2.6445829999999999</v>
      </c>
      <c r="F34" s="236">
        <f t="shared" si="15"/>
        <v>2.7547830000000002</v>
      </c>
      <c r="G34" s="237">
        <f t="shared" si="15"/>
        <v>1.986183</v>
      </c>
      <c r="H34" s="238">
        <f t="shared" si="15"/>
        <v>1.683942</v>
      </c>
      <c r="I34" s="239">
        <f t="shared" si="15"/>
        <v>1.8646279999999997</v>
      </c>
      <c r="J34" s="235">
        <f t="shared" si="15"/>
        <v>2.0379999999999998</v>
      </c>
      <c r="K34" s="235">
        <f t="shared" si="15"/>
        <v>2.2160000000000002</v>
      </c>
      <c r="L34" s="235">
        <f t="shared" si="15"/>
        <v>2.415</v>
      </c>
      <c r="M34" s="235">
        <f t="shared" si="15"/>
        <v>2.4209999999999998</v>
      </c>
      <c r="N34" s="235">
        <f t="shared" si="15"/>
        <v>2.427</v>
      </c>
      <c r="O34" s="235">
        <f t="shared" si="15"/>
        <v>2.4330000000000003</v>
      </c>
      <c r="P34" s="235">
        <f t="shared" si="15"/>
        <v>2.4390000000000001</v>
      </c>
      <c r="Q34" s="235">
        <f t="shared" si="15"/>
        <v>2.4449999999999998</v>
      </c>
      <c r="R34" s="235">
        <f t="shared" si="15"/>
        <v>2.4500000000000002</v>
      </c>
      <c r="S34" s="240">
        <f t="shared" si="13"/>
        <v>66.415661262076128</v>
      </c>
      <c r="T34" s="241">
        <f t="shared" si="13"/>
        <v>96.610712511324778</v>
      </c>
      <c r="U34" s="241">
        <f t="shared" si="10"/>
        <v>104.16700856051786</v>
      </c>
      <c r="V34" s="242">
        <f t="shared" si="10"/>
        <v>72.099435781330143</v>
      </c>
      <c r="W34" s="243">
        <f t="shared" si="10"/>
        <v>84.782822126662055</v>
      </c>
      <c r="X34" s="244">
        <f t="shared" si="10"/>
        <v>110.72994200512842</v>
      </c>
      <c r="Y34" s="245">
        <f t="shared" si="10"/>
        <v>109.29794039347259</v>
      </c>
      <c r="Z34" s="245">
        <f t="shared" si="10"/>
        <v>108.73405299313055</v>
      </c>
      <c r="AA34" s="245">
        <f t="shared" si="10"/>
        <v>108.98014440433212</v>
      </c>
      <c r="AB34" s="245">
        <f t="shared" si="10"/>
        <v>100.24844720496893</v>
      </c>
      <c r="AC34" s="245">
        <f t="shared" si="10"/>
        <v>100.24783147459728</v>
      </c>
      <c r="AD34" s="245">
        <f t="shared" si="11"/>
        <v>100.24721878862795</v>
      </c>
      <c r="AE34" s="245">
        <f t="shared" si="11"/>
        <v>100.2466091245376</v>
      </c>
      <c r="AF34" s="245">
        <f t="shared" si="11"/>
        <v>100.2460024600246</v>
      </c>
      <c r="AG34" s="246">
        <f t="shared" si="11"/>
        <v>100.20449897750512</v>
      </c>
      <c r="AI34" s="247">
        <f t="shared" si="4"/>
        <v>0.46381700000000015</v>
      </c>
      <c r="AJ34" s="248">
        <f t="shared" si="5"/>
        <v>123.35217852534232</v>
      </c>
      <c r="AK34" s="249">
        <f t="shared" si="6"/>
        <v>101.92625672700611</v>
      </c>
    </row>
    <row r="35" spans="1:37">
      <c r="A35" s="185" t="s">
        <v>23</v>
      </c>
      <c r="B35" s="232" t="s">
        <v>295</v>
      </c>
      <c r="C35" s="233">
        <f t="shared" si="15"/>
        <v>91.432040000000001</v>
      </c>
      <c r="D35" s="234">
        <f t="shared" si="15"/>
        <v>86.946873000000011</v>
      </c>
      <c r="E35" s="235">
        <f t="shared" si="15"/>
        <v>83.867938999999993</v>
      </c>
      <c r="F35" s="236">
        <f t="shared" si="15"/>
        <v>81.822928999999988</v>
      </c>
      <c r="G35" s="237">
        <f t="shared" si="15"/>
        <v>76.396715999999998</v>
      </c>
      <c r="H35" s="238">
        <f t="shared" si="15"/>
        <v>74.886548000000005</v>
      </c>
      <c r="I35" s="239">
        <f t="shared" si="15"/>
        <v>76.228162690675745</v>
      </c>
      <c r="J35" s="235">
        <f t="shared" si="15"/>
        <v>76.730999999999995</v>
      </c>
      <c r="K35" s="235">
        <f t="shared" si="15"/>
        <v>77.604000000000013</v>
      </c>
      <c r="L35" s="235">
        <f t="shared" si="15"/>
        <v>78.72</v>
      </c>
      <c r="M35" s="235">
        <f t="shared" si="15"/>
        <v>80.248000000000005</v>
      </c>
      <c r="N35" s="235">
        <f t="shared" si="15"/>
        <v>80.427000000000007</v>
      </c>
      <c r="O35" s="235">
        <f t="shared" si="15"/>
        <v>81.103999999999999</v>
      </c>
      <c r="P35" s="235">
        <f t="shared" si="15"/>
        <v>81.8</v>
      </c>
      <c r="Q35" s="235">
        <f t="shared" si="15"/>
        <v>82.518000000000001</v>
      </c>
      <c r="R35" s="235">
        <f t="shared" si="15"/>
        <v>82.7</v>
      </c>
      <c r="S35" s="240">
        <f t="shared" si="13"/>
        <v>95.094534694840021</v>
      </c>
      <c r="T35" s="241">
        <f t="shared" si="13"/>
        <v>96.458832970335777</v>
      </c>
      <c r="U35" s="241">
        <f t="shared" si="10"/>
        <v>97.561630791952567</v>
      </c>
      <c r="V35" s="242">
        <f t="shared" si="10"/>
        <v>93.368346664783914</v>
      </c>
      <c r="W35" s="243">
        <f t="shared" si="10"/>
        <v>98.023255345164316</v>
      </c>
      <c r="X35" s="244">
        <f t="shared" si="10"/>
        <v>101.79152962248406</v>
      </c>
      <c r="Y35" s="245">
        <f t="shared" si="10"/>
        <v>100.6596476834483</v>
      </c>
      <c r="Z35" s="245">
        <f t="shared" si="10"/>
        <v>101.13774093912502</v>
      </c>
      <c r="AA35" s="245">
        <f t="shared" si="10"/>
        <v>101.43807020256685</v>
      </c>
      <c r="AB35" s="245">
        <f t="shared" si="10"/>
        <v>101.94105691056912</v>
      </c>
      <c r="AC35" s="245">
        <f t="shared" si="10"/>
        <v>100.22305851859237</v>
      </c>
      <c r="AD35" s="245">
        <f t="shared" si="11"/>
        <v>100.84175712136472</v>
      </c>
      <c r="AE35" s="245">
        <f t="shared" si="11"/>
        <v>100.85815742750049</v>
      </c>
      <c r="AF35" s="245">
        <f t="shared" si="11"/>
        <v>100.87775061124695</v>
      </c>
      <c r="AG35" s="246">
        <f t="shared" si="11"/>
        <v>100.22055793887394</v>
      </c>
      <c r="AI35" s="247">
        <f t="shared" si="4"/>
        <v>6.303284000000005</v>
      </c>
      <c r="AJ35" s="248">
        <f t="shared" si="5"/>
        <v>108.25072637939046</v>
      </c>
      <c r="AK35" s="249">
        <f t="shared" si="6"/>
        <v>100.72332976526741</v>
      </c>
    </row>
    <row r="36" spans="1:37">
      <c r="A36" s="185" t="s">
        <v>23</v>
      </c>
      <c r="B36" s="232" t="s">
        <v>296</v>
      </c>
      <c r="C36" s="233">
        <f t="shared" si="15"/>
        <v>27.532316999999999</v>
      </c>
      <c r="D36" s="234">
        <f t="shared" si="15"/>
        <v>18.323841000000002</v>
      </c>
      <c r="E36" s="235">
        <f t="shared" si="15"/>
        <v>15.257628</v>
      </c>
      <c r="F36" s="236">
        <f t="shared" si="15"/>
        <v>16.430211</v>
      </c>
      <c r="G36" s="237">
        <f t="shared" si="15"/>
        <v>20.251391000000002</v>
      </c>
      <c r="H36" s="238">
        <f t="shared" si="15"/>
        <v>23.027048000000001</v>
      </c>
      <c r="I36" s="239">
        <f t="shared" si="15"/>
        <v>23.308</v>
      </c>
      <c r="J36" s="235">
        <f t="shared" si="15"/>
        <v>23.756999999999998</v>
      </c>
      <c r="K36" s="235">
        <f t="shared" si="15"/>
        <v>24.220999999999997</v>
      </c>
      <c r="L36" s="235">
        <f t="shared" si="15"/>
        <v>24.700000000000003</v>
      </c>
      <c r="M36" s="235">
        <f t="shared" si="15"/>
        <v>25.302</v>
      </c>
      <c r="N36" s="235">
        <f t="shared" si="15"/>
        <v>25.553000000000001</v>
      </c>
      <c r="O36" s="235">
        <f t="shared" si="15"/>
        <v>26.183</v>
      </c>
      <c r="P36" s="235">
        <f t="shared" si="15"/>
        <v>26.834000000000003</v>
      </c>
      <c r="Q36" s="235">
        <f t="shared" si="15"/>
        <v>27.506999999999998</v>
      </c>
      <c r="R36" s="235">
        <f t="shared" si="15"/>
        <v>27.8</v>
      </c>
      <c r="S36" s="240">
        <f t="shared" si="13"/>
        <v>66.553937323909224</v>
      </c>
      <c r="T36" s="241">
        <f t="shared" si="13"/>
        <v>83.266537839964883</v>
      </c>
      <c r="U36" s="241">
        <f t="shared" si="10"/>
        <v>107.68522472824739</v>
      </c>
      <c r="V36" s="242">
        <f t="shared" si="10"/>
        <v>123.25703546959927</v>
      </c>
      <c r="W36" s="243">
        <f t="shared" si="10"/>
        <v>113.7060066639373</v>
      </c>
      <c r="X36" s="244">
        <f t="shared" si="10"/>
        <v>101.22009560235423</v>
      </c>
      <c r="Y36" s="245">
        <f t="shared" si="10"/>
        <v>101.92637720954178</v>
      </c>
      <c r="Z36" s="245">
        <f t="shared" si="10"/>
        <v>101.95310855747779</v>
      </c>
      <c r="AA36" s="245">
        <f t="shared" si="10"/>
        <v>101.97762272408244</v>
      </c>
      <c r="AB36" s="245">
        <f t="shared" si="10"/>
        <v>102.43724696356273</v>
      </c>
      <c r="AC36" s="245">
        <f t="shared" si="10"/>
        <v>100.99201644138805</v>
      </c>
      <c r="AD36" s="245">
        <f t="shared" si="11"/>
        <v>102.4654639376981</v>
      </c>
      <c r="AE36" s="245">
        <f t="shared" si="11"/>
        <v>102.48634610243288</v>
      </c>
      <c r="AF36" s="245">
        <f t="shared" si="11"/>
        <v>102.50801222329878</v>
      </c>
      <c r="AG36" s="246">
        <f t="shared" si="11"/>
        <v>101.06518340785983</v>
      </c>
      <c r="AI36" s="247">
        <f t="shared" si="4"/>
        <v>7.548608999999999</v>
      </c>
      <c r="AJ36" s="248">
        <f t="shared" si="5"/>
        <v>137.27452104401124</v>
      </c>
      <c r="AK36" s="249">
        <f t="shared" si="6"/>
        <v>102.92199032798275</v>
      </c>
    </row>
    <row r="37" spans="1:37">
      <c r="A37" s="185" t="s">
        <v>23</v>
      </c>
      <c r="B37" s="232" t="s">
        <v>297</v>
      </c>
      <c r="C37" s="233">
        <f t="shared" si="15"/>
        <v>29.646566</v>
      </c>
      <c r="D37" s="234">
        <f t="shared" si="15"/>
        <v>23.871815000000005</v>
      </c>
      <c r="E37" s="235">
        <f t="shared" si="15"/>
        <v>22.559078</v>
      </c>
      <c r="F37" s="236">
        <f t="shared" si="15"/>
        <v>20.45505</v>
      </c>
      <c r="G37" s="237">
        <f t="shared" si="15"/>
        <v>20.818921999999997</v>
      </c>
      <c r="H37" s="238">
        <f t="shared" si="15"/>
        <v>19.656874000000002</v>
      </c>
      <c r="I37" s="239">
        <f t="shared" si="15"/>
        <v>20.463792553323643</v>
      </c>
      <c r="J37" s="235">
        <f t="shared" si="15"/>
        <v>21.243000000000002</v>
      </c>
      <c r="K37" s="235">
        <f t="shared" si="15"/>
        <v>22.089000000000002</v>
      </c>
      <c r="L37" s="235">
        <f t="shared" si="15"/>
        <v>23.01</v>
      </c>
      <c r="M37" s="235">
        <f t="shared" si="15"/>
        <v>24.016999999999999</v>
      </c>
      <c r="N37" s="235">
        <f t="shared" si="15"/>
        <v>24.331</v>
      </c>
      <c r="O37" s="235">
        <f t="shared" si="15"/>
        <v>24.794</v>
      </c>
      <c r="P37" s="235">
        <f t="shared" si="15"/>
        <v>25.269000000000002</v>
      </c>
      <c r="Q37" s="235">
        <f t="shared" si="15"/>
        <v>25.757000000000001</v>
      </c>
      <c r="R37" s="235">
        <f t="shared" si="15"/>
        <v>26.1</v>
      </c>
      <c r="S37" s="240">
        <f t="shared" si="13"/>
        <v>80.521349420367955</v>
      </c>
      <c r="T37" s="241">
        <f t="shared" si="13"/>
        <v>94.500891532545779</v>
      </c>
      <c r="U37" s="241">
        <f t="shared" si="10"/>
        <v>90.673253578891831</v>
      </c>
      <c r="V37" s="242">
        <f t="shared" si="10"/>
        <v>101.77888589859228</v>
      </c>
      <c r="W37" s="243">
        <f t="shared" si="10"/>
        <v>94.418308498393927</v>
      </c>
      <c r="X37" s="244">
        <f t="shared" si="10"/>
        <v>104.10501971637831</v>
      </c>
      <c r="Y37" s="245">
        <f t="shared" si="10"/>
        <v>103.80773722488603</v>
      </c>
      <c r="Z37" s="245">
        <f t="shared" si="10"/>
        <v>103.98248834910324</v>
      </c>
      <c r="AA37" s="245">
        <f t="shared" si="10"/>
        <v>104.16949612929511</v>
      </c>
      <c r="AB37" s="245">
        <f t="shared" si="10"/>
        <v>104.37635810517165</v>
      </c>
      <c r="AC37" s="245">
        <f t="shared" si="10"/>
        <v>101.30740725319565</v>
      </c>
      <c r="AD37" s="245">
        <f t="shared" si="11"/>
        <v>101.902922198019</v>
      </c>
      <c r="AE37" s="245">
        <f t="shared" si="11"/>
        <v>101.91578607727676</v>
      </c>
      <c r="AF37" s="245">
        <f t="shared" si="11"/>
        <v>101.93122007202501</v>
      </c>
      <c r="AG37" s="246">
        <f t="shared" si="11"/>
        <v>101.33167682571728</v>
      </c>
      <c r="AI37" s="247">
        <f t="shared" si="4"/>
        <v>5.2810780000000044</v>
      </c>
      <c r="AJ37" s="248">
        <f t="shared" si="5"/>
        <v>125.36672167752012</v>
      </c>
      <c r="AK37" s="249">
        <f t="shared" si="6"/>
        <v>102.07647421701694</v>
      </c>
    </row>
    <row r="38" spans="1:37">
      <c r="A38" s="185" t="s">
        <v>23</v>
      </c>
      <c r="B38" s="232" t="s">
        <v>298</v>
      </c>
      <c r="C38" s="233">
        <f t="shared" si="15"/>
        <v>19.341048000000001</v>
      </c>
      <c r="D38" s="234">
        <f t="shared" si="15"/>
        <v>9.9469890000000003</v>
      </c>
      <c r="E38" s="235">
        <f t="shared" si="15"/>
        <v>7.8716209999999993</v>
      </c>
      <c r="F38" s="236">
        <f t="shared" si="15"/>
        <v>7.0495540000000005</v>
      </c>
      <c r="G38" s="237">
        <f t="shared" si="15"/>
        <v>6.0986660000000006</v>
      </c>
      <c r="H38" s="238">
        <f t="shared" si="15"/>
        <v>4.9742699999999997</v>
      </c>
      <c r="I38" s="239">
        <f t="shared" si="15"/>
        <v>5.5359999999999996</v>
      </c>
      <c r="J38" s="235">
        <f t="shared" si="15"/>
        <v>5.7770000000000001</v>
      </c>
      <c r="K38" s="235">
        <f t="shared" si="15"/>
        <v>6.0039999999999996</v>
      </c>
      <c r="L38" s="235">
        <f t="shared" si="15"/>
        <v>6.25</v>
      </c>
      <c r="M38" s="235">
        <f t="shared" si="15"/>
        <v>6.4470000000000001</v>
      </c>
      <c r="N38" s="235">
        <f t="shared" si="15"/>
        <v>6.6539999999999999</v>
      </c>
      <c r="O38" s="235">
        <f t="shared" si="15"/>
        <v>7.1690000000000005</v>
      </c>
      <c r="P38" s="235">
        <f t="shared" si="15"/>
        <v>7.7309999999999999</v>
      </c>
      <c r="Q38" s="235">
        <f t="shared" si="15"/>
        <v>8.3449999999999989</v>
      </c>
      <c r="R38" s="235">
        <f t="shared" si="15"/>
        <v>8.6</v>
      </c>
      <c r="S38" s="240">
        <f t="shared" si="13"/>
        <v>51.429420991044537</v>
      </c>
      <c r="T38" s="241">
        <f t="shared" si="13"/>
        <v>79.135716345921352</v>
      </c>
      <c r="U38" s="241">
        <f t="shared" si="10"/>
        <v>89.556572909188603</v>
      </c>
      <c r="V38" s="242">
        <f t="shared" si="10"/>
        <v>86.511373627324502</v>
      </c>
      <c r="W38" s="243">
        <f t="shared" si="10"/>
        <v>81.563246782165137</v>
      </c>
      <c r="X38" s="244">
        <f t="shared" si="10"/>
        <v>111.29271229748285</v>
      </c>
      <c r="Y38" s="245">
        <f t="shared" si="10"/>
        <v>104.35332369942199</v>
      </c>
      <c r="Z38" s="245">
        <f t="shared" si="10"/>
        <v>103.92937510818763</v>
      </c>
      <c r="AA38" s="245">
        <f t="shared" si="10"/>
        <v>104.09726848767488</v>
      </c>
      <c r="AB38" s="245">
        <f t="shared" si="10"/>
        <v>103.152</v>
      </c>
      <c r="AC38" s="245">
        <f t="shared" si="10"/>
        <v>103.21079571893902</v>
      </c>
      <c r="AD38" s="245">
        <f t="shared" si="11"/>
        <v>107.73970544033664</v>
      </c>
      <c r="AE38" s="245">
        <f t="shared" si="11"/>
        <v>107.83930813223601</v>
      </c>
      <c r="AF38" s="245">
        <f t="shared" si="11"/>
        <v>107.9420514810503</v>
      </c>
      <c r="AG38" s="246">
        <f t="shared" si="11"/>
        <v>103.05572198921512</v>
      </c>
      <c r="AI38" s="247">
        <f t="shared" si="4"/>
        <v>2.5013339999999991</v>
      </c>
      <c r="AJ38" s="248">
        <f t="shared" si="5"/>
        <v>141.01444479825588</v>
      </c>
      <c r="AK38" s="249">
        <f t="shared" si="6"/>
        <v>103.17379809670597</v>
      </c>
    </row>
    <row r="39" spans="1:37">
      <c r="A39" s="185" t="s">
        <v>23</v>
      </c>
      <c r="B39" s="232" t="s">
        <v>299</v>
      </c>
      <c r="C39" s="233">
        <f t="shared" si="15"/>
        <v>4.8637639999999998</v>
      </c>
      <c r="D39" s="234">
        <f t="shared" si="15"/>
        <v>4.3423030000000002</v>
      </c>
      <c r="E39" s="235">
        <f t="shared" si="15"/>
        <v>3.9879219999999997</v>
      </c>
      <c r="F39" s="236">
        <f t="shared" si="15"/>
        <v>4.0965379999999998</v>
      </c>
      <c r="G39" s="237">
        <f t="shared" si="15"/>
        <v>3.8967159999999996</v>
      </c>
      <c r="H39" s="238">
        <f t="shared" si="15"/>
        <v>3.3249659999999999</v>
      </c>
      <c r="I39" s="239">
        <f t="shared" si="15"/>
        <v>3.4340000000000002</v>
      </c>
      <c r="J39" s="235">
        <f t="shared" si="15"/>
        <v>3.7949999999999999</v>
      </c>
      <c r="K39" s="235">
        <f t="shared" si="15"/>
        <v>4.1949999999999994</v>
      </c>
      <c r="L39" s="235">
        <f t="shared" si="15"/>
        <v>4.6399999999999997</v>
      </c>
      <c r="M39" s="235">
        <f t="shared" si="15"/>
        <v>4.71</v>
      </c>
      <c r="N39" s="235">
        <f t="shared" si="15"/>
        <v>4.7830000000000004</v>
      </c>
      <c r="O39" s="235">
        <f t="shared" si="15"/>
        <v>4.8579999999999997</v>
      </c>
      <c r="P39" s="235">
        <f t="shared" si="15"/>
        <v>4.9360000000000008</v>
      </c>
      <c r="Q39" s="235">
        <f t="shared" si="15"/>
        <v>5.0170000000000003</v>
      </c>
      <c r="R39" s="235">
        <f t="shared" si="15"/>
        <v>5.1000000000000005</v>
      </c>
      <c r="S39" s="240">
        <f t="shared" si="13"/>
        <v>89.278653322817476</v>
      </c>
      <c r="T39" s="241">
        <f t="shared" si="13"/>
        <v>91.838869834739754</v>
      </c>
      <c r="U39" s="241">
        <f t="shared" si="10"/>
        <v>102.72362398261552</v>
      </c>
      <c r="V39" s="242">
        <f t="shared" si="10"/>
        <v>95.122173894151601</v>
      </c>
      <c r="W39" s="243">
        <f t="shared" si="10"/>
        <v>85.327388498417648</v>
      </c>
      <c r="X39" s="244">
        <f t="shared" si="10"/>
        <v>103.27925157730937</v>
      </c>
      <c r="Y39" s="245">
        <f t="shared" si="10"/>
        <v>110.51252184041932</v>
      </c>
      <c r="Z39" s="245">
        <f t="shared" si="10"/>
        <v>110.54018445322791</v>
      </c>
      <c r="AA39" s="245">
        <f t="shared" si="10"/>
        <v>110.60786650774732</v>
      </c>
      <c r="AB39" s="245">
        <f t="shared" si="10"/>
        <v>101.50862068965519</v>
      </c>
      <c r="AC39" s="245">
        <f t="shared" si="10"/>
        <v>101.54989384288749</v>
      </c>
      <c r="AD39" s="245">
        <f t="shared" si="11"/>
        <v>101.56805352289358</v>
      </c>
      <c r="AE39" s="245">
        <f t="shared" si="11"/>
        <v>101.60559901193909</v>
      </c>
      <c r="AF39" s="245">
        <f t="shared" si="11"/>
        <v>101.64100486223661</v>
      </c>
      <c r="AG39" s="246">
        <f t="shared" si="11"/>
        <v>101.65437512457645</v>
      </c>
      <c r="AI39" s="247">
        <f t="shared" si="4"/>
        <v>1.2032840000000009</v>
      </c>
      <c r="AJ39" s="248">
        <f t="shared" si="5"/>
        <v>130.87943796776571</v>
      </c>
      <c r="AK39" s="249">
        <f t="shared" si="6"/>
        <v>102.47659217739611</v>
      </c>
    </row>
    <row r="40" spans="1:37">
      <c r="A40" s="185" t="s">
        <v>23</v>
      </c>
      <c r="B40" s="232" t="s">
        <v>300</v>
      </c>
      <c r="C40" s="233">
        <f t="shared" si="15"/>
        <v>38.680187000000004</v>
      </c>
      <c r="D40" s="234">
        <f t="shared" si="15"/>
        <v>29.720193000000002</v>
      </c>
      <c r="E40" s="235">
        <f t="shared" si="15"/>
        <v>30.713437000000003</v>
      </c>
      <c r="F40" s="236">
        <f t="shared" si="15"/>
        <v>36.241812000000003</v>
      </c>
      <c r="G40" s="237">
        <f t="shared" si="15"/>
        <v>42.463821999999993</v>
      </c>
      <c r="H40" s="238">
        <f t="shared" si="15"/>
        <v>41.927734999999998</v>
      </c>
      <c r="I40" s="239">
        <f t="shared" si="15"/>
        <v>42.45164622769137</v>
      </c>
      <c r="J40" s="235">
        <f t="shared" si="15"/>
        <v>43.835999999999999</v>
      </c>
      <c r="K40" s="235">
        <f t="shared" si="15"/>
        <v>45.027000000000001</v>
      </c>
      <c r="L40" s="235">
        <f t="shared" si="15"/>
        <v>46.28</v>
      </c>
      <c r="M40" s="235">
        <f t="shared" si="15"/>
        <v>47.142000000000003</v>
      </c>
      <c r="N40" s="235">
        <f t="shared" si="15"/>
        <v>48.027000000000001</v>
      </c>
      <c r="O40" s="235">
        <f t="shared" si="15"/>
        <v>48.935000000000002</v>
      </c>
      <c r="P40" s="235">
        <f t="shared" si="15"/>
        <v>49.866</v>
      </c>
      <c r="Q40" s="235">
        <f t="shared" si="15"/>
        <v>50.821000000000005</v>
      </c>
      <c r="R40" s="235">
        <f t="shared" si="15"/>
        <v>51.8</v>
      </c>
      <c r="S40" s="240">
        <f t="shared" si="13"/>
        <v>76.835701440636768</v>
      </c>
      <c r="T40" s="241">
        <f t="shared" si="13"/>
        <v>103.34198368092697</v>
      </c>
      <c r="U40" s="241">
        <f t="shared" si="10"/>
        <v>117.99985784723475</v>
      </c>
      <c r="V40" s="242">
        <f t="shared" si="10"/>
        <v>117.16804336383619</v>
      </c>
      <c r="W40" s="243">
        <f t="shared" si="10"/>
        <v>98.73754416171019</v>
      </c>
      <c r="X40" s="244">
        <f t="shared" si="10"/>
        <v>101.24955766795264</v>
      </c>
      <c r="Y40" s="245">
        <f t="shared" si="10"/>
        <v>103.26101316515168</v>
      </c>
      <c r="Z40" s="245">
        <f t="shared" si="10"/>
        <v>102.71694497673145</v>
      </c>
      <c r="AA40" s="245">
        <f t="shared" si="10"/>
        <v>102.7827747795767</v>
      </c>
      <c r="AB40" s="245">
        <f t="shared" si="10"/>
        <v>101.86257562662058</v>
      </c>
      <c r="AC40" s="245">
        <f t="shared" si="10"/>
        <v>101.87730686012473</v>
      </c>
      <c r="AD40" s="245">
        <f t="shared" si="11"/>
        <v>101.89060320236534</v>
      </c>
      <c r="AE40" s="245">
        <f t="shared" si="11"/>
        <v>101.90252375600286</v>
      </c>
      <c r="AF40" s="245">
        <f t="shared" si="11"/>
        <v>101.91513255524806</v>
      </c>
      <c r="AG40" s="246">
        <f t="shared" si="11"/>
        <v>101.92636902068043</v>
      </c>
      <c r="AI40" s="247">
        <f t="shared" si="4"/>
        <v>9.3361780000000039</v>
      </c>
      <c r="AJ40" s="248">
        <f t="shared" si="5"/>
        <v>121.98619332946528</v>
      </c>
      <c r="AK40" s="249">
        <f t="shared" si="6"/>
        <v>101.82312588091391</v>
      </c>
    </row>
    <row r="41" spans="1:37">
      <c r="A41" s="185" t="s">
        <v>23</v>
      </c>
      <c r="B41" s="232" t="s">
        <v>301</v>
      </c>
      <c r="C41" s="233">
        <f t="shared" si="15"/>
        <v>14.623443</v>
      </c>
      <c r="D41" s="234">
        <f t="shared" si="15"/>
        <v>14.701648999999998</v>
      </c>
      <c r="E41" s="235">
        <f t="shared" si="15"/>
        <v>24.621505000000003</v>
      </c>
      <c r="F41" s="236">
        <f t="shared" si="15"/>
        <v>23.433858000000001</v>
      </c>
      <c r="G41" s="237">
        <f t="shared" si="15"/>
        <v>17.663045</v>
      </c>
      <c r="H41" s="238">
        <f t="shared" si="15"/>
        <v>22.252057000000001</v>
      </c>
      <c r="I41" s="239">
        <f t="shared" si="15"/>
        <v>22.972799765636132</v>
      </c>
      <c r="J41" s="235">
        <f t="shared" si="15"/>
        <v>23.881999999999998</v>
      </c>
      <c r="K41" s="235">
        <f t="shared" si="15"/>
        <v>24.739000000000001</v>
      </c>
      <c r="L41" s="235">
        <f t="shared" si="15"/>
        <v>25.650000000000002</v>
      </c>
      <c r="M41" s="235">
        <f t="shared" si="15"/>
        <v>26.18099999999998</v>
      </c>
      <c r="N41" s="235">
        <f t="shared" si="15"/>
        <v>26.733999999999988</v>
      </c>
      <c r="O41" s="235">
        <f t="shared" si="15"/>
        <v>27.532999999999987</v>
      </c>
      <c r="P41" s="235">
        <f t="shared" si="15"/>
        <v>28.399999999999995</v>
      </c>
      <c r="Q41" s="235">
        <f t="shared" si="15"/>
        <v>29.343</v>
      </c>
      <c r="R41" s="235">
        <f t="shared" si="15"/>
        <v>30</v>
      </c>
      <c r="S41" s="240">
        <f t="shared" si="13"/>
        <v>100.53479881584657</v>
      </c>
      <c r="T41" s="241">
        <f t="shared" si="13"/>
        <v>167.47444453339898</v>
      </c>
      <c r="U41" s="241">
        <f t="shared" si="10"/>
        <v>95.176383409543803</v>
      </c>
      <c r="V41" s="242">
        <f t="shared" si="10"/>
        <v>75.374037855823829</v>
      </c>
      <c r="W41" s="243">
        <f t="shared" si="10"/>
        <v>125.98086570011003</v>
      </c>
      <c r="X41" s="244">
        <f t="shared" si="10"/>
        <v>103.23899388553666</v>
      </c>
      <c r="Y41" s="245">
        <f t="shared" si="10"/>
        <v>103.95772497753579</v>
      </c>
      <c r="Z41" s="245">
        <f t="shared" si="10"/>
        <v>103.58847667699524</v>
      </c>
      <c r="AA41" s="245">
        <f t="shared" si="10"/>
        <v>103.68244472290715</v>
      </c>
      <c r="AB41" s="245">
        <f t="shared" si="10"/>
        <v>102.07017543859639</v>
      </c>
      <c r="AC41" s="245">
        <f t="shared" si="10"/>
        <v>102.11221878461483</v>
      </c>
      <c r="AD41" s="245">
        <f t="shared" si="11"/>
        <v>102.98870352360289</v>
      </c>
      <c r="AE41" s="245">
        <f t="shared" si="11"/>
        <v>103.14894853448592</v>
      </c>
      <c r="AF41" s="245">
        <f t="shared" si="11"/>
        <v>103.32042253521128</v>
      </c>
      <c r="AG41" s="246">
        <f t="shared" si="11"/>
        <v>102.23903486351089</v>
      </c>
      <c r="AI41" s="247">
        <f t="shared" si="4"/>
        <v>12.336955</v>
      </c>
      <c r="AJ41" s="248">
        <f t="shared" si="5"/>
        <v>169.8461392132557</v>
      </c>
      <c r="AK41" s="249">
        <f t="shared" si="6"/>
        <v>104.93349852749161</v>
      </c>
    </row>
    <row r="42" spans="1:37">
      <c r="A42" s="185" t="s">
        <v>23</v>
      </c>
      <c r="B42" s="251" t="s">
        <v>302</v>
      </c>
      <c r="C42" s="252">
        <f t="shared" si="15"/>
        <v>44.724682999999999</v>
      </c>
      <c r="D42" s="253">
        <f t="shared" si="15"/>
        <v>41.536000000000001</v>
      </c>
      <c r="E42" s="254">
        <f t="shared" si="15"/>
        <v>44.384943000000007</v>
      </c>
      <c r="F42" s="255">
        <f t="shared" si="15"/>
        <v>44.341909000000001</v>
      </c>
      <c r="G42" s="256">
        <f t="shared" si="15"/>
        <v>45.242615999999998</v>
      </c>
      <c r="H42" s="257">
        <f t="shared" si="15"/>
        <v>43.780425000000001</v>
      </c>
      <c r="I42" s="258">
        <f t="shared" si="15"/>
        <v>45.196999999999996</v>
      </c>
      <c r="J42" s="254">
        <f t="shared" si="15"/>
        <v>50.414000000000001</v>
      </c>
      <c r="K42" s="254">
        <f t="shared" si="15"/>
        <v>54.509</v>
      </c>
      <c r="L42" s="254">
        <f t="shared" si="15"/>
        <v>60.320000000000029</v>
      </c>
      <c r="M42" s="254">
        <f t="shared" si="15"/>
        <v>66.320000000000007</v>
      </c>
      <c r="N42" s="254">
        <f t="shared" si="15"/>
        <v>67.349000000000004</v>
      </c>
      <c r="O42" s="254">
        <f t="shared" si="15"/>
        <v>68.91</v>
      </c>
      <c r="P42" s="254">
        <f t="shared" si="15"/>
        <v>70.573999999999998</v>
      </c>
      <c r="Q42" s="254">
        <f t="shared" si="15"/>
        <v>72.462999999999994</v>
      </c>
      <c r="R42" s="254">
        <f t="shared" si="15"/>
        <v>73.668999999999997</v>
      </c>
      <c r="S42" s="259">
        <f t="shared" si="13"/>
        <v>92.870417885354271</v>
      </c>
      <c r="T42" s="260">
        <f t="shared" si="13"/>
        <v>106.85897293913715</v>
      </c>
      <c r="U42" s="260">
        <f t="shared" si="10"/>
        <v>99.90304369659772</v>
      </c>
      <c r="V42" s="261">
        <f t="shared" si="10"/>
        <v>102.0312770025305</v>
      </c>
      <c r="W42" s="262">
        <f t="shared" si="10"/>
        <v>96.768111286933546</v>
      </c>
      <c r="X42" s="263">
        <f t="shared" si="10"/>
        <v>103.23563556086994</v>
      </c>
      <c r="Y42" s="264">
        <f t="shared" si="10"/>
        <v>111.54280151337478</v>
      </c>
      <c r="Z42" s="264">
        <f t="shared" si="10"/>
        <v>108.12274368231047</v>
      </c>
      <c r="AA42" s="264">
        <f t="shared" si="10"/>
        <v>110.6606248509421</v>
      </c>
      <c r="AB42" s="264">
        <f t="shared" si="10"/>
        <v>109.94694960212198</v>
      </c>
      <c r="AC42" s="264">
        <f t="shared" si="10"/>
        <v>101.5515681544029</v>
      </c>
      <c r="AD42" s="264">
        <f t="shared" si="11"/>
        <v>102.3177775468084</v>
      </c>
      <c r="AE42" s="264">
        <f t="shared" si="11"/>
        <v>102.4147438688144</v>
      </c>
      <c r="AF42" s="264">
        <f t="shared" si="11"/>
        <v>102.67662311899566</v>
      </c>
      <c r="AG42" s="265">
        <f t="shared" si="11"/>
        <v>101.664297641555</v>
      </c>
      <c r="AI42" s="266">
        <f t="shared" si="4"/>
        <v>28.426383999999999</v>
      </c>
      <c r="AJ42" s="267">
        <f t="shared" si="5"/>
        <v>162.83099102845867</v>
      </c>
      <c r="AK42" s="268">
        <f t="shared" si="6"/>
        <v>104.53189515486577</v>
      </c>
    </row>
    <row r="43" spans="1:37" ht="15" thickBot="1">
      <c r="A43" s="185" t="s">
        <v>23</v>
      </c>
      <c r="B43" s="269" t="s">
        <v>303</v>
      </c>
      <c r="C43" s="296">
        <f t="shared" si="15"/>
        <v>24.996309</v>
      </c>
      <c r="D43" s="297">
        <f t="shared" si="15"/>
        <v>24.212637000000001</v>
      </c>
      <c r="E43" s="298">
        <f t="shared" si="15"/>
        <v>27.377034000000002</v>
      </c>
      <c r="F43" s="299">
        <f t="shared" si="15"/>
        <v>27.813482</v>
      </c>
      <c r="G43" s="300">
        <f t="shared" si="15"/>
        <v>29.956690999999999</v>
      </c>
      <c r="H43" s="301">
        <f t="shared" si="15"/>
        <v>29.929069999999999</v>
      </c>
      <c r="I43" s="302">
        <f t="shared" si="15"/>
        <v>31.487000000000002</v>
      </c>
      <c r="J43" s="298">
        <f t="shared" si="15"/>
        <v>35.439</v>
      </c>
      <c r="K43" s="298">
        <f t="shared" si="15"/>
        <v>38.563999999999993</v>
      </c>
      <c r="L43" s="298">
        <f t="shared" si="15"/>
        <v>44.4</v>
      </c>
      <c r="M43" s="298">
        <f t="shared" si="15"/>
        <v>49.923999999999999</v>
      </c>
      <c r="N43" s="298">
        <f t="shared" si="15"/>
        <v>50.888000000000005</v>
      </c>
      <c r="O43" s="298">
        <f t="shared" si="15"/>
        <v>52.027000000000001</v>
      </c>
      <c r="P43" s="298">
        <f t="shared" si="15"/>
        <v>53.209000000000003</v>
      </c>
      <c r="Q43" s="298">
        <f t="shared" si="15"/>
        <v>54.438000000000002</v>
      </c>
      <c r="R43" s="298">
        <f t="shared" si="15"/>
        <v>55.58</v>
      </c>
      <c r="S43" s="277">
        <f>D43/C43*100</f>
        <v>96.864849126325012</v>
      </c>
      <c r="T43" s="278">
        <f>E43/D43*100</f>
        <v>113.06919605658814</v>
      </c>
      <c r="U43" s="278">
        <f t="shared" si="10"/>
        <v>101.59421214146134</v>
      </c>
      <c r="V43" s="279">
        <f t="shared" si="10"/>
        <v>107.70564793002184</v>
      </c>
      <c r="W43" s="280">
        <f t="shared" si="10"/>
        <v>99.907796892520608</v>
      </c>
      <c r="X43" s="281">
        <f t="shared" si="10"/>
        <v>105.20540731803563</v>
      </c>
      <c r="Y43" s="282">
        <f t="shared" si="10"/>
        <v>112.5512116111411</v>
      </c>
      <c r="Z43" s="282">
        <f t="shared" si="10"/>
        <v>108.81796890431443</v>
      </c>
      <c r="AA43" s="282">
        <f t="shared" si="10"/>
        <v>115.13328492894929</v>
      </c>
      <c r="AB43" s="282">
        <f t="shared" si="10"/>
        <v>112.44144144144144</v>
      </c>
      <c r="AC43" s="282">
        <f t="shared" si="10"/>
        <v>101.9309350212323</v>
      </c>
      <c r="AD43" s="282">
        <f t="shared" si="11"/>
        <v>102.2382487030341</v>
      </c>
      <c r="AE43" s="282">
        <f t="shared" si="11"/>
        <v>102.27189728410249</v>
      </c>
      <c r="AF43" s="282">
        <f t="shared" si="11"/>
        <v>102.30975962713073</v>
      </c>
      <c r="AG43" s="283">
        <f t="shared" si="11"/>
        <v>102.09779933134942</v>
      </c>
      <c r="AI43" s="284">
        <f t="shared" si="4"/>
        <v>25.623308999999999</v>
      </c>
      <c r="AJ43" s="285">
        <f t="shared" si="5"/>
        <v>185.53451047046551</v>
      </c>
      <c r="AK43" s="286">
        <f t="shared" si="6"/>
        <v>105.77967922629961</v>
      </c>
    </row>
    <row r="44" spans="1:37">
      <c r="A44" s="185" t="s">
        <v>305</v>
      </c>
      <c r="B44" s="303" t="s">
        <v>305</v>
      </c>
      <c r="C44" s="199">
        <f>SUM(C46:C55)</f>
        <v>205.78339100000002</v>
      </c>
      <c r="D44" s="200">
        <f>SUM(D46:D55)</f>
        <v>161.36569400000002</v>
      </c>
      <c r="E44" s="201">
        <f>SUM(E46:E55)</f>
        <v>152.55367899999999</v>
      </c>
      <c r="F44" s="202">
        <f t="shared" ref="F44:R44" si="16">SUM(F46:F55)</f>
        <v>146.83560300000002</v>
      </c>
      <c r="G44" s="203">
        <f t="shared" si="16"/>
        <v>135.58945999999997</v>
      </c>
      <c r="H44" s="204">
        <f t="shared" si="16"/>
        <v>124.90256999999998</v>
      </c>
      <c r="I44" s="205">
        <f t="shared" si="16"/>
        <v>125.91496776642131</v>
      </c>
      <c r="J44" s="201">
        <f t="shared" si="16"/>
        <v>128.89000000000001</v>
      </c>
      <c r="K44" s="201">
        <f t="shared" si="16"/>
        <v>136.47300000000001</v>
      </c>
      <c r="L44" s="201">
        <f t="shared" si="16"/>
        <v>143.79300000000001</v>
      </c>
      <c r="M44" s="201">
        <f t="shared" si="16"/>
        <v>129.387</v>
      </c>
      <c r="N44" s="201">
        <f t="shared" si="16"/>
        <v>131.45499999999998</v>
      </c>
      <c r="O44" s="201">
        <f t="shared" si="16"/>
        <v>128.60900000000001</v>
      </c>
      <c r="P44" s="201">
        <f t="shared" si="16"/>
        <v>125.851</v>
      </c>
      <c r="Q44" s="201">
        <f t="shared" si="16"/>
        <v>123.188</v>
      </c>
      <c r="R44" s="201">
        <f t="shared" si="16"/>
        <v>125.619</v>
      </c>
      <c r="S44" s="304">
        <f t="shared" ref="S44:AC67" si="17">D44/C44*100</f>
        <v>78.415314868632919</v>
      </c>
      <c r="T44" s="305">
        <f t="shared" si="17"/>
        <v>94.539102592648945</v>
      </c>
      <c r="U44" s="305">
        <f t="shared" si="17"/>
        <v>96.251761322648946</v>
      </c>
      <c r="V44" s="306">
        <f t="shared" si="17"/>
        <v>92.340997162656762</v>
      </c>
      <c r="W44" s="288">
        <f t="shared" si="17"/>
        <v>92.118200042982707</v>
      </c>
      <c r="X44" s="307">
        <f t="shared" si="17"/>
        <v>100.81054998821988</v>
      </c>
      <c r="Y44" s="308">
        <f t="shared" si="17"/>
        <v>102.36273120372594</v>
      </c>
      <c r="Z44" s="308">
        <f t="shared" si="17"/>
        <v>105.8833113507642</v>
      </c>
      <c r="AA44" s="308">
        <f t="shared" si="17"/>
        <v>105.3636983139522</v>
      </c>
      <c r="AB44" s="308">
        <f t="shared" si="17"/>
        <v>89.981431641317727</v>
      </c>
      <c r="AC44" s="308">
        <f t="shared" si="17"/>
        <v>101.59830585762093</v>
      </c>
      <c r="AD44" s="308">
        <f t="shared" si="11"/>
        <v>97.83500057053746</v>
      </c>
      <c r="AE44" s="308">
        <f t="shared" si="11"/>
        <v>97.855515554898957</v>
      </c>
      <c r="AF44" s="308">
        <f t="shared" si="11"/>
        <v>97.884005689267468</v>
      </c>
      <c r="AG44" s="309">
        <f t="shared" si="11"/>
        <v>101.97340650063317</v>
      </c>
      <c r="AI44" s="287">
        <f t="shared" si="4"/>
        <v>-9.9704599999999743</v>
      </c>
      <c r="AJ44" s="288">
        <f t="shared" si="5"/>
        <v>92.646581821330372</v>
      </c>
      <c r="AK44" s="215">
        <f t="shared" si="6"/>
        <v>99.308058403826166</v>
      </c>
    </row>
    <row r="45" spans="1:37">
      <c r="A45" s="185" t="s">
        <v>305</v>
      </c>
      <c r="B45" s="310" t="s">
        <v>292</v>
      </c>
      <c r="C45" s="289">
        <f>C44-C46</f>
        <v>135.15784200000002</v>
      </c>
      <c r="D45" s="290">
        <f>D44-D46</f>
        <v>103.61662000000001</v>
      </c>
      <c r="E45" s="291">
        <f>E44-E46</f>
        <v>96.118972999999983</v>
      </c>
      <c r="F45" s="292">
        <f t="shared" ref="F45:R45" si="18">F44-F46</f>
        <v>97.811600000000027</v>
      </c>
      <c r="G45" s="293">
        <f t="shared" si="18"/>
        <v>97.281641999999977</v>
      </c>
      <c r="H45" s="294">
        <f t="shared" si="18"/>
        <v>87.225268999999983</v>
      </c>
      <c r="I45" s="295">
        <f t="shared" si="18"/>
        <v>88.237666766421313</v>
      </c>
      <c r="J45" s="291">
        <f t="shared" si="18"/>
        <v>90.931000000000012</v>
      </c>
      <c r="K45" s="291">
        <f t="shared" si="18"/>
        <v>96.736000000000018</v>
      </c>
      <c r="L45" s="291">
        <f t="shared" si="18"/>
        <v>102</v>
      </c>
      <c r="M45" s="291">
        <f t="shared" si="18"/>
        <v>104.387</v>
      </c>
      <c r="N45" s="291">
        <f t="shared" si="18"/>
        <v>106.45499999999998</v>
      </c>
      <c r="O45" s="291">
        <f t="shared" si="18"/>
        <v>108.60900000000001</v>
      </c>
      <c r="P45" s="291">
        <f t="shared" si="18"/>
        <v>110.851</v>
      </c>
      <c r="Q45" s="291">
        <f t="shared" si="18"/>
        <v>113.188</v>
      </c>
      <c r="R45" s="291">
        <f t="shared" si="18"/>
        <v>115.619</v>
      </c>
      <c r="S45" s="311">
        <f t="shared" si="17"/>
        <v>76.663416984713322</v>
      </c>
      <c r="T45" s="312">
        <f t="shared" si="17"/>
        <v>92.764049821351023</v>
      </c>
      <c r="U45" s="312">
        <f t="shared" si="17"/>
        <v>101.76097075028055</v>
      </c>
      <c r="V45" s="313">
        <f t="shared" si="17"/>
        <v>99.458184918762143</v>
      </c>
      <c r="W45" s="214">
        <f t="shared" si="17"/>
        <v>89.662620003885223</v>
      </c>
      <c r="X45" s="314">
        <f t="shared" si="17"/>
        <v>101.16067027138813</v>
      </c>
      <c r="Y45" s="315">
        <f t="shared" si="17"/>
        <v>103.05236225330884</v>
      </c>
      <c r="Z45" s="315">
        <f t="shared" si="17"/>
        <v>106.38396146528689</v>
      </c>
      <c r="AA45" s="315">
        <f t="shared" si="17"/>
        <v>105.44161429043994</v>
      </c>
      <c r="AB45" s="315">
        <f t="shared" si="17"/>
        <v>102.34019607843136</v>
      </c>
      <c r="AC45" s="315">
        <f t="shared" si="17"/>
        <v>101.98108959927958</v>
      </c>
      <c r="AD45" s="315">
        <f t="shared" si="11"/>
        <v>102.02339016485841</v>
      </c>
      <c r="AE45" s="315">
        <f t="shared" si="11"/>
        <v>102.06428564851899</v>
      </c>
      <c r="AF45" s="315">
        <f t="shared" si="11"/>
        <v>102.10823537902229</v>
      </c>
      <c r="AG45" s="316">
        <f t="shared" si="11"/>
        <v>102.14775417888822</v>
      </c>
      <c r="AI45" s="213">
        <f t="shared" si="4"/>
        <v>18.337358000000023</v>
      </c>
      <c r="AJ45" s="214">
        <f t="shared" si="5"/>
        <v>118.84976201367985</v>
      </c>
      <c r="AK45" s="231">
        <f t="shared" si="6"/>
        <v>101.58229695451703</v>
      </c>
    </row>
    <row r="46" spans="1:37">
      <c r="A46" s="185" t="s">
        <v>305</v>
      </c>
      <c r="B46" s="317" t="s">
        <v>293</v>
      </c>
      <c r="C46" s="233">
        <v>70.625548999999992</v>
      </c>
      <c r="D46" s="234">
        <v>57.749074</v>
      </c>
      <c r="E46" s="235">
        <v>56.434705999999998</v>
      </c>
      <c r="F46" s="236">
        <v>49.024003</v>
      </c>
      <c r="G46" s="237">
        <v>38.307818000000005</v>
      </c>
      <c r="H46" s="238">
        <v>37.677301</v>
      </c>
      <c r="I46" s="239">
        <v>37.677301</v>
      </c>
      <c r="J46" s="235">
        <v>37.958999999999996</v>
      </c>
      <c r="K46" s="235">
        <v>39.737000000000002</v>
      </c>
      <c r="L46" s="235">
        <v>41.792999999999999</v>
      </c>
      <c r="M46" s="235">
        <v>25</v>
      </c>
      <c r="N46" s="235">
        <v>25</v>
      </c>
      <c r="O46" s="235">
        <v>20</v>
      </c>
      <c r="P46" s="235">
        <v>15</v>
      </c>
      <c r="Q46" s="235">
        <v>10</v>
      </c>
      <c r="R46" s="235">
        <v>10</v>
      </c>
      <c r="S46" s="318">
        <f t="shared" si="17"/>
        <v>81.767964734688306</v>
      </c>
      <c r="T46" s="319">
        <f t="shared" si="17"/>
        <v>97.724001600441241</v>
      </c>
      <c r="U46" s="319">
        <f t="shared" si="17"/>
        <v>86.868536180555282</v>
      </c>
      <c r="V46" s="320">
        <f t="shared" si="17"/>
        <v>78.140942509325498</v>
      </c>
      <c r="W46" s="248">
        <f t="shared" si="17"/>
        <v>98.354077488830072</v>
      </c>
      <c r="X46" s="321">
        <f t="shared" si="17"/>
        <v>100</v>
      </c>
      <c r="Y46" s="322">
        <f t="shared" si="17"/>
        <v>100.74766236573049</v>
      </c>
      <c r="Z46" s="322">
        <f t="shared" si="17"/>
        <v>104.6840011591454</v>
      </c>
      <c r="AA46" s="322">
        <f t="shared" si="17"/>
        <v>105.17401917608274</v>
      </c>
      <c r="AB46" s="322">
        <f t="shared" si="17"/>
        <v>59.818629914100455</v>
      </c>
      <c r="AC46" s="322">
        <f t="shared" si="17"/>
        <v>100</v>
      </c>
      <c r="AD46" s="322">
        <f t="shared" si="11"/>
        <v>80</v>
      </c>
      <c r="AE46" s="322">
        <f t="shared" si="11"/>
        <v>75</v>
      </c>
      <c r="AF46" s="322">
        <f t="shared" si="11"/>
        <v>66.666666666666657</v>
      </c>
      <c r="AG46" s="323">
        <f t="shared" si="11"/>
        <v>100</v>
      </c>
      <c r="AI46" s="247">
        <f t="shared" si="4"/>
        <v>-28.307818000000005</v>
      </c>
      <c r="AJ46" s="248">
        <f t="shared" si="5"/>
        <v>26.104332019119436</v>
      </c>
      <c r="AK46" s="249">
        <f t="shared" si="6"/>
        <v>88.506235978191413</v>
      </c>
    </row>
    <row r="47" spans="1:37">
      <c r="A47" s="185" t="s">
        <v>305</v>
      </c>
      <c r="B47" s="317" t="s">
        <v>294</v>
      </c>
      <c r="C47" s="233">
        <v>0.7589769999999999</v>
      </c>
      <c r="D47" s="234">
        <v>0.41687400000000002</v>
      </c>
      <c r="E47" s="235">
        <v>1.091164</v>
      </c>
      <c r="F47" s="236">
        <v>0.8951920000000001</v>
      </c>
      <c r="G47" s="237">
        <v>0.81157699999999999</v>
      </c>
      <c r="H47" s="238">
        <v>0.74871300000000018</v>
      </c>
      <c r="I47" s="239">
        <v>0.86799999999999999</v>
      </c>
      <c r="J47" s="235">
        <v>0.97199999999999998</v>
      </c>
      <c r="K47" s="235">
        <v>1.1020000000000001</v>
      </c>
      <c r="L47" s="235">
        <v>1.25</v>
      </c>
      <c r="M47" s="235">
        <v>1.25</v>
      </c>
      <c r="N47" s="235">
        <v>1.25</v>
      </c>
      <c r="O47" s="235">
        <v>1.25</v>
      </c>
      <c r="P47" s="235">
        <v>1.25</v>
      </c>
      <c r="Q47" s="235">
        <v>1.25</v>
      </c>
      <c r="R47" s="235">
        <v>1.25</v>
      </c>
      <c r="S47" s="318">
        <f t="shared" si="17"/>
        <v>54.925775089363718</v>
      </c>
      <c r="T47" s="319">
        <f t="shared" si="17"/>
        <v>261.74911364105225</v>
      </c>
      <c r="U47" s="319">
        <f t="shared" si="17"/>
        <v>82.040096630753951</v>
      </c>
      <c r="V47" s="320">
        <f t="shared" si="17"/>
        <v>90.659545661712784</v>
      </c>
      <c r="W47" s="248">
        <f t="shared" si="17"/>
        <v>92.254092957291817</v>
      </c>
      <c r="X47" s="321">
        <f t="shared" si="17"/>
        <v>115.93227311399691</v>
      </c>
      <c r="Y47" s="322">
        <f t="shared" si="17"/>
        <v>111.98156682027648</v>
      </c>
      <c r="Z47" s="322">
        <f t="shared" si="17"/>
        <v>113.37448559670784</v>
      </c>
      <c r="AA47" s="322">
        <f t="shared" si="17"/>
        <v>113.43012704174227</v>
      </c>
      <c r="AB47" s="322">
        <f t="shared" si="17"/>
        <v>100</v>
      </c>
      <c r="AC47" s="322">
        <f t="shared" si="17"/>
        <v>100</v>
      </c>
      <c r="AD47" s="322">
        <f t="shared" si="11"/>
        <v>100</v>
      </c>
      <c r="AE47" s="322">
        <f t="shared" si="11"/>
        <v>100</v>
      </c>
      <c r="AF47" s="322">
        <f t="shared" si="11"/>
        <v>100</v>
      </c>
      <c r="AG47" s="323">
        <f t="shared" si="11"/>
        <v>100</v>
      </c>
      <c r="AI47" s="247">
        <f t="shared" si="4"/>
        <v>0.43842300000000001</v>
      </c>
      <c r="AJ47" s="248">
        <f t="shared" si="5"/>
        <v>154.02112184056475</v>
      </c>
      <c r="AK47" s="249">
        <f t="shared" si="6"/>
        <v>104.00464906599296</v>
      </c>
    </row>
    <row r="48" spans="1:37">
      <c r="A48" s="185" t="s">
        <v>305</v>
      </c>
      <c r="B48" s="317" t="s">
        <v>295</v>
      </c>
      <c r="C48" s="233">
        <v>47.343487000000003</v>
      </c>
      <c r="D48" s="234">
        <v>45.682755999999998</v>
      </c>
      <c r="E48" s="235">
        <v>40.199104999999996</v>
      </c>
      <c r="F48" s="236">
        <v>38.030872000000002</v>
      </c>
      <c r="G48" s="237">
        <v>36.065201000000002</v>
      </c>
      <c r="H48" s="238">
        <v>31.369037999999996</v>
      </c>
      <c r="I48" s="239">
        <v>31.497945309801938</v>
      </c>
      <c r="J48" s="235">
        <v>31.861000000000001</v>
      </c>
      <c r="K48" s="235">
        <v>32.228000000000002</v>
      </c>
      <c r="L48" s="235">
        <v>32.6</v>
      </c>
      <c r="M48" s="235">
        <v>33</v>
      </c>
      <c r="N48" s="235">
        <v>33</v>
      </c>
      <c r="O48" s="235">
        <v>33</v>
      </c>
      <c r="P48" s="235">
        <v>33</v>
      </c>
      <c r="Q48" s="235">
        <v>33</v>
      </c>
      <c r="R48" s="235">
        <v>33</v>
      </c>
      <c r="S48" s="318">
        <f t="shared" si="17"/>
        <v>96.492165860110802</v>
      </c>
      <c r="T48" s="319">
        <f t="shared" si="17"/>
        <v>87.99623429024291</v>
      </c>
      <c r="U48" s="319">
        <f t="shared" si="17"/>
        <v>94.606265487751557</v>
      </c>
      <c r="V48" s="320">
        <f t="shared" si="17"/>
        <v>94.831380674100757</v>
      </c>
      <c r="W48" s="248">
        <f t="shared" si="17"/>
        <v>86.978686185611437</v>
      </c>
      <c r="X48" s="321">
        <f t="shared" si="17"/>
        <v>100.41093803961073</v>
      </c>
      <c r="Y48" s="322">
        <f t="shared" si="17"/>
        <v>101.15262975609105</v>
      </c>
      <c r="Z48" s="322">
        <f t="shared" si="17"/>
        <v>101.15187847211324</v>
      </c>
      <c r="AA48" s="322">
        <f t="shared" si="17"/>
        <v>101.15427578503164</v>
      </c>
      <c r="AB48" s="322">
        <f t="shared" si="17"/>
        <v>101.22699386503066</v>
      </c>
      <c r="AC48" s="322">
        <f t="shared" si="17"/>
        <v>100</v>
      </c>
      <c r="AD48" s="322">
        <f t="shared" si="11"/>
        <v>100</v>
      </c>
      <c r="AE48" s="322">
        <f t="shared" si="11"/>
        <v>100</v>
      </c>
      <c r="AF48" s="322">
        <f t="shared" si="11"/>
        <v>100</v>
      </c>
      <c r="AG48" s="323">
        <f t="shared" si="11"/>
        <v>100</v>
      </c>
      <c r="AI48" s="247">
        <f t="shared" si="4"/>
        <v>-3.0652010000000018</v>
      </c>
      <c r="AJ48" s="248">
        <f t="shared" si="5"/>
        <v>91.500945745456946</v>
      </c>
      <c r="AK48" s="249">
        <f t="shared" si="6"/>
        <v>99.195788697014763</v>
      </c>
    </row>
    <row r="49" spans="1:40">
      <c r="A49" s="185" t="s">
        <v>305</v>
      </c>
      <c r="B49" s="317" t="s">
        <v>296</v>
      </c>
      <c r="C49" s="233">
        <v>15.124018</v>
      </c>
      <c r="D49" s="234">
        <v>8.1322390000000002</v>
      </c>
      <c r="E49" s="235">
        <v>4.2546090000000003</v>
      </c>
      <c r="F49" s="236">
        <v>3.6654740000000006</v>
      </c>
      <c r="G49" s="237">
        <v>3.3868559999999999</v>
      </c>
      <c r="H49" s="238">
        <v>2.6270659999999997</v>
      </c>
      <c r="I49" s="239">
        <v>2.6390000000000002</v>
      </c>
      <c r="J49" s="235">
        <v>2.7989999999999999</v>
      </c>
      <c r="K49" s="235">
        <v>2.9689999999999999</v>
      </c>
      <c r="L49" s="235">
        <v>3.1500000000000004</v>
      </c>
      <c r="M49" s="235">
        <v>3.3180000000000001</v>
      </c>
      <c r="N49" s="235">
        <v>3.4950000000000001</v>
      </c>
      <c r="O49" s="235">
        <v>3.681</v>
      </c>
      <c r="P49" s="235">
        <v>3.8769999999999998</v>
      </c>
      <c r="Q49" s="235">
        <v>4.0830000000000002</v>
      </c>
      <c r="R49" s="235">
        <v>4.3</v>
      </c>
      <c r="S49" s="318">
        <f t="shared" si="17"/>
        <v>53.770360495471515</v>
      </c>
      <c r="T49" s="319">
        <f t="shared" si="17"/>
        <v>52.317805711317632</v>
      </c>
      <c r="U49" s="319">
        <f t="shared" si="17"/>
        <v>86.153016646183005</v>
      </c>
      <c r="V49" s="320">
        <f t="shared" si="17"/>
        <v>92.398854827506611</v>
      </c>
      <c r="W49" s="248">
        <f t="shared" si="17"/>
        <v>77.566510061248536</v>
      </c>
      <c r="X49" s="321">
        <f t="shared" si="17"/>
        <v>100.45427103848934</v>
      </c>
      <c r="Y49" s="322">
        <f t="shared" si="17"/>
        <v>106.06290261462674</v>
      </c>
      <c r="Z49" s="322">
        <f t="shared" si="17"/>
        <v>106.0735977134691</v>
      </c>
      <c r="AA49" s="322">
        <f t="shared" si="17"/>
        <v>106.09632873021222</v>
      </c>
      <c r="AB49" s="322">
        <f t="shared" si="17"/>
        <v>105.33333333333333</v>
      </c>
      <c r="AC49" s="322">
        <f t="shared" si="17"/>
        <v>105.33453887884268</v>
      </c>
      <c r="AD49" s="322">
        <f t="shared" si="11"/>
        <v>105.32188841201717</v>
      </c>
      <c r="AE49" s="322">
        <f t="shared" si="11"/>
        <v>105.32464004346645</v>
      </c>
      <c r="AF49" s="322">
        <f t="shared" si="11"/>
        <v>105.31338663915399</v>
      </c>
      <c r="AG49" s="323">
        <f t="shared" si="11"/>
        <v>105.3147195689444</v>
      </c>
      <c r="AI49" s="247">
        <f t="shared" si="4"/>
        <v>0.91314399999999996</v>
      </c>
      <c r="AJ49" s="248">
        <f t="shared" si="5"/>
        <v>126.9614060946199</v>
      </c>
      <c r="AK49" s="249">
        <f t="shared" si="6"/>
        <v>102.19383618493832</v>
      </c>
    </row>
    <row r="50" spans="1:40">
      <c r="A50" s="185" t="s">
        <v>305</v>
      </c>
      <c r="B50" s="317" t="s">
        <v>297</v>
      </c>
      <c r="C50" s="233">
        <v>8.1957630000000012</v>
      </c>
      <c r="D50" s="234">
        <v>5.4644529999999998</v>
      </c>
      <c r="E50" s="235">
        <v>4.8293759999999999</v>
      </c>
      <c r="F50" s="236">
        <v>4.2656690000000008</v>
      </c>
      <c r="G50" s="237">
        <v>4.6602869999999994</v>
      </c>
      <c r="H50" s="238">
        <v>3.3329110000000011</v>
      </c>
      <c r="I50" s="239">
        <v>3.3320752289279878</v>
      </c>
      <c r="J50" s="235">
        <v>3.6829999999999998</v>
      </c>
      <c r="K50" s="235">
        <v>4.0709999999999997</v>
      </c>
      <c r="L50" s="235">
        <v>4.5</v>
      </c>
      <c r="M50" s="235">
        <v>4.6529999999999996</v>
      </c>
      <c r="N50" s="235">
        <v>4.8109999999999999</v>
      </c>
      <c r="O50" s="235">
        <v>4.9749999999999996</v>
      </c>
      <c r="P50" s="235">
        <v>5.1440000000000001</v>
      </c>
      <c r="Q50" s="235">
        <v>5.319</v>
      </c>
      <c r="R50" s="235">
        <v>5.5</v>
      </c>
      <c r="S50" s="318">
        <f t="shared" si="17"/>
        <v>66.674121738268894</v>
      </c>
      <c r="T50" s="319">
        <f t="shared" si="17"/>
        <v>88.378031616339285</v>
      </c>
      <c r="U50" s="319">
        <f t="shared" si="17"/>
        <v>88.327539624166789</v>
      </c>
      <c r="V50" s="320">
        <f t="shared" si="17"/>
        <v>109.25102252425114</v>
      </c>
      <c r="W50" s="248">
        <f t="shared" si="17"/>
        <v>71.517290673299769</v>
      </c>
      <c r="X50" s="321">
        <f t="shared" si="17"/>
        <v>99.974923690671218</v>
      </c>
      <c r="Y50" s="322">
        <f t="shared" si="17"/>
        <v>110.53171813245386</v>
      </c>
      <c r="Z50" s="322">
        <f t="shared" si="17"/>
        <v>110.53489003529731</v>
      </c>
      <c r="AA50" s="322">
        <f t="shared" si="17"/>
        <v>110.5379513633014</v>
      </c>
      <c r="AB50" s="322">
        <f t="shared" si="17"/>
        <v>103.39999999999998</v>
      </c>
      <c r="AC50" s="322">
        <f t="shared" si="17"/>
        <v>103.39565871480767</v>
      </c>
      <c r="AD50" s="322">
        <f t="shared" si="11"/>
        <v>103.40885470796091</v>
      </c>
      <c r="AE50" s="322">
        <f t="shared" si="11"/>
        <v>103.39698492462313</v>
      </c>
      <c r="AF50" s="322">
        <f t="shared" si="11"/>
        <v>103.40202177293934</v>
      </c>
      <c r="AG50" s="323">
        <f t="shared" si="11"/>
        <v>103.40289528106787</v>
      </c>
      <c r="AI50" s="247">
        <f t="shared" si="4"/>
        <v>0.8397130000000006</v>
      </c>
      <c r="AJ50" s="248">
        <f t="shared" si="5"/>
        <v>118.01848255268401</v>
      </c>
      <c r="AK50" s="249">
        <f t="shared" si="6"/>
        <v>101.51749937553957</v>
      </c>
    </row>
    <row r="51" spans="1:40">
      <c r="A51" s="185" t="s">
        <v>305</v>
      </c>
      <c r="B51" s="317" t="s">
        <v>298</v>
      </c>
      <c r="C51" s="233">
        <v>5.5088449999999991</v>
      </c>
      <c r="D51" s="234">
        <v>1.1312579999999999</v>
      </c>
      <c r="E51" s="235">
        <v>0.23543300000000003</v>
      </c>
      <c r="F51" s="236">
        <v>0.23055599999999998</v>
      </c>
      <c r="G51" s="237">
        <v>0.14069300000000001</v>
      </c>
      <c r="H51" s="238">
        <v>0.18267699999999998</v>
      </c>
      <c r="I51" s="239">
        <v>0.23600000000000002</v>
      </c>
      <c r="J51" s="235">
        <v>0.30499999999999999</v>
      </c>
      <c r="K51" s="235">
        <v>0.34899999999999998</v>
      </c>
      <c r="L51" s="235">
        <v>0.4</v>
      </c>
      <c r="M51" s="235">
        <v>0.42799999999999999</v>
      </c>
      <c r="N51" s="235">
        <v>0.45800000000000002</v>
      </c>
      <c r="O51" s="235">
        <v>0.49</v>
      </c>
      <c r="P51" s="235">
        <v>0.52400000000000002</v>
      </c>
      <c r="Q51" s="235">
        <v>0.56100000000000005</v>
      </c>
      <c r="R51" s="235">
        <v>0.6</v>
      </c>
      <c r="S51" s="318">
        <f t="shared" si="17"/>
        <v>20.535302772178198</v>
      </c>
      <c r="T51" s="319">
        <f t="shared" si="17"/>
        <v>20.811609730052744</v>
      </c>
      <c r="U51" s="319">
        <f t="shared" si="17"/>
        <v>97.928497704230054</v>
      </c>
      <c r="V51" s="320">
        <f t="shared" si="17"/>
        <v>61.023352244140263</v>
      </c>
      <c r="W51" s="248">
        <f t="shared" si="17"/>
        <v>129.84085917565193</v>
      </c>
      <c r="X51" s="321">
        <f t="shared" si="17"/>
        <v>129.18977211143167</v>
      </c>
      <c r="Y51" s="322">
        <f t="shared" si="17"/>
        <v>129.23728813559322</v>
      </c>
      <c r="Z51" s="322">
        <f t="shared" si="17"/>
        <v>114.42622950819671</v>
      </c>
      <c r="AA51" s="322">
        <f t="shared" si="17"/>
        <v>114.61318051575932</v>
      </c>
      <c r="AB51" s="322">
        <f t="shared" si="17"/>
        <v>106.99999999999999</v>
      </c>
      <c r="AC51" s="322">
        <f t="shared" si="17"/>
        <v>107.00934579439254</v>
      </c>
      <c r="AD51" s="322">
        <f t="shared" si="11"/>
        <v>106.98689956331877</v>
      </c>
      <c r="AE51" s="322">
        <f t="shared" si="11"/>
        <v>106.9387755102041</v>
      </c>
      <c r="AF51" s="322">
        <f t="shared" si="11"/>
        <v>107.06106870229009</v>
      </c>
      <c r="AG51" s="323">
        <f t="shared" si="11"/>
        <v>106.951871657754</v>
      </c>
      <c r="AI51" s="247">
        <f t="shared" si="4"/>
        <v>0.45930699999999997</v>
      </c>
      <c r="AJ51" s="248">
        <f t="shared" si="5"/>
        <v>426.46044934716008</v>
      </c>
      <c r="AK51" s="249">
        <f t="shared" si="6"/>
        <v>114.09371081431338</v>
      </c>
    </row>
    <row r="52" spans="1:40">
      <c r="A52" s="185" t="s">
        <v>305</v>
      </c>
      <c r="B52" s="317" t="s">
        <v>299</v>
      </c>
      <c r="C52" s="233">
        <v>1.8271010000000001</v>
      </c>
      <c r="D52" s="234">
        <v>2.2546520000000001</v>
      </c>
      <c r="E52" s="235">
        <v>2.2899869999999996</v>
      </c>
      <c r="F52" s="236">
        <v>2.4209450000000001</v>
      </c>
      <c r="G52" s="237">
        <v>2.3397760000000001</v>
      </c>
      <c r="H52" s="238">
        <v>1.9099839999999999</v>
      </c>
      <c r="I52" s="239">
        <v>1.9220000000000002</v>
      </c>
      <c r="J52" s="235">
        <v>2.0979999999999999</v>
      </c>
      <c r="K52" s="235">
        <v>2.29</v>
      </c>
      <c r="L52" s="235">
        <v>2.5</v>
      </c>
      <c r="M52" s="235">
        <v>2.5</v>
      </c>
      <c r="N52" s="235">
        <v>2.5</v>
      </c>
      <c r="O52" s="235">
        <v>2.5</v>
      </c>
      <c r="P52" s="235">
        <v>2.5</v>
      </c>
      <c r="Q52" s="235">
        <v>2.5</v>
      </c>
      <c r="R52" s="235">
        <v>2.5</v>
      </c>
      <c r="S52" s="318">
        <f t="shared" si="17"/>
        <v>123.40051261533982</v>
      </c>
      <c r="T52" s="319">
        <f t="shared" si="17"/>
        <v>101.56720416277099</v>
      </c>
      <c r="U52" s="319">
        <f t="shared" si="17"/>
        <v>105.718722420695</v>
      </c>
      <c r="V52" s="320">
        <f t="shared" si="17"/>
        <v>96.647218338293513</v>
      </c>
      <c r="W52" s="248">
        <f t="shared" si="17"/>
        <v>81.63106211876692</v>
      </c>
      <c r="X52" s="321">
        <f t="shared" si="17"/>
        <v>100.62911521771912</v>
      </c>
      <c r="Y52" s="322">
        <f t="shared" si="17"/>
        <v>109.15712799167532</v>
      </c>
      <c r="Z52" s="322">
        <f t="shared" si="17"/>
        <v>109.15157292659676</v>
      </c>
      <c r="AA52" s="322">
        <f t="shared" si="17"/>
        <v>109.17030567685589</v>
      </c>
      <c r="AB52" s="322">
        <f t="shared" si="17"/>
        <v>100</v>
      </c>
      <c r="AC52" s="322">
        <f t="shared" si="17"/>
        <v>100</v>
      </c>
      <c r="AD52" s="322">
        <f t="shared" si="11"/>
        <v>100</v>
      </c>
      <c r="AE52" s="322">
        <f t="shared" si="11"/>
        <v>100</v>
      </c>
      <c r="AF52" s="322">
        <f t="shared" si="11"/>
        <v>100</v>
      </c>
      <c r="AG52" s="323">
        <f t="shared" si="11"/>
        <v>100</v>
      </c>
      <c r="AI52" s="247">
        <f t="shared" si="4"/>
        <v>0.16022399999999992</v>
      </c>
      <c r="AJ52" s="248">
        <f t="shared" si="5"/>
        <v>106.84783500642796</v>
      </c>
      <c r="AK52" s="249">
        <f t="shared" si="6"/>
        <v>100.60395772875891</v>
      </c>
    </row>
    <row r="53" spans="1:40">
      <c r="A53" s="185" t="s">
        <v>305</v>
      </c>
      <c r="B53" s="317" t="s">
        <v>300</v>
      </c>
      <c r="C53" s="233">
        <v>31.782959999999999</v>
      </c>
      <c r="D53" s="234">
        <v>23.323146000000001</v>
      </c>
      <c r="E53" s="235">
        <v>24.729252000000002</v>
      </c>
      <c r="F53" s="236">
        <v>29.946729999999999</v>
      </c>
      <c r="G53" s="237">
        <v>35.276640999999998</v>
      </c>
      <c r="H53" s="238">
        <v>34.480447999999996</v>
      </c>
      <c r="I53" s="239">
        <v>34.492646227691374</v>
      </c>
      <c r="J53" s="235">
        <v>35.149000000000001</v>
      </c>
      <c r="K53" s="235">
        <v>35.817999999999998</v>
      </c>
      <c r="L53" s="235">
        <v>36.5</v>
      </c>
      <c r="M53" s="235">
        <v>37.061</v>
      </c>
      <c r="N53" s="235">
        <v>37.631</v>
      </c>
      <c r="O53" s="235">
        <v>38.21</v>
      </c>
      <c r="P53" s="235">
        <v>38.798000000000002</v>
      </c>
      <c r="Q53" s="235">
        <v>39.395000000000003</v>
      </c>
      <c r="R53" s="235">
        <v>40</v>
      </c>
      <c r="S53" s="318">
        <f t="shared" si="17"/>
        <v>73.382548384417305</v>
      </c>
      <c r="T53" s="319">
        <f t="shared" si="17"/>
        <v>106.0288007458342</v>
      </c>
      <c r="U53" s="319">
        <f t="shared" si="17"/>
        <v>121.09840604964515</v>
      </c>
      <c r="V53" s="320">
        <f t="shared" si="17"/>
        <v>117.79797326786596</v>
      </c>
      <c r="W53" s="248">
        <f t="shared" si="17"/>
        <v>97.743002231986878</v>
      </c>
      <c r="X53" s="321">
        <f t="shared" si="17"/>
        <v>100.03537723086249</v>
      </c>
      <c r="Y53" s="322">
        <f t="shared" si="17"/>
        <v>101.90288030664836</v>
      </c>
      <c r="Z53" s="322">
        <f t="shared" si="17"/>
        <v>101.90332584141795</v>
      </c>
      <c r="AA53" s="322">
        <f t="shared" si="17"/>
        <v>101.90407057903847</v>
      </c>
      <c r="AB53" s="322">
        <f t="shared" si="17"/>
        <v>101.53698630136986</v>
      </c>
      <c r="AC53" s="322">
        <f t="shared" si="17"/>
        <v>101.53800491082269</v>
      </c>
      <c r="AD53" s="322">
        <f t="shared" si="11"/>
        <v>101.53862506975632</v>
      </c>
      <c r="AE53" s="322">
        <f t="shared" si="11"/>
        <v>101.5388641716828</v>
      </c>
      <c r="AF53" s="322">
        <f t="shared" si="11"/>
        <v>101.53873911026341</v>
      </c>
      <c r="AG53" s="323">
        <f t="shared" si="11"/>
        <v>101.53572788424927</v>
      </c>
      <c r="AI53" s="247">
        <f t="shared" si="4"/>
        <v>4.7233590000000021</v>
      </c>
      <c r="AJ53" s="248">
        <f t="shared" si="5"/>
        <v>113.38948059142027</v>
      </c>
      <c r="AK53" s="249">
        <f t="shared" si="6"/>
        <v>101.14889915721936</v>
      </c>
    </row>
    <row r="54" spans="1:40">
      <c r="A54" s="185" t="s">
        <v>305</v>
      </c>
      <c r="B54" s="317" t="s">
        <v>301</v>
      </c>
      <c r="C54" s="233">
        <v>2.5232360000000003</v>
      </c>
      <c r="D54" s="234">
        <v>2.3843049999999999</v>
      </c>
      <c r="E54" s="235">
        <v>4.3485100000000001</v>
      </c>
      <c r="F54" s="236">
        <v>4.16683</v>
      </c>
      <c r="G54" s="237">
        <v>3.283839</v>
      </c>
      <c r="H54" s="238">
        <v>2.7242789999999997</v>
      </c>
      <c r="I54" s="239">
        <v>3.2069999999999999</v>
      </c>
      <c r="J54" s="235">
        <v>3.5640000000000001</v>
      </c>
      <c r="K54" s="235">
        <v>3.96</v>
      </c>
      <c r="L54" s="235">
        <v>4.4000000000000004</v>
      </c>
      <c r="M54" s="235">
        <v>4.6959999999999997</v>
      </c>
      <c r="N54" s="235">
        <v>5.0119999999999996</v>
      </c>
      <c r="O54" s="235">
        <v>5.3490000000000002</v>
      </c>
      <c r="P54" s="235">
        <v>5.7080000000000002</v>
      </c>
      <c r="Q54" s="235">
        <v>6.0919999999999996</v>
      </c>
      <c r="R54" s="235">
        <v>6.5</v>
      </c>
      <c r="S54" s="318">
        <f t="shared" si="17"/>
        <v>94.49393556528203</v>
      </c>
      <c r="T54" s="319">
        <f t="shared" si="17"/>
        <v>182.38060986325158</v>
      </c>
      <c r="U54" s="319">
        <f t="shared" si="17"/>
        <v>95.822017196694958</v>
      </c>
      <c r="V54" s="320">
        <f t="shared" si="17"/>
        <v>78.809046685369935</v>
      </c>
      <c r="W54" s="248">
        <f t="shared" si="17"/>
        <v>82.960187755855259</v>
      </c>
      <c r="X54" s="321">
        <f t="shared" si="17"/>
        <v>117.71922038822015</v>
      </c>
      <c r="Y54" s="322">
        <f t="shared" si="17"/>
        <v>111.13189897100095</v>
      </c>
      <c r="Z54" s="322">
        <f t="shared" si="17"/>
        <v>111.11111111111111</v>
      </c>
      <c r="AA54" s="322">
        <f t="shared" si="17"/>
        <v>111.11111111111111</v>
      </c>
      <c r="AB54" s="322">
        <f t="shared" si="17"/>
        <v>106.72727272727272</v>
      </c>
      <c r="AC54" s="322">
        <f t="shared" si="17"/>
        <v>106.72913117546847</v>
      </c>
      <c r="AD54" s="322">
        <f t="shared" si="11"/>
        <v>106.72386272944934</v>
      </c>
      <c r="AE54" s="322">
        <f t="shared" si="11"/>
        <v>106.71153486633015</v>
      </c>
      <c r="AF54" s="322">
        <f t="shared" si="11"/>
        <v>106.72740014015416</v>
      </c>
      <c r="AG54" s="323">
        <f t="shared" si="11"/>
        <v>106.6973079448457</v>
      </c>
      <c r="AI54" s="247">
        <f t="shared" si="4"/>
        <v>3.216161</v>
      </c>
      <c r="AJ54" s="248">
        <f t="shared" si="5"/>
        <v>197.93905852266204</v>
      </c>
      <c r="AK54" s="249">
        <f t="shared" si="6"/>
        <v>106.40386637519545</v>
      </c>
    </row>
    <row r="55" spans="1:40">
      <c r="A55" s="185" t="s">
        <v>305</v>
      </c>
      <c r="B55" s="324" t="s">
        <v>302</v>
      </c>
      <c r="C55" s="252">
        <v>22.093454999999999</v>
      </c>
      <c r="D55" s="253">
        <v>14.826936999999999</v>
      </c>
      <c r="E55" s="254">
        <v>14.141537000000005</v>
      </c>
      <c r="F55" s="255">
        <v>14.189332</v>
      </c>
      <c r="G55" s="256">
        <v>11.316771999999998</v>
      </c>
      <c r="H55" s="257">
        <v>9.8501530000000006</v>
      </c>
      <c r="I55" s="258">
        <v>10.042999999999999</v>
      </c>
      <c r="J55" s="254">
        <v>10.5</v>
      </c>
      <c r="K55" s="254">
        <v>13.949</v>
      </c>
      <c r="L55" s="254">
        <v>16.7</v>
      </c>
      <c r="M55" s="254">
        <v>17.481000000000002</v>
      </c>
      <c r="N55" s="254">
        <v>18.297999999999998</v>
      </c>
      <c r="O55" s="254">
        <v>19.154</v>
      </c>
      <c r="P55" s="254">
        <v>20.05</v>
      </c>
      <c r="Q55" s="254">
        <v>20.988</v>
      </c>
      <c r="R55" s="254">
        <v>21.969000000000001</v>
      </c>
      <c r="S55" s="325">
        <f t="shared" si="17"/>
        <v>67.11008758023587</v>
      </c>
      <c r="T55" s="326">
        <f t="shared" si="17"/>
        <v>95.377332486136595</v>
      </c>
      <c r="U55" s="326">
        <f t="shared" si="17"/>
        <v>100.33797599228427</v>
      </c>
      <c r="V55" s="327">
        <f t="shared" si="17"/>
        <v>79.755495184692265</v>
      </c>
      <c r="W55" s="267">
        <f t="shared" si="17"/>
        <v>87.040306193320873</v>
      </c>
      <c r="X55" s="328">
        <f t="shared" si="17"/>
        <v>101.95780715284319</v>
      </c>
      <c r="Y55" s="329">
        <f t="shared" si="17"/>
        <v>104.55043313750872</v>
      </c>
      <c r="Z55" s="329">
        <f t="shared" si="17"/>
        <v>132.84761904761905</v>
      </c>
      <c r="AA55" s="329">
        <f t="shared" si="17"/>
        <v>119.72184385977489</v>
      </c>
      <c r="AB55" s="329">
        <f t="shared" si="17"/>
        <v>104.67664670658685</v>
      </c>
      <c r="AC55" s="329">
        <f t="shared" si="17"/>
        <v>104.67364567244435</v>
      </c>
      <c r="AD55" s="329">
        <f t="shared" si="11"/>
        <v>104.67810689692865</v>
      </c>
      <c r="AE55" s="329">
        <f t="shared" si="11"/>
        <v>104.67787407330063</v>
      </c>
      <c r="AF55" s="329">
        <f t="shared" si="11"/>
        <v>104.6783042394015</v>
      </c>
      <c r="AG55" s="330">
        <f t="shared" si="11"/>
        <v>104.67409948542026</v>
      </c>
      <c r="AI55" s="266">
        <f t="shared" si="4"/>
        <v>10.652228000000003</v>
      </c>
      <c r="AJ55" s="267">
        <f t="shared" si="5"/>
        <v>194.12779545262558</v>
      </c>
      <c r="AK55" s="268">
        <f t="shared" si="6"/>
        <v>106.21596349055018</v>
      </c>
    </row>
    <row r="56" spans="1:40" ht="15" thickBot="1">
      <c r="A56" s="185" t="s">
        <v>305</v>
      </c>
      <c r="B56" s="331" t="s">
        <v>303</v>
      </c>
      <c r="C56" s="270">
        <v>10.846075000000001</v>
      </c>
      <c r="D56" s="271">
        <v>5.5644729999999996</v>
      </c>
      <c r="E56" s="272">
        <v>6.7519080000000002</v>
      </c>
      <c r="F56" s="273">
        <v>7.2814229999999993</v>
      </c>
      <c r="G56" s="274">
        <v>5.9429129999999999</v>
      </c>
      <c r="H56" s="275">
        <v>5.8016160000000001</v>
      </c>
      <c r="I56" s="276">
        <v>6.2889999999999997</v>
      </c>
      <c r="J56" s="272">
        <v>6.6680000000000001</v>
      </c>
      <c r="K56" s="272">
        <v>9.33</v>
      </c>
      <c r="L56" s="272">
        <v>12.4</v>
      </c>
      <c r="M56" s="272">
        <v>13.015000000000001</v>
      </c>
      <c r="N56" s="272">
        <v>13.661</v>
      </c>
      <c r="O56" s="272">
        <v>14.339</v>
      </c>
      <c r="P56" s="272">
        <v>15.05</v>
      </c>
      <c r="Q56" s="272">
        <v>15.797000000000001</v>
      </c>
      <c r="R56" s="272">
        <v>16.579999999999998</v>
      </c>
      <c r="S56" s="332">
        <f>D56/C56*100</f>
        <v>51.304024727839327</v>
      </c>
      <c r="T56" s="333">
        <f>E56/D56*100</f>
        <v>121.33957699138807</v>
      </c>
      <c r="U56" s="333">
        <f t="shared" si="17"/>
        <v>107.84244986750411</v>
      </c>
      <c r="V56" s="334">
        <f t="shared" si="17"/>
        <v>81.617466805595569</v>
      </c>
      <c r="W56" s="285">
        <f t="shared" si="17"/>
        <v>97.622428596885072</v>
      </c>
      <c r="X56" s="335">
        <f t="shared" si="17"/>
        <v>108.40083176825215</v>
      </c>
      <c r="Y56" s="336">
        <f t="shared" si="17"/>
        <v>106.02639529336939</v>
      </c>
      <c r="Z56" s="336">
        <f t="shared" si="17"/>
        <v>139.92201559688061</v>
      </c>
      <c r="AA56" s="336">
        <f t="shared" si="17"/>
        <v>132.90460878885318</v>
      </c>
      <c r="AB56" s="336">
        <f t="shared" si="17"/>
        <v>104.95967741935483</v>
      </c>
      <c r="AC56" s="336">
        <f t="shared" si="17"/>
        <v>104.96350364963503</v>
      </c>
      <c r="AD56" s="336">
        <f t="shared" si="11"/>
        <v>104.9630334528951</v>
      </c>
      <c r="AE56" s="336">
        <f t="shared" si="11"/>
        <v>104.95850477718112</v>
      </c>
      <c r="AF56" s="336">
        <f t="shared" si="11"/>
        <v>104.96345514950166</v>
      </c>
      <c r="AG56" s="337">
        <f t="shared" si="11"/>
        <v>104.95663733620306</v>
      </c>
      <c r="AI56" s="284">
        <f t="shared" si="4"/>
        <v>10.637086999999998</v>
      </c>
      <c r="AJ56" s="285">
        <f t="shared" si="5"/>
        <v>278.9877623986755</v>
      </c>
      <c r="AK56" s="286">
        <f t="shared" si="6"/>
        <v>109.7760857544108</v>
      </c>
    </row>
    <row r="57" spans="1:40">
      <c r="A57" s="185" t="s">
        <v>306</v>
      </c>
      <c r="B57" s="303" t="s">
        <v>306</v>
      </c>
      <c r="C57" s="199">
        <f t="shared" ref="C57:E57" si="19">SUM(C59:C68)</f>
        <v>139.76361499999999</v>
      </c>
      <c r="D57" s="200">
        <f t="shared" si="19"/>
        <v>124.42579400000002</v>
      </c>
      <c r="E57" s="201">
        <f t="shared" si="19"/>
        <v>125.27876999999999</v>
      </c>
      <c r="F57" s="202">
        <f>SUM(F59:F68)</f>
        <v>113.78896499999999</v>
      </c>
      <c r="G57" s="203">
        <f t="shared" ref="G57:R57" si="20">SUM(G59:G68)</f>
        <v>112.77113900000001</v>
      </c>
      <c r="H57" s="204">
        <f t="shared" si="20"/>
        <v>127.013733</v>
      </c>
      <c r="I57" s="205">
        <f t="shared" si="20"/>
        <v>129.75291620053417</v>
      </c>
      <c r="J57" s="201">
        <f t="shared" si="20"/>
        <v>131.70599999999996</v>
      </c>
      <c r="K57" s="201">
        <f t="shared" si="20"/>
        <v>133.75399999999999</v>
      </c>
      <c r="L57" s="201">
        <f t="shared" si="20"/>
        <v>135.905</v>
      </c>
      <c r="M57" s="201">
        <f t="shared" si="20"/>
        <v>137.625</v>
      </c>
      <c r="N57" s="201">
        <f t="shared" si="20"/>
        <v>139.38200000000001</v>
      </c>
      <c r="O57" s="201">
        <f t="shared" si="20"/>
        <v>141.17599999999999</v>
      </c>
      <c r="P57" s="201">
        <f t="shared" si="20"/>
        <v>143.01</v>
      </c>
      <c r="Q57" s="201">
        <f t="shared" si="20"/>
        <v>144.88499999999999</v>
      </c>
      <c r="R57" s="201">
        <f t="shared" si="20"/>
        <v>146.79999999999998</v>
      </c>
      <c r="S57" s="304">
        <f t="shared" si="17"/>
        <v>89.025884168780294</v>
      </c>
      <c r="T57" s="305">
        <f t="shared" si="17"/>
        <v>100.68552988297586</v>
      </c>
      <c r="U57" s="305">
        <f t="shared" si="17"/>
        <v>90.82860966786312</v>
      </c>
      <c r="V57" s="306">
        <f t="shared" si="17"/>
        <v>99.10551431766693</v>
      </c>
      <c r="W57" s="288">
        <f t="shared" si="17"/>
        <v>112.6296445405238</v>
      </c>
      <c r="X57" s="307">
        <f t="shared" si="17"/>
        <v>102.15660396386757</v>
      </c>
      <c r="Y57" s="308">
        <f t="shared" si="17"/>
        <v>101.50523306655188</v>
      </c>
      <c r="Z57" s="308">
        <f t="shared" si="17"/>
        <v>101.55497851274811</v>
      </c>
      <c r="AA57" s="308">
        <f t="shared" si="17"/>
        <v>101.60817620407614</v>
      </c>
      <c r="AB57" s="308">
        <f t="shared" si="17"/>
        <v>101.26558993414518</v>
      </c>
      <c r="AC57" s="308">
        <f t="shared" si="17"/>
        <v>101.27665758401454</v>
      </c>
      <c r="AD57" s="308">
        <f t="shared" si="11"/>
        <v>101.28711024379042</v>
      </c>
      <c r="AE57" s="308">
        <f t="shared" si="11"/>
        <v>101.29908766362554</v>
      </c>
      <c r="AF57" s="308">
        <f t="shared" si="11"/>
        <v>101.31109712607508</v>
      </c>
      <c r="AG57" s="309">
        <f t="shared" si="11"/>
        <v>101.32173793008248</v>
      </c>
      <c r="AI57" s="287">
        <f t="shared" si="4"/>
        <v>34.028860999999978</v>
      </c>
      <c r="AJ57" s="288">
        <f t="shared" si="5"/>
        <v>130.17515057642538</v>
      </c>
      <c r="AK57" s="215">
        <f t="shared" si="6"/>
        <v>102.42633765958773</v>
      </c>
    </row>
    <row r="58" spans="1:40">
      <c r="A58" s="185" t="s">
        <v>306</v>
      </c>
      <c r="B58" s="310" t="s">
        <v>292</v>
      </c>
      <c r="C58" s="289">
        <f t="shared" ref="C58:R58" si="21">C57-C59</f>
        <v>95.840649999999982</v>
      </c>
      <c r="D58" s="290">
        <f t="shared" si="21"/>
        <v>86.126961000000023</v>
      </c>
      <c r="E58" s="291">
        <f t="shared" si="21"/>
        <v>93.699038000000002</v>
      </c>
      <c r="F58" s="292">
        <f t="shared" si="21"/>
        <v>96.710141999999991</v>
      </c>
      <c r="G58" s="293">
        <f t="shared" si="21"/>
        <v>92.247780000000006</v>
      </c>
      <c r="H58" s="294">
        <f t="shared" si="21"/>
        <v>99.839004000000003</v>
      </c>
      <c r="I58" s="295">
        <f t="shared" si="21"/>
        <v>102.44973447090557</v>
      </c>
      <c r="J58" s="291">
        <f t="shared" si="21"/>
        <v>104.17199999999997</v>
      </c>
      <c r="K58" s="291">
        <f t="shared" si="21"/>
        <v>105.988</v>
      </c>
      <c r="L58" s="291">
        <f t="shared" si="21"/>
        <v>107.905</v>
      </c>
      <c r="M58" s="291">
        <f t="shared" si="21"/>
        <v>109.301</v>
      </c>
      <c r="N58" s="291">
        <f t="shared" si="21"/>
        <v>110.73</v>
      </c>
      <c r="O58" s="291">
        <f t="shared" si="21"/>
        <v>112.19299999999998</v>
      </c>
      <c r="P58" s="291">
        <f t="shared" si="21"/>
        <v>113.69199999999999</v>
      </c>
      <c r="Q58" s="291">
        <f t="shared" si="21"/>
        <v>115.22799999999999</v>
      </c>
      <c r="R58" s="291">
        <f t="shared" si="21"/>
        <v>116.79999999999998</v>
      </c>
      <c r="S58" s="311">
        <f t="shared" si="17"/>
        <v>89.864750499918387</v>
      </c>
      <c r="T58" s="312">
        <f t="shared" si="17"/>
        <v>108.79176150195289</v>
      </c>
      <c r="U58" s="312">
        <f t="shared" si="17"/>
        <v>103.21359115768081</v>
      </c>
      <c r="V58" s="313">
        <f t="shared" si="17"/>
        <v>95.38583864347963</v>
      </c>
      <c r="W58" s="214">
        <f t="shared" si="17"/>
        <v>108.22916714093283</v>
      </c>
      <c r="X58" s="314">
        <f t="shared" si="17"/>
        <v>102.61494042038477</v>
      </c>
      <c r="Y58" s="315">
        <f t="shared" si="17"/>
        <v>101.68108344837488</v>
      </c>
      <c r="Z58" s="315">
        <f t="shared" si="17"/>
        <v>101.74327074453791</v>
      </c>
      <c r="AA58" s="315">
        <f t="shared" si="17"/>
        <v>101.80869532399895</v>
      </c>
      <c r="AB58" s="315">
        <f t="shared" si="17"/>
        <v>101.29373059635792</v>
      </c>
      <c r="AC58" s="315">
        <f t="shared" si="17"/>
        <v>101.3073988344114</v>
      </c>
      <c r="AD58" s="315">
        <f t="shared" si="11"/>
        <v>101.32123182516028</v>
      </c>
      <c r="AE58" s="315">
        <f t="shared" si="11"/>
        <v>101.33609048692878</v>
      </c>
      <c r="AF58" s="315">
        <f t="shared" si="11"/>
        <v>101.35101854132218</v>
      </c>
      <c r="AG58" s="316">
        <f t="shared" si="11"/>
        <v>101.36425174436768</v>
      </c>
      <c r="AI58" s="213">
        <f t="shared" si="4"/>
        <v>24.552219999999977</v>
      </c>
      <c r="AJ58" s="214">
        <f t="shared" si="5"/>
        <v>126.61551313213171</v>
      </c>
      <c r="AK58" s="231">
        <f t="shared" si="6"/>
        <v>102.16849421139487</v>
      </c>
    </row>
    <row r="59" spans="1:40">
      <c r="A59" s="185" t="s">
        <v>306</v>
      </c>
      <c r="B59" s="317" t="s">
        <v>293</v>
      </c>
      <c r="C59" s="233">
        <v>43.922965000000005</v>
      </c>
      <c r="D59" s="234">
        <v>38.298833000000002</v>
      </c>
      <c r="E59" s="235">
        <v>31.579732</v>
      </c>
      <c r="F59" s="236">
        <v>17.078823</v>
      </c>
      <c r="G59" s="237">
        <v>20.523358999999999</v>
      </c>
      <c r="H59" s="238">
        <v>27.174728999999999</v>
      </c>
      <c r="I59" s="239">
        <v>27.303181729628601</v>
      </c>
      <c r="J59" s="235">
        <v>27.533999999999999</v>
      </c>
      <c r="K59" s="235">
        <v>27.765999999999998</v>
      </c>
      <c r="L59" s="235">
        <v>28</v>
      </c>
      <c r="M59" s="235">
        <v>28.324000000000002</v>
      </c>
      <c r="N59" s="235">
        <v>28.652000000000001</v>
      </c>
      <c r="O59" s="235">
        <v>28.983000000000001</v>
      </c>
      <c r="P59" s="235">
        <v>29.318000000000001</v>
      </c>
      <c r="Q59" s="235">
        <v>29.657</v>
      </c>
      <c r="R59" s="235">
        <v>30</v>
      </c>
      <c r="S59" s="318">
        <f t="shared" si="17"/>
        <v>87.195463694220081</v>
      </c>
      <c r="T59" s="319">
        <f t="shared" si="17"/>
        <v>82.456120790938982</v>
      </c>
      <c r="U59" s="319">
        <f t="shared" si="17"/>
        <v>54.081595752617531</v>
      </c>
      <c r="V59" s="320">
        <f t="shared" si="17"/>
        <v>120.16846242858772</v>
      </c>
      <c r="W59" s="248">
        <f t="shared" si="17"/>
        <v>132.40877869943219</v>
      </c>
      <c r="X59" s="321">
        <f t="shared" si="17"/>
        <v>100.47269185142049</v>
      </c>
      <c r="Y59" s="322">
        <f t="shared" si="17"/>
        <v>100.84538964233944</v>
      </c>
      <c r="Z59" s="322">
        <f t="shared" si="17"/>
        <v>100.84259461029998</v>
      </c>
      <c r="AA59" s="322">
        <f t="shared" si="17"/>
        <v>100.84275732910754</v>
      </c>
      <c r="AB59" s="322">
        <f t="shared" si="17"/>
        <v>101.15714285714286</v>
      </c>
      <c r="AC59" s="322">
        <f t="shared" si="17"/>
        <v>101.15802852704421</v>
      </c>
      <c r="AD59" s="322">
        <f t="shared" si="11"/>
        <v>101.15524221694821</v>
      </c>
      <c r="AE59" s="322">
        <f t="shared" si="11"/>
        <v>101.15584998102337</v>
      </c>
      <c r="AF59" s="322">
        <f t="shared" si="11"/>
        <v>101.15628624053481</v>
      </c>
      <c r="AG59" s="323">
        <f t="shared" si="11"/>
        <v>101.15655663081229</v>
      </c>
      <c r="AI59" s="247">
        <f t="shared" si="4"/>
        <v>9.4766410000000008</v>
      </c>
      <c r="AJ59" s="248">
        <f t="shared" si="5"/>
        <v>146.17490246114198</v>
      </c>
      <c r="AK59" s="249">
        <f t="shared" si="6"/>
        <v>103.51146078403757</v>
      </c>
      <c r="AL59" s="338"/>
      <c r="AN59" s="338"/>
    </row>
    <row r="60" spans="1:40">
      <c r="A60" s="185" t="s">
        <v>306</v>
      </c>
      <c r="B60" s="317" t="s">
        <v>294</v>
      </c>
      <c r="C60" s="233">
        <v>3.3087080000000002</v>
      </c>
      <c r="D60" s="234">
        <v>2.167081</v>
      </c>
      <c r="E60" s="235">
        <v>1.4851669999999999</v>
      </c>
      <c r="F60" s="236">
        <v>1.7906689999999998</v>
      </c>
      <c r="G60" s="237">
        <v>1.159675</v>
      </c>
      <c r="H60" s="238">
        <v>0.85860099999999995</v>
      </c>
      <c r="I60" s="239">
        <v>0.91999999999999993</v>
      </c>
      <c r="J60" s="235">
        <v>0.96599999999999997</v>
      </c>
      <c r="K60" s="235">
        <v>1.014</v>
      </c>
      <c r="L60" s="235">
        <v>1.0649999999999999</v>
      </c>
      <c r="M60" s="235">
        <v>1.071</v>
      </c>
      <c r="N60" s="235">
        <v>1.077</v>
      </c>
      <c r="O60" s="235">
        <v>1.083</v>
      </c>
      <c r="P60" s="235">
        <v>1.089</v>
      </c>
      <c r="Q60" s="235">
        <v>1.095</v>
      </c>
      <c r="R60" s="235">
        <v>1.1000000000000001</v>
      </c>
      <c r="S60" s="318">
        <f t="shared" si="17"/>
        <v>65.496290394921516</v>
      </c>
      <c r="T60" s="319">
        <f t="shared" si="17"/>
        <v>68.533063600299187</v>
      </c>
      <c r="U60" s="319">
        <f t="shared" si="17"/>
        <v>120.57021196942834</v>
      </c>
      <c r="V60" s="320">
        <f t="shared" si="17"/>
        <v>64.762108463373195</v>
      </c>
      <c r="W60" s="248">
        <f t="shared" si="17"/>
        <v>74.03807101127471</v>
      </c>
      <c r="X60" s="321">
        <f t="shared" si="17"/>
        <v>107.15105153616173</v>
      </c>
      <c r="Y60" s="322">
        <f t="shared" si="17"/>
        <v>105</v>
      </c>
      <c r="Z60" s="322">
        <f t="shared" si="17"/>
        <v>104.96894409937889</v>
      </c>
      <c r="AA60" s="322">
        <f t="shared" si="17"/>
        <v>105.02958579881656</v>
      </c>
      <c r="AB60" s="322">
        <f t="shared" si="17"/>
        <v>100.56338028169014</v>
      </c>
      <c r="AC60" s="322">
        <f t="shared" si="17"/>
        <v>100.56022408963585</v>
      </c>
      <c r="AD60" s="322">
        <f t="shared" si="11"/>
        <v>100.55710306406684</v>
      </c>
      <c r="AE60" s="322">
        <f t="shared" si="11"/>
        <v>100.55401662049861</v>
      </c>
      <c r="AF60" s="322">
        <f t="shared" si="11"/>
        <v>100.55096418732784</v>
      </c>
      <c r="AG60" s="323">
        <f t="shared" si="11"/>
        <v>100.45662100456623</v>
      </c>
      <c r="AI60" s="247">
        <f t="shared" si="4"/>
        <v>-5.9674999999999923E-2</v>
      </c>
      <c r="AJ60" s="248">
        <f t="shared" si="5"/>
        <v>94.854161726345751</v>
      </c>
      <c r="AK60" s="249">
        <f t="shared" si="6"/>
        <v>99.52088223355544</v>
      </c>
      <c r="AN60" s="338"/>
    </row>
    <row r="61" spans="1:40">
      <c r="A61" s="185" t="s">
        <v>306</v>
      </c>
      <c r="B61" s="317" t="s">
        <v>295</v>
      </c>
      <c r="C61" s="233">
        <v>34.433591999999997</v>
      </c>
      <c r="D61" s="234">
        <v>32.308630999999998</v>
      </c>
      <c r="E61" s="235">
        <v>34.162089000000002</v>
      </c>
      <c r="F61" s="236">
        <v>34.318221999999992</v>
      </c>
      <c r="G61" s="237">
        <v>30.454018000000001</v>
      </c>
      <c r="H61" s="238">
        <v>33.013435999999999</v>
      </c>
      <c r="I61" s="239">
        <v>34.229217380873799</v>
      </c>
      <c r="J61" s="235">
        <v>34.292999999999999</v>
      </c>
      <c r="K61" s="235">
        <v>34.356999999999999</v>
      </c>
      <c r="L61" s="235">
        <v>34.419999999999995</v>
      </c>
      <c r="M61" s="235">
        <v>34.597999999999999</v>
      </c>
      <c r="N61" s="235">
        <v>34.777000000000001</v>
      </c>
      <c r="O61" s="235">
        <v>34.957000000000001</v>
      </c>
      <c r="P61" s="235">
        <v>35.137</v>
      </c>
      <c r="Q61" s="235">
        <v>35.317999999999998</v>
      </c>
      <c r="R61" s="235">
        <v>35.5</v>
      </c>
      <c r="S61" s="318">
        <f t="shared" si="17"/>
        <v>93.828814025559694</v>
      </c>
      <c r="T61" s="319">
        <f t="shared" si="17"/>
        <v>105.73672713028294</v>
      </c>
      <c r="U61" s="319">
        <f t="shared" si="17"/>
        <v>100.45703586803485</v>
      </c>
      <c r="V61" s="320">
        <f t="shared" si="17"/>
        <v>88.740080998368768</v>
      </c>
      <c r="W61" s="248">
        <f t="shared" si="17"/>
        <v>108.40420466028489</v>
      </c>
      <c r="X61" s="321">
        <f t="shared" si="17"/>
        <v>103.68268659122243</v>
      </c>
      <c r="Y61" s="322">
        <f t="shared" si="17"/>
        <v>100.18633969458455</v>
      </c>
      <c r="Z61" s="322">
        <f t="shared" si="17"/>
        <v>100.18662700842738</v>
      </c>
      <c r="AA61" s="322">
        <f t="shared" si="17"/>
        <v>100.18336874581597</v>
      </c>
      <c r="AB61" s="322">
        <f t="shared" si="17"/>
        <v>100.51714119697851</v>
      </c>
      <c r="AC61" s="322">
        <f t="shared" si="17"/>
        <v>100.51737094629749</v>
      </c>
      <c r="AD61" s="322">
        <f t="shared" si="11"/>
        <v>100.51758346033297</v>
      </c>
      <c r="AE61" s="322">
        <f t="shared" si="11"/>
        <v>100.51491832823183</v>
      </c>
      <c r="AF61" s="322">
        <f t="shared" si="11"/>
        <v>100.51512650482397</v>
      </c>
      <c r="AG61" s="323">
        <f t="shared" si="11"/>
        <v>100.51531796817488</v>
      </c>
      <c r="AI61" s="247">
        <f t="shared" si="4"/>
        <v>5.0459819999999986</v>
      </c>
      <c r="AJ61" s="248">
        <f t="shared" si="5"/>
        <v>116.56918308776201</v>
      </c>
      <c r="AK61" s="249">
        <f t="shared" si="6"/>
        <v>101.40352878277157</v>
      </c>
      <c r="AN61" s="338"/>
    </row>
    <row r="62" spans="1:40">
      <c r="A62" s="185" t="s">
        <v>306</v>
      </c>
      <c r="B62" s="317" t="s">
        <v>296</v>
      </c>
      <c r="C62" s="233">
        <v>7.1855989999999998</v>
      </c>
      <c r="D62" s="234">
        <v>4.506545</v>
      </c>
      <c r="E62" s="235">
        <v>3.0963640000000003</v>
      </c>
      <c r="F62" s="236">
        <v>3.9739560000000003</v>
      </c>
      <c r="G62" s="237">
        <v>6.7482440000000006</v>
      </c>
      <c r="H62" s="238">
        <v>9.1543840000000003</v>
      </c>
      <c r="I62" s="239">
        <v>9.2990000000000013</v>
      </c>
      <c r="J62" s="235">
        <v>9.3819999999999997</v>
      </c>
      <c r="K62" s="235">
        <v>9.4659999999999993</v>
      </c>
      <c r="L62" s="235">
        <v>9.5500000000000007</v>
      </c>
      <c r="M62" s="235">
        <v>9.6240000000000006</v>
      </c>
      <c r="N62" s="235">
        <v>9.6980000000000004</v>
      </c>
      <c r="O62" s="235">
        <v>9.7729999999999997</v>
      </c>
      <c r="P62" s="235">
        <v>9.8480000000000008</v>
      </c>
      <c r="Q62" s="235">
        <v>9.9239999999999995</v>
      </c>
      <c r="R62" s="235">
        <v>10</v>
      </c>
      <c r="S62" s="318">
        <f t="shared" si="17"/>
        <v>62.716344176734609</v>
      </c>
      <c r="T62" s="319">
        <f t="shared" si="17"/>
        <v>68.708156692100047</v>
      </c>
      <c r="U62" s="319">
        <f t="shared" si="17"/>
        <v>128.34266255517761</v>
      </c>
      <c r="V62" s="320">
        <f t="shared" si="17"/>
        <v>169.81174426692195</v>
      </c>
      <c r="W62" s="248">
        <f t="shared" si="17"/>
        <v>135.65579430737833</v>
      </c>
      <c r="X62" s="321">
        <f t="shared" si="17"/>
        <v>101.57974583543799</v>
      </c>
      <c r="Y62" s="322">
        <f t="shared" si="17"/>
        <v>100.8925690934509</v>
      </c>
      <c r="Z62" s="322">
        <f t="shared" si="17"/>
        <v>100.89533148582393</v>
      </c>
      <c r="AA62" s="322">
        <f t="shared" si="17"/>
        <v>100.88738643566451</v>
      </c>
      <c r="AB62" s="322">
        <f t="shared" si="17"/>
        <v>100.77486910994764</v>
      </c>
      <c r="AC62" s="322">
        <f t="shared" si="17"/>
        <v>100.7689110556941</v>
      </c>
      <c r="AD62" s="322">
        <f t="shared" si="11"/>
        <v>100.77335533099607</v>
      </c>
      <c r="AE62" s="322">
        <f t="shared" si="11"/>
        <v>100.76742044408064</v>
      </c>
      <c r="AF62" s="322">
        <f t="shared" si="11"/>
        <v>100.77173030056863</v>
      </c>
      <c r="AG62" s="323">
        <f t="shared" si="11"/>
        <v>100.76582023377671</v>
      </c>
      <c r="AI62" s="247">
        <f t="shared" si="4"/>
        <v>3.2517559999999994</v>
      </c>
      <c r="AJ62" s="248">
        <f t="shared" si="5"/>
        <v>148.1866986433804</v>
      </c>
      <c r="AK62" s="249">
        <f t="shared" si="6"/>
        <v>103.64016868213423</v>
      </c>
      <c r="AN62" s="338"/>
    </row>
    <row r="63" spans="1:40">
      <c r="A63" s="185" t="s">
        <v>306</v>
      </c>
      <c r="B63" s="317" t="s">
        <v>297</v>
      </c>
      <c r="C63" s="233">
        <v>15.974174999999999</v>
      </c>
      <c r="D63" s="234">
        <v>13.308997000000003</v>
      </c>
      <c r="E63" s="235">
        <v>14.579639999999998</v>
      </c>
      <c r="F63" s="236">
        <v>14.157852</v>
      </c>
      <c r="G63" s="237">
        <v>14.476590999999997</v>
      </c>
      <c r="H63" s="238">
        <v>14.553363000000001</v>
      </c>
      <c r="I63" s="239">
        <v>14.830717324395655</v>
      </c>
      <c r="J63" s="235">
        <v>15.002000000000001</v>
      </c>
      <c r="K63" s="235">
        <v>15.175000000000001</v>
      </c>
      <c r="L63" s="235">
        <v>15.35</v>
      </c>
      <c r="M63" s="235">
        <v>15.504</v>
      </c>
      <c r="N63" s="235">
        <v>15.66</v>
      </c>
      <c r="O63" s="235">
        <v>15.818</v>
      </c>
      <c r="P63" s="235">
        <v>15.977</v>
      </c>
      <c r="Q63" s="235">
        <v>16.138000000000002</v>
      </c>
      <c r="R63" s="235">
        <v>16.3</v>
      </c>
      <c r="S63" s="318">
        <f t="shared" si="17"/>
        <v>83.315708009959849</v>
      </c>
      <c r="T63" s="319">
        <f t="shared" si="17"/>
        <v>109.5472483764178</v>
      </c>
      <c r="U63" s="319">
        <f t="shared" si="17"/>
        <v>97.107006757368509</v>
      </c>
      <c r="V63" s="320">
        <f t="shared" si="17"/>
        <v>102.25132315269292</v>
      </c>
      <c r="W63" s="248">
        <f t="shared" si="17"/>
        <v>100.5303182220179</v>
      </c>
      <c r="X63" s="321">
        <f t="shared" si="17"/>
        <v>101.90577479855105</v>
      </c>
      <c r="Y63" s="322">
        <f t="shared" si="17"/>
        <v>101.15491834857235</v>
      </c>
      <c r="Z63" s="322">
        <f t="shared" si="17"/>
        <v>101.15317957605652</v>
      </c>
      <c r="AA63" s="322">
        <f t="shared" si="17"/>
        <v>101.15321252059309</v>
      </c>
      <c r="AB63" s="322">
        <f t="shared" si="17"/>
        <v>101.00325732899023</v>
      </c>
      <c r="AC63" s="322">
        <f t="shared" si="17"/>
        <v>101.00619195046441</v>
      </c>
      <c r="AD63" s="322">
        <f t="shared" si="11"/>
        <v>101.00893997445721</v>
      </c>
      <c r="AE63" s="322">
        <f t="shared" si="11"/>
        <v>101.00518396763181</v>
      </c>
      <c r="AF63" s="322">
        <f t="shared" si="11"/>
        <v>101.00769856668963</v>
      </c>
      <c r="AG63" s="323">
        <f t="shared" si="11"/>
        <v>101.00384186392365</v>
      </c>
      <c r="AI63" s="247">
        <f t="shared" si="4"/>
        <v>1.8234090000000034</v>
      </c>
      <c r="AJ63" s="248">
        <f t="shared" si="5"/>
        <v>112.5955689429922</v>
      </c>
      <c r="AK63" s="249">
        <f t="shared" si="6"/>
        <v>101.08431083137084</v>
      </c>
      <c r="AN63" s="338"/>
    </row>
    <row r="64" spans="1:40">
      <c r="A64" s="185" t="s">
        <v>306</v>
      </c>
      <c r="B64" s="317" t="s">
        <v>298</v>
      </c>
      <c r="C64" s="233">
        <v>4.9458669999999998</v>
      </c>
      <c r="D64" s="234">
        <v>4.1528590000000003</v>
      </c>
      <c r="E64" s="235">
        <v>3.9388029999999996</v>
      </c>
      <c r="F64" s="236">
        <v>3.8435909999999995</v>
      </c>
      <c r="G64" s="237">
        <v>3.6359250000000003</v>
      </c>
      <c r="H64" s="238">
        <v>2.7333590000000001</v>
      </c>
      <c r="I64" s="239">
        <v>2.8</v>
      </c>
      <c r="J64" s="235">
        <v>2.972</v>
      </c>
      <c r="K64" s="235">
        <v>3.1549999999999998</v>
      </c>
      <c r="L64" s="235">
        <v>3.35</v>
      </c>
      <c r="M64" s="235">
        <v>3.5190000000000001</v>
      </c>
      <c r="N64" s="235">
        <v>3.6960000000000002</v>
      </c>
      <c r="O64" s="235">
        <v>3.8820000000000001</v>
      </c>
      <c r="P64" s="235">
        <v>4.0780000000000003</v>
      </c>
      <c r="Q64" s="235">
        <v>4.2839999999999998</v>
      </c>
      <c r="R64" s="235">
        <v>4.5</v>
      </c>
      <c r="S64" s="318">
        <f t="shared" si="17"/>
        <v>83.966248991329536</v>
      </c>
      <c r="T64" s="319">
        <f t="shared" si="17"/>
        <v>94.84557506045833</v>
      </c>
      <c r="U64" s="319">
        <f t="shared" si="17"/>
        <v>97.582717389013879</v>
      </c>
      <c r="V64" s="320">
        <f t="shared" si="17"/>
        <v>94.597083820833191</v>
      </c>
      <c r="W64" s="248">
        <f t="shared" si="17"/>
        <v>75.176440658154391</v>
      </c>
      <c r="X64" s="321">
        <f t="shared" si="17"/>
        <v>102.43806247185239</v>
      </c>
      <c r="Y64" s="322">
        <f t="shared" si="17"/>
        <v>106.14285714285714</v>
      </c>
      <c r="Z64" s="322">
        <f t="shared" si="17"/>
        <v>106.15746971736203</v>
      </c>
      <c r="AA64" s="322">
        <f t="shared" si="17"/>
        <v>106.18066561014263</v>
      </c>
      <c r="AB64" s="322">
        <f t="shared" si="17"/>
        <v>105.044776119403</v>
      </c>
      <c r="AC64" s="322">
        <f t="shared" si="17"/>
        <v>105.02983802216539</v>
      </c>
      <c r="AD64" s="322">
        <f t="shared" si="11"/>
        <v>105.03246753246754</v>
      </c>
      <c r="AE64" s="322">
        <f t="shared" si="11"/>
        <v>105.0489438433797</v>
      </c>
      <c r="AF64" s="322">
        <f t="shared" si="11"/>
        <v>105.05149583128983</v>
      </c>
      <c r="AG64" s="323">
        <f t="shared" si="11"/>
        <v>105.0420168067227</v>
      </c>
      <c r="AI64" s="247">
        <f t="shared" si="4"/>
        <v>0.8640749999999997</v>
      </c>
      <c r="AJ64" s="248">
        <f t="shared" si="5"/>
        <v>123.76492914457806</v>
      </c>
      <c r="AK64" s="249">
        <f t="shared" si="6"/>
        <v>101.95721485250576</v>
      </c>
      <c r="AN64" s="338"/>
    </row>
    <row r="65" spans="1:40">
      <c r="A65" s="185" t="s">
        <v>306</v>
      </c>
      <c r="B65" s="317" t="s">
        <v>299</v>
      </c>
      <c r="C65" s="233">
        <v>2.8500209999999999</v>
      </c>
      <c r="D65" s="234">
        <v>1.9329169999999998</v>
      </c>
      <c r="E65" s="235">
        <v>1.5591520000000001</v>
      </c>
      <c r="F65" s="236">
        <v>1.5327379999999997</v>
      </c>
      <c r="G65" s="237">
        <v>1.452796</v>
      </c>
      <c r="H65" s="238">
        <v>1.2991820000000001</v>
      </c>
      <c r="I65" s="239">
        <v>1.345</v>
      </c>
      <c r="J65" s="235">
        <v>1.52</v>
      </c>
      <c r="K65" s="235">
        <v>1.7170000000000001</v>
      </c>
      <c r="L65" s="235">
        <v>1.94</v>
      </c>
      <c r="M65" s="235">
        <v>2.0099999999999998</v>
      </c>
      <c r="N65" s="235">
        <v>2.0830000000000002</v>
      </c>
      <c r="O65" s="235">
        <v>2.1579999999999999</v>
      </c>
      <c r="P65" s="235">
        <v>2.2360000000000002</v>
      </c>
      <c r="Q65" s="235">
        <v>2.3170000000000002</v>
      </c>
      <c r="R65" s="235">
        <v>2.4</v>
      </c>
      <c r="S65" s="318">
        <f t="shared" si="17"/>
        <v>67.82114938802205</v>
      </c>
      <c r="T65" s="319">
        <f t="shared" si="17"/>
        <v>80.663163498484423</v>
      </c>
      <c r="U65" s="319">
        <f t="shared" si="17"/>
        <v>98.305873962256385</v>
      </c>
      <c r="V65" s="320">
        <f t="shared" si="17"/>
        <v>94.784366277863555</v>
      </c>
      <c r="W65" s="248">
        <f t="shared" si="17"/>
        <v>89.426320006387684</v>
      </c>
      <c r="X65" s="321">
        <f t="shared" si="17"/>
        <v>103.52668063442995</v>
      </c>
      <c r="Y65" s="322">
        <f t="shared" si="17"/>
        <v>113.01115241635688</v>
      </c>
      <c r="Z65" s="322">
        <f t="shared" si="17"/>
        <v>112.96052631578948</v>
      </c>
      <c r="AA65" s="322">
        <f t="shared" si="17"/>
        <v>112.98776936517181</v>
      </c>
      <c r="AB65" s="322">
        <f t="shared" si="17"/>
        <v>103.60824742268039</v>
      </c>
      <c r="AC65" s="322">
        <f t="shared" si="17"/>
        <v>103.63184079601993</v>
      </c>
      <c r="AD65" s="322">
        <f t="shared" si="11"/>
        <v>103.60057609217475</v>
      </c>
      <c r="AE65" s="322">
        <f t="shared" si="11"/>
        <v>103.61445783132532</v>
      </c>
      <c r="AF65" s="322">
        <f t="shared" si="11"/>
        <v>103.62254025044722</v>
      </c>
      <c r="AG65" s="323">
        <f t="shared" si="11"/>
        <v>103.58221838584376</v>
      </c>
      <c r="AI65" s="247">
        <f t="shared" si="4"/>
        <v>0.94720399999999993</v>
      </c>
      <c r="AJ65" s="248">
        <f t="shared" si="5"/>
        <v>165.19869272767821</v>
      </c>
      <c r="AK65" s="249">
        <f t="shared" si="6"/>
        <v>104.66917049478393</v>
      </c>
      <c r="AN65" s="338"/>
    </row>
    <row r="66" spans="1:40">
      <c r="A66" s="185" t="s">
        <v>306</v>
      </c>
      <c r="B66" s="317" t="s">
        <v>300</v>
      </c>
      <c r="C66" s="233">
        <v>4.7669870000000003</v>
      </c>
      <c r="D66" s="234">
        <v>4.7583130000000011</v>
      </c>
      <c r="E66" s="235">
        <v>4.5493130000000006</v>
      </c>
      <c r="F66" s="236">
        <v>4.8640699999999999</v>
      </c>
      <c r="G66" s="237">
        <v>4.860487</v>
      </c>
      <c r="H66" s="238">
        <v>4.840865</v>
      </c>
      <c r="I66" s="239">
        <v>5.2089999999999996</v>
      </c>
      <c r="J66" s="235">
        <v>5.6870000000000003</v>
      </c>
      <c r="K66" s="235">
        <v>6.2089999999999996</v>
      </c>
      <c r="L66" s="235">
        <v>6.7799999999999994</v>
      </c>
      <c r="M66" s="235">
        <v>7.0810000000000004</v>
      </c>
      <c r="N66" s="235">
        <v>7.3959999999999999</v>
      </c>
      <c r="O66" s="235">
        <v>7.7249999999999996</v>
      </c>
      <c r="P66" s="235">
        <v>8.0679999999999996</v>
      </c>
      <c r="Q66" s="235">
        <v>8.4260000000000002</v>
      </c>
      <c r="R66" s="235">
        <v>8.8000000000000007</v>
      </c>
      <c r="S66" s="318">
        <f t="shared" si="17"/>
        <v>99.818040200235515</v>
      </c>
      <c r="T66" s="319">
        <f t="shared" si="17"/>
        <v>95.607687010081094</v>
      </c>
      <c r="U66" s="319">
        <f t="shared" si="17"/>
        <v>106.91878092362515</v>
      </c>
      <c r="V66" s="320">
        <f t="shared" si="17"/>
        <v>99.926337408795519</v>
      </c>
      <c r="W66" s="248">
        <f t="shared" si="17"/>
        <v>99.596295597539921</v>
      </c>
      <c r="X66" s="321">
        <f t="shared" si="17"/>
        <v>107.6047359304587</v>
      </c>
      <c r="Y66" s="322">
        <f t="shared" si="17"/>
        <v>109.17642541754657</v>
      </c>
      <c r="Z66" s="322">
        <f t="shared" si="17"/>
        <v>109.17882890803585</v>
      </c>
      <c r="AA66" s="322">
        <f t="shared" si="17"/>
        <v>109.19632791109679</v>
      </c>
      <c r="AB66" s="322">
        <f t="shared" si="17"/>
        <v>104.43952802359884</v>
      </c>
      <c r="AC66" s="322">
        <f t="shared" si="17"/>
        <v>104.44852421974298</v>
      </c>
      <c r="AD66" s="322">
        <f t="shared" si="11"/>
        <v>104.44835045970795</v>
      </c>
      <c r="AE66" s="322">
        <f t="shared" si="11"/>
        <v>104.44012944983818</v>
      </c>
      <c r="AF66" s="322">
        <f t="shared" si="11"/>
        <v>104.43728309370353</v>
      </c>
      <c r="AG66" s="323">
        <f t="shared" si="11"/>
        <v>104.43864229765015</v>
      </c>
      <c r="AI66" s="247">
        <f t="shared" si="4"/>
        <v>3.9395130000000007</v>
      </c>
      <c r="AJ66" s="248">
        <f t="shared" si="5"/>
        <v>181.05181641263522</v>
      </c>
      <c r="AK66" s="249">
        <f t="shared" si="6"/>
        <v>105.54474768885112</v>
      </c>
      <c r="AN66" s="338"/>
    </row>
    <row r="67" spans="1:40">
      <c r="A67" s="185" t="s">
        <v>306</v>
      </c>
      <c r="B67" s="317" t="s">
        <v>301</v>
      </c>
      <c r="C67" s="233">
        <v>11.225684999999999</v>
      </c>
      <c r="D67" s="234">
        <v>11.631913999999998</v>
      </c>
      <c r="E67" s="235">
        <v>18.729252000000002</v>
      </c>
      <c r="F67" s="236">
        <v>18.190902999999999</v>
      </c>
      <c r="G67" s="237">
        <v>13.692583000000001</v>
      </c>
      <c r="H67" s="238">
        <v>18.488778</v>
      </c>
      <c r="I67" s="239">
        <v>18.667799765636133</v>
      </c>
      <c r="J67" s="235">
        <v>19.117999999999999</v>
      </c>
      <c r="K67" s="235">
        <v>19.579000000000001</v>
      </c>
      <c r="L67" s="235">
        <v>20.050000000000004</v>
      </c>
      <c r="M67" s="235">
        <v>20.284999999999979</v>
      </c>
      <c r="N67" s="235">
        <v>20.521999999999988</v>
      </c>
      <c r="O67" s="235">
        <v>20.760999999999989</v>
      </c>
      <c r="P67" s="235">
        <v>21.004999999999995</v>
      </c>
      <c r="Q67" s="235">
        <v>21.251000000000001</v>
      </c>
      <c r="R67" s="235">
        <v>21.5</v>
      </c>
      <c r="S67" s="318">
        <f t="shared" si="17"/>
        <v>103.618745760281</v>
      </c>
      <c r="T67" s="319">
        <f t="shared" si="17"/>
        <v>161.01608041462484</v>
      </c>
      <c r="U67" s="319">
        <f t="shared" si="17"/>
        <v>97.125624664562125</v>
      </c>
      <c r="V67" s="320">
        <f t="shared" si="17"/>
        <v>75.271595918025625</v>
      </c>
      <c r="W67" s="248">
        <f t="shared" ref="W67:AC82" si="22">H67/G67*100</f>
        <v>135.02768615680475</v>
      </c>
      <c r="X67" s="321">
        <f t="shared" si="22"/>
        <v>100.96827256856096</v>
      </c>
      <c r="Y67" s="322">
        <f t="shared" si="22"/>
        <v>102.41164057904993</v>
      </c>
      <c r="Z67" s="322">
        <f t="shared" si="22"/>
        <v>102.41134009833665</v>
      </c>
      <c r="AA67" s="322">
        <f t="shared" si="22"/>
        <v>102.40563869451967</v>
      </c>
      <c r="AB67" s="322">
        <f t="shared" si="22"/>
        <v>101.17206982543627</v>
      </c>
      <c r="AC67" s="322">
        <f t="shared" si="22"/>
        <v>101.16835099827463</v>
      </c>
      <c r="AD67" s="322">
        <f t="shared" si="11"/>
        <v>101.16460383978169</v>
      </c>
      <c r="AE67" s="322">
        <f t="shared" si="11"/>
        <v>101.1752805741535</v>
      </c>
      <c r="AF67" s="322">
        <f t="shared" si="11"/>
        <v>101.17114972625568</v>
      </c>
      <c r="AG67" s="323">
        <f t="shared" si="11"/>
        <v>101.17170956660861</v>
      </c>
      <c r="AI67" s="247">
        <f t="shared" si="4"/>
        <v>7.8074169999999992</v>
      </c>
      <c r="AJ67" s="248">
        <f t="shared" si="5"/>
        <v>157.01931476332842</v>
      </c>
      <c r="AK67" s="249">
        <f t="shared" si="6"/>
        <v>104.18709192688533</v>
      </c>
      <c r="AN67" s="338"/>
    </row>
    <row r="68" spans="1:40">
      <c r="A68" s="185" t="s">
        <v>306</v>
      </c>
      <c r="B68" s="324" t="s">
        <v>302</v>
      </c>
      <c r="C68" s="252">
        <v>11.150015999999994</v>
      </c>
      <c r="D68" s="253">
        <v>11.359704000000001</v>
      </c>
      <c r="E68" s="254">
        <v>11.599258000000001</v>
      </c>
      <c r="F68" s="255">
        <v>14.038141</v>
      </c>
      <c r="G68" s="339">
        <v>15.767460999999999</v>
      </c>
      <c r="H68" s="340">
        <v>14.897036</v>
      </c>
      <c r="I68" s="341">
        <v>15.148999999999999</v>
      </c>
      <c r="J68" s="342">
        <v>15.231999999999999</v>
      </c>
      <c r="K68" s="342">
        <v>15.316000000000001</v>
      </c>
      <c r="L68" s="342">
        <v>15.4</v>
      </c>
      <c r="M68" s="342">
        <v>15.609</v>
      </c>
      <c r="N68" s="342">
        <v>15.821</v>
      </c>
      <c r="O68" s="342">
        <v>16.036000000000001</v>
      </c>
      <c r="P68" s="342">
        <v>16.254000000000001</v>
      </c>
      <c r="Q68" s="342">
        <v>16.475000000000001</v>
      </c>
      <c r="R68" s="342">
        <v>16.7</v>
      </c>
      <c r="S68" s="325">
        <f t="shared" ref="S68:AA82" si="23">D68/C68*100</f>
        <v>101.8806071668418</v>
      </c>
      <c r="T68" s="326">
        <f t="shared" si="23"/>
        <v>102.10880494773455</v>
      </c>
      <c r="U68" s="326">
        <f t="shared" si="23"/>
        <v>121.02619839993211</v>
      </c>
      <c r="V68" s="327">
        <f t="shared" si="23"/>
        <v>112.31872510754808</v>
      </c>
      <c r="W68" s="267">
        <f t="shared" si="22"/>
        <v>94.479612158228903</v>
      </c>
      <c r="X68" s="328">
        <f t="shared" si="22"/>
        <v>101.69137001481367</v>
      </c>
      <c r="Y68" s="329">
        <f t="shared" si="22"/>
        <v>100.54789094989769</v>
      </c>
      <c r="Z68" s="329">
        <f t="shared" si="22"/>
        <v>100.5514705882353</v>
      </c>
      <c r="AA68" s="329">
        <f t="shared" si="22"/>
        <v>100.54844606946985</v>
      </c>
      <c r="AB68" s="329">
        <f t="shared" si="22"/>
        <v>101.35714285714286</v>
      </c>
      <c r="AC68" s="329">
        <f t="shared" si="22"/>
        <v>101.35819078736625</v>
      </c>
      <c r="AD68" s="329">
        <f t="shared" si="11"/>
        <v>101.35895328993112</v>
      </c>
      <c r="AE68" s="329">
        <f t="shared" si="11"/>
        <v>101.35944125717135</v>
      </c>
      <c r="AF68" s="329">
        <f t="shared" si="11"/>
        <v>101.35966531315368</v>
      </c>
      <c r="AG68" s="330">
        <f t="shared" si="11"/>
        <v>101.3657056145675</v>
      </c>
      <c r="AI68" s="266">
        <f t="shared" si="4"/>
        <v>0.93253900000000023</v>
      </c>
      <c r="AJ68" s="267">
        <f t="shared" si="5"/>
        <v>105.91432571166656</v>
      </c>
      <c r="AK68" s="268">
        <f t="shared" si="6"/>
        <v>100.52373337986218</v>
      </c>
      <c r="AN68" s="338"/>
    </row>
    <row r="69" spans="1:40" ht="15" thickBot="1">
      <c r="A69" s="185" t="s">
        <v>306</v>
      </c>
      <c r="B69" s="331" t="s">
        <v>303</v>
      </c>
      <c r="C69" s="270">
        <v>4.2822149999999999</v>
      </c>
      <c r="D69" s="271">
        <v>5.4351950000000002</v>
      </c>
      <c r="E69" s="272">
        <v>5.3622300000000003</v>
      </c>
      <c r="F69" s="273">
        <v>7.3407400000000003</v>
      </c>
      <c r="G69" s="343">
        <v>9.105106000000001</v>
      </c>
      <c r="H69" s="344">
        <v>9.3080850000000002</v>
      </c>
      <c r="I69" s="345">
        <v>9.4020000000000028</v>
      </c>
      <c r="J69" s="346">
        <v>9.5969999999999995</v>
      </c>
      <c r="K69" s="346">
        <v>9.7959999999999994</v>
      </c>
      <c r="L69" s="346">
        <v>10</v>
      </c>
      <c r="M69" s="346">
        <v>10.308999999999999</v>
      </c>
      <c r="N69" s="346">
        <v>10.627000000000001</v>
      </c>
      <c r="O69" s="346">
        <v>10.955</v>
      </c>
      <c r="P69" s="346">
        <v>11.292999999999999</v>
      </c>
      <c r="Q69" s="346">
        <v>11.641</v>
      </c>
      <c r="R69" s="346">
        <v>12</v>
      </c>
      <c r="S69" s="332">
        <f>D69/C69*100</f>
        <v>126.92485080735088</v>
      </c>
      <c r="T69" s="333">
        <f>E69/D69*100</f>
        <v>98.657545865419735</v>
      </c>
      <c r="U69" s="333">
        <f t="shared" si="23"/>
        <v>136.89714913384915</v>
      </c>
      <c r="V69" s="334">
        <f t="shared" si="23"/>
        <v>124.0352607502786</v>
      </c>
      <c r="W69" s="285">
        <f t="shared" si="23"/>
        <v>102.22928761070985</v>
      </c>
      <c r="X69" s="335">
        <f t="shared" si="23"/>
        <v>101.00896156405965</v>
      </c>
      <c r="Y69" s="336">
        <f t="shared" si="23"/>
        <v>102.07402680280788</v>
      </c>
      <c r="Z69" s="336">
        <f t="shared" si="23"/>
        <v>102.07356465562154</v>
      </c>
      <c r="AA69" s="336">
        <f t="shared" si="23"/>
        <v>102.08248264597796</v>
      </c>
      <c r="AB69" s="336">
        <f t="shared" si="22"/>
        <v>103.08999999999999</v>
      </c>
      <c r="AC69" s="336">
        <f t="shared" si="22"/>
        <v>103.08468328644875</v>
      </c>
      <c r="AD69" s="336">
        <f t="shared" si="11"/>
        <v>103.0864778394655</v>
      </c>
      <c r="AE69" s="336">
        <f t="shared" si="11"/>
        <v>103.08534915563669</v>
      </c>
      <c r="AF69" s="336">
        <f t="shared" si="11"/>
        <v>103.0815549455415</v>
      </c>
      <c r="AG69" s="337">
        <f t="shared" si="11"/>
        <v>103.08392749763766</v>
      </c>
      <c r="AI69" s="284">
        <f t="shared" si="4"/>
        <v>2.894893999999999</v>
      </c>
      <c r="AJ69" s="285">
        <f t="shared" si="5"/>
        <v>131.79418229727361</v>
      </c>
      <c r="AK69" s="286">
        <f t="shared" si="6"/>
        <v>102.54149812667457</v>
      </c>
      <c r="AN69" s="338"/>
    </row>
    <row r="70" spans="1:40">
      <c r="A70" s="185" t="s">
        <v>307</v>
      </c>
      <c r="B70" s="303" t="s">
        <v>307</v>
      </c>
      <c r="C70" s="199">
        <f t="shared" ref="C70:E70" si="24">SUM(C72:C81)</f>
        <v>144.50848400000001</v>
      </c>
      <c r="D70" s="200">
        <f t="shared" si="24"/>
        <v>143.45509900000002</v>
      </c>
      <c r="E70" s="201">
        <f t="shared" si="24"/>
        <v>153.83402100000001</v>
      </c>
      <c r="F70" s="202">
        <f>SUM(F72:F81)</f>
        <v>153.55499700000001</v>
      </c>
      <c r="G70" s="203">
        <f t="shared" ref="G70:R70" si="25">SUM(G72:G81)</f>
        <v>163.48542599999996</v>
      </c>
      <c r="H70" s="204">
        <f t="shared" si="25"/>
        <v>168.41538100000002</v>
      </c>
      <c r="I70" s="205">
        <f t="shared" si="25"/>
        <v>168.475628</v>
      </c>
      <c r="J70" s="201">
        <f t="shared" si="25"/>
        <v>174.07699999999994</v>
      </c>
      <c r="K70" s="201">
        <f t="shared" si="25"/>
        <v>174.07699999999997</v>
      </c>
      <c r="L70" s="201">
        <f t="shared" si="25"/>
        <v>176.78700000000001</v>
      </c>
      <c r="M70" s="201">
        <f t="shared" si="25"/>
        <v>213.99677099999997</v>
      </c>
      <c r="N70" s="201">
        <f t="shared" si="25"/>
        <v>213.99677099999997</v>
      </c>
      <c r="O70" s="201">
        <f t="shared" si="25"/>
        <v>232.00099999999995</v>
      </c>
      <c r="P70" s="201">
        <f t="shared" si="25"/>
        <v>251.94099999999997</v>
      </c>
      <c r="Q70" s="201">
        <f t="shared" si="25"/>
        <v>274.045771</v>
      </c>
      <c r="R70" s="201">
        <f t="shared" si="25"/>
        <v>274.045771</v>
      </c>
      <c r="S70" s="304">
        <f t="shared" si="23"/>
        <v>99.271056639138237</v>
      </c>
      <c r="T70" s="305">
        <f t="shared" si="23"/>
        <v>107.2349620699087</v>
      </c>
      <c r="U70" s="305">
        <f t="shared" si="23"/>
        <v>99.818620095745928</v>
      </c>
      <c r="V70" s="306">
        <f t="shared" si="23"/>
        <v>106.46701780730714</v>
      </c>
      <c r="W70" s="288">
        <f t="shared" si="22"/>
        <v>103.01553179425306</v>
      </c>
      <c r="X70" s="307">
        <f t="shared" si="22"/>
        <v>100.03577286091226</v>
      </c>
      <c r="Y70" s="308">
        <f t="shared" si="22"/>
        <v>103.32473727297811</v>
      </c>
      <c r="Z70" s="308">
        <f t="shared" si="22"/>
        <v>100.00000000000003</v>
      </c>
      <c r="AA70" s="308">
        <f t="shared" si="22"/>
        <v>101.55678234344575</v>
      </c>
      <c r="AB70" s="308">
        <f t="shared" si="22"/>
        <v>121.04779819783127</v>
      </c>
      <c r="AC70" s="308">
        <f t="shared" si="22"/>
        <v>100</v>
      </c>
      <c r="AD70" s="308">
        <f t="shared" si="11"/>
        <v>108.41331806824319</v>
      </c>
      <c r="AE70" s="308">
        <f t="shared" si="11"/>
        <v>108.59479053969596</v>
      </c>
      <c r="AF70" s="308">
        <f t="shared" si="11"/>
        <v>108.7737887044983</v>
      </c>
      <c r="AG70" s="309">
        <f t="shared" si="11"/>
        <v>100</v>
      </c>
      <c r="AI70" s="287">
        <f t="shared" ref="AI70:AI82" si="26">R70-G70</f>
        <v>110.56034500000004</v>
      </c>
      <c r="AJ70" s="288">
        <f t="shared" ref="AJ70:AJ82" si="27">R70/G70*100</f>
        <v>167.62703422872696</v>
      </c>
      <c r="AK70" s="215">
        <f t="shared" ref="AK70:AK82" si="28">(R70/G70)^(1/11)*100</f>
        <v>104.80811608575533</v>
      </c>
    </row>
    <row r="71" spans="1:40">
      <c r="A71" s="185" t="s">
        <v>307</v>
      </c>
      <c r="B71" s="310" t="s">
        <v>292</v>
      </c>
      <c r="C71" s="289">
        <f t="shared" ref="C71:R71" si="29">C70-C72</f>
        <v>43.967114000000009</v>
      </c>
      <c r="D71" s="290">
        <f t="shared" si="29"/>
        <v>42.383442000000016</v>
      </c>
      <c r="E71" s="291">
        <f t="shared" si="29"/>
        <v>46.090644999999995</v>
      </c>
      <c r="F71" s="292">
        <f t="shared" si="29"/>
        <v>42.10490200000001</v>
      </c>
      <c r="G71" s="293">
        <f t="shared" si="29"/>
        <v>45.288654999999963</v>
      </c>
      <c r="H71" s="294">
        <f t="shared" si="29"/>
        <v>48.449592000000024</v>
      </c>
      <c r="I71" s="295">
        <f t="shared" si="29"/>
        <v>50.768628000000007</v>
      </c>
      <c r="J71" s="291">
        <f t="shared" si="29"/>
        <v>56.369999999999948</v>
      </c>
      <c r="K71" s="291">
        <f t="shared" si="29"/>
        <v>57.879999999999967</v>
      </c>
      <c r="L71" s="291">
        <f t="shared" si="29"/>
        <v>62.080000000000013</v>
      </c>
      <c r="M71" s="291">
        <f t="shared" si="29"/>
        <v>69.100000000000023</v>
      </c>
      <c r="N71" s="291">
        <f t="shared" si="29"/>
        <v>69.100000000000023</v>
      </c>
      <c r="O71" s="291">
        <f t="shared" si="29"/>
        <v>71.116999999999962</v>
      </c>
      <c r="P71" s="291">
        <f t="shared" si="29"/>
        <v>73.305999999999983</v>
      </c>
      <c r="Q71" s="291">
        <f t="shared" si="29"/>
        <v>75.799999999999983</v>
      </c>
      <c r="R71" s="291">
        <f t="shared" si="29"/>
        <v>75.799999999999983</v>
      </c>
      <c r="S71" s="311">
        <f t="shared" si="23"/>
        <v>96.398053326856996</v>
      </c>
      <c r="T71" s="312">
        <f t="shared" si="23"/>
        <v>108.74681909977953</v>
      </c>
      <c r="U71" s="312">
        <f t="shared" si="23"/>
        <v>91.352381811970773</v>
      </c>
      <c r="V71" s="313">
        <f t="shared" si="23"/>
        <v>107.56147823357945</v>
      </c>
      <c r="W71" s="214">
        <f t="shared" si="22"/>
        <v>106.97953383689594</v>
      </c>
      <c r="X71" s="314">
        <f t="shared" si="22"/>
        <v>104.78649231968762</v>
      </c>
      <c r="Y71" s="315">
        <f t="shared" si="22"/>
        <v>111.03313644796535</v>
      </c>
      <c r="Z71" s="315">
        <f t="shared" si="22"/>
        <v>102.6787298208267</v>
      </c>
      <c r="AA71" s="315">
        <f t="shared" si="22"/>
        <v>107.25639253628205</v>
      </c>
      <c r="AB71" s="315">
        <f t="shared" si="22"/>
        <v>111.30798969072167</v>
      </c>
      <c r="AC71" s="315">
        <f t="shared" si="22"/>
        <v>100</v>
      </c>
      <c r="AD71" s="315">
        <f t="shared" si="11"/>
        <v>102.91895803183783</v>
      </c>
      <c r="AE71" s="315">
        <f t="shared" si="11"/>
        <v>103.07802635094285</v>
      </c>
      <c r="AF71" s="315">
        <f t="shared" si="11"/>
        <v>103.40217717512891</v>
      </c>
      <c r="AG71" s="316">
        <f t="shared" si="11"/>
        <v>100</v>
      </c>
      <c r="AI71" s="213">
        <f t="shared" si="26"/>
        <v>30.51134500000002</v>
      </c>
      <c r="AJ71" s="214">
        <f t="shared" si="27"/>
        <v>167.37083492543562</v>
      </c>
      <c r="AK71" s="231">
        <f t="shared" si="28"/>
        <v>104.79354345316432</v>
      </c>
    </row>
    <row r="72" spans="1:40">
      <c r="A72" s="185" t="s">
        <v>307</v>
      </c>
      <c r="B72" s="317" t="s">
        <v>293</v>
      </c>
      <c r="C72" s="233">
        <v>100.54137</v>
      </c>
      <c r="D72" s="234">
        <v>101.071657</v>
      </c>
      <c r="E72" s="235">
        <v>107.74337600000001</v>
      </c>
      <c r="F72" s="236">
        <v>111.450095</v>
      </c>
      <c r="G72" s="237">
        <v>118.196771</v>
      </c>
      <c r="H72" s="238">
        <v>119.965789</v>
      </c>
      <c r="I72" s="239">
        <v>117.70699999999999</v>
      </c>
      <c r="J72" s="235">
        <v>117.70699999999999</v>
      </c>
      <c r="K72" s="235">
        <v>116.197</v>
      </c>
      <c r="L72" s="235">
        <v>114.70699999999999</v>
      </c>
      <c r="M72" s="235">
        <v>144.89677099999994</v>
      </c>
      <c r="N72" s="235">
        <v>144.89677099999994</v>
      </c>
      <c r="O72" s="235">
        <v>160.88399999999999</v>
      </c>
      <c r="P72" s="235">
        <v>178.63499999999999</v>
      </c>
      <c r="Q72" s="235">
        <v>198.24577100000002</v>
      </c>
      <c r="R72" s="235">
        <v>198.24577100000002</v>
      </c>
      <c r="S72" s="318">
        <f t="shared" si="23"/>
        <v>100.5274316433126</v>
      </c>
      <c r="T72" s="319">
        <f t="shared" si="23"/>
        <v>106.60097914492488</v>
      </c>
      <c r="U72" s="319">
        <f t="shared" si="23"/>
        <v>103.44032193682142</v>
      </c>
      <c r="V72" s="320">
        <f t="shared" si="23"/>
        <v>106.05353992744465</v>
      </c>
      <c r="W72" s="248">
        <f t="shared" si="22"/>
        <v>101.496672019915</v>
      </c>
      <c r="X72" s="321">
        <f t="shared" si="22"/>
        <v>98.117139045365661</v>
      </c>
      <c r="Y72" s="322">
        <f t="shared" si="22"/>
        <v>100</v>
      </c>
      <c r="Z72" s="322">
        <f t="shared" si="22"/>
        <v>98.717153610235599</v>
      </c>
      <c r="AA72" s="322">
        <f t="shared" si="22"/>
        <v>98.717694949095062</v>
      </c>
      <c r="AB72" s="322">
        <f t="shared" si="22"/>
        <v>126.31903109662004</v>
      </c>
      <c r="AC72" s="322">
        <f t="shared" si="22"/>
        <v>100</v>
      </c>
      <c r="AD72" s="322">
        <f t="shared" si="11"/>
        <v>111.03353020889612</v>
      </c>
      <c r="AE72" s="322">
        <f t="shared" si="11"/>
        <v>111.03341538002536</v>
      </c>
      <c r="AF72" s="322">
        <f t="shared" si="11"/>
        <v>110.97812354801692</v>
      </c>
      <c r="AG72" s="323">
        <f t="shared" si="11"/>
        <v>100</v>
      </c>
      <c r="AI72" s="247">
        <f t="shared" si="26"/>
        <v>80.049000000000021</v>
      </c>
      <c r="AJ72" s="248">
        <f t="shared" si="27"/>
        <v>167.72520037793589</v>
      </c>
      <c r="AK72" s="249">
        <f t="shared" si="28"/>
        <v>104.81369441759074</v>
      </c>
    </row>
    <row r="73" spans="1:40">
      <c r="A73" s="185" t="s">
        <v>307</v>
      </c>
      <c r="B73" s="317" t="s">
        <v>294</v>
      </c>
      <c r="C73" s="233">
        <v>5.3872999999999997E-2</v>
      </c>
      <c r="D73" s="234">
        <v>0.15340500000000001</v>
      </c>
      <c r="E73" s="235">
        <v>6.8252000000000007E-2</v>
      </c>
      <c r="F73" s="236">
        <v>6.8921999999999997E-2</v>
      </c>
      <c r="G73" s="237">
        <v>1.4931E-2</v>
      </c>
      <c r="H73" s="238">
        <v>7.6628000000000002E-2</v>
      </c>
      <c r="I73" s="239">
        <v>7.6628000000000002E-2</v>
      </c>
      <c r="J73" s="235">
        <v>0.1</v>
      </c>
      <c r="K73" s="235">
        <v>0.1</v>
      </c>
      <c r="L73" s="235">
        <v>0.1</v>
      </c>
      <c r="M73" s="235">
        <v>0.1</v>
      </c>
      <c r="N73" s="235">
        <v>0.1</v>
      </c>
      <c r="O73" s="235">
        <v>0.1</v>
      </c>
      <c r="P73" s="235">
        <v>0.1</v>
      </c>
      <c r="Q73" s="235">
        <v>0.1</v>
      </c>
      <c r="R73" s="235">
        <v>0.1</v>
      </c>
      <c r="S73" s="318">
        <f t="shared" si="23"/>
        <v>284.75303027490583</v>
      </c>
      <c r="T73" s="319">
        <f t="shared" si="23"/>
        <v>44.491379029366712</v>
      </c>
      <c r="U73" s="319">
        <f t="shared" si="23"/>
        <v>100.98165621520248</v>
      </c>
      <c r="V73" s="320">
        <f t="shared" si="23"/>
        <v>21.663619744058501</v>
      </c>
      <c r="W73" s="248">
        <f t="shared" si="22"/>
        <v>513.2141182774094</v>
      </c>
      <c r="X73" s="321"/>
      <c r="Y73" s="322"/>
      <c r="Z73" s="322"/>
      <c r="AA73" s="322"/>
      <c r="AB73" s="322"/>
      <c r="AC73" s="322"/>
      <c r="AD73" s="322"/>
      <c r="AE73" s="322"/>
      <c r="AF73" s="322"/>
      <c r="AG73" s="323"/>
      <c r="AI73" s="247">
        <f t="shared" si="26"/>
        <v>8.5069000000000006E-2</v>
      </c>
      <c r="AJ73" s="248">
        <f t="shared" si="27"/>
        <v>669.74750519054317</v>
      </c>
      <c r="AK73" s="249">
        <f t="shared" si="28"/>
        <v>118.87289175750966</v>
      </c>
    </row>
    <row r="74" spans="1:40">
      <c r="A74" s="185" t="s">
        <v>307</v>
      </c>
      <c r="B74" s="317" t="s">
        <v>295</v>
      </c>
      <c r="C74" s="233">
        <v>9.6549610000000001</v>
      </c>
      <c r="D74" s="234">
        <v>8.9554860000000005</v>
      </c>
      <c r="E74" s="235">
        <v>9.5067449999999987</v>
      </c>
      <c r="F74" s="236">
        <v>9.4738349999999993</v>
      </c>
      <c r="G74" s="237">
        <v>9.8774969999999982</v>
      </c>
      <c r="H74" s="238">
        <v>10.504074000000003</v>
      </c>
      <c r="I74" s="239">
        <v>10.500999999999999</v>
      </c>
      <c r="J74" s="235">
        <v>10.577</v>
      </c>
      <c r="K74" s="235">
        <v>11.019</v>
      </c>
      <c r="L74" s="235">
        <v>11.7</v>
      </c>
      <c r="M74" s="235">
        <v>12.65</v>
      </c>
      <c r="N74" s="235">
        <v>12.65</v>
      </c>
      <c r="O74" s="235">
        <v>13.147</v>
      </c>
      <c r="P74" s="235">
        <v>13.663</v>
      </c>
      <c r="Q74" s="235">
        <v>14.2</v>
      </c>
      <c r="R74" s="235">
        <v>14.2</v>
      </c>
      <c r="S74" s="318">
        <f t="shared" si="23"/>
        <v>92.755278866481177</v>
      </c>
      <c r="T74" s="319">
        <f t="shared" si="23"/>
        <v>106.15554532718825</v>
      </c>
      <c r="U74" s="319">
        <f t="shared" si="23"/>
        <v>99.653824731808854</v>
      </c>
      <c r="V74" s="320">
        <f t="shared" si="23"/>
        <v>104.26080884879248</v>
      </c>
      <c r="W74" s="248">
        <f t="shared" si="22"/>
        <v>106.34347952725275</v>
      </c>
      <c r="X74" s="321">
        <f t="shared" si="22"/>
        <v>99.970735164280029</v>
      </c>
      <c r="Y74" s="322">
        <f t="shared" si="22"/>
        <v>100.72374059613371</v>
      </c>
      <c r="Z74" s="322">
        <f t="shared" si="22"/>
        <v>104.17887869906401</v>
      </c>
      <c r="AA74" s="322">
        <f t="shared" si="22"/>
        <v>106.18023414102913</v>
      </c>
      <c r="AB74" s="322">
        <f t="shared" si="22"/>
        <v>108.11965811965814</v>
      </c>
      <c r="AC74" s="322">
        <f t="shared" si="22"/>
        <v>100</v>
      </c>
      <c r="AD74" s="322">
        <f t="shared" si="11"/>
        <v>103.92885375494072</v>
      </c>
      <c r="AE74" s="322">
        <f t="shared" si="11"/>
        <v>103.92484977561421</v>
      </c>
      <c r="AF74" s="322">
        <f t="shared" si="11"/>
        <v>103.93032276952351</v>
      </c>
      <c r="AG74" s="323">
        <f t="shared" si="11"/>
        <v>100</v>
      </c>
      <c r="AI74" s="247">
        <f t="shared" si="26"/>
        <v>4.3225030000000011</v>
      </c>
      <c r="AJ74" s="248">
        <f t="shared" si="27"/>
        <v>143.76111680924834</v>
      </c>
      <c r="AK74" s="249">
        <f t="shared" si="28"/>
        <v>103.35489254966323</v>
      </c>
    </row>
    <row r="75" spans="1:40">
      <c r="A75" s="185" t="s">
        <v>307</v>
      </c>
      <c r="B75" s="317" t="s">
        <v>296</v>
      </c>
      <c r="C75" s="233">
        <v>5.2227000000000006</v>
      </c>
      <c r="D75" s="234">
        <v>5.6850570000000005</v>
      </c>
      <c r="E75" s="235">
        <v>7.9066549999999998</v>
      </c>
      <c r="F75" s="236">
        <v>8.7907809999999991</v>
      </c>
      <c r="G75" s="237">
        <v>10.116291</v>
      </c>
      <c r="H75" s="238">
        <v>11.245598000000001</v>
      </c>
      <c r="I75" s="239">
        <v>11.37</v>
      </c>
      <c r="J75" s="235">
        <v>11.576000000000001</v>
      </c>
      <c r="K75" s="235">
        <v>11.786</v>
      </c>
      <c r="L75" s="235">
        <v>12</v>
      </c>
      <c r="M75" s="235">
        <v>12.36</v>
      </c>
      <c r="N75" s="235">
        <v>12.36</v>
      </c>
      <c r="O75" s="235">
        <v>12.728999999999999</v>
      </c>
      <c r="P75" s="235">
        <v>13.109</v>
      </c>
      <c r="Q75" s="235">
        <v>13.5</v>
      </c>
      <c r="R75" s="235">
        <v>13.5</v>
      </c>
      <c r="S75" s="318">
        <f t="shared" si="23"/>
        <v>108.85283474065139</v>
      </c>
      <c r="T75" s="319">
        <f t="shared" si="23"/>
        <v>139.07784917547878</v>
      </c>
      <c r="U75" s="319">
        <f t="shared" si="23"/>
        <v>111.18204854012221</v>
      </c>
      <c r="V75" s="320">
        <f t="shared" si="23"/>
        <v>115.07840998427787</v>
      </c>
      <c r="W75" s="248">
        <f t="shared" si="22"/>
        <v>111.16325143276326</v>
      </c>
      <c r="X75" s="321">
        <f t="shared" si="22"/>
        <v>101.10622841044112</v>
      </c>
      <c r="Y75" s="322">
        <f t="shared" si="22"/>
        <v>101.81178540017591</v>
      </c>
      <c r="Z75" s="322">
        <f t="shared" si="22"/>
        <v>101.81409813407048</v>
      </c>
      <c r="AA75" s="322">
        <f t="shared" si="22"/>
        <v>101.81571355845919</v>
      </c>
      <c r="AB75" s="322">
        <f t="shared" si="22"/>
        <v>103</v>
      </c>
      <c r="AC75" s="322">
        <f t="shared" si="22"/>
        <v>100</v>
      </c>
      <c r="AD75" s="322">
        <f t="shared" si="11"/>
        <v>102.98543689320387</v>
      </c>
      <c r="AE75" s="322">
        <f t="shared" si="11"/>
        <v>102.98530913661719</v>
      </c>
      <c r="AF75" s="322">
        <f t="shared" si="11"/>
        <v>102.98268365245251</v>
      </c>
      <c r="AG75" s="323">
        <f t="shared" si="11"/>
        <v>100</v>
      </c>
      <c r="AI75" s="247">
        <f t="shared" si="26"/>
        <v>3.3837089999999996</v>
      </c>
      <c r="AJ75" s="248">
        <f t="shared" si="27"/>
        <v>133.44811848532234</v>
      </c>
      <c r="AK75" s="249">
        <f t="shared" si="28"/>
        <v>102.65782090741655</v>
      </c>
    </row>
    <row r="76" spans="1:40">
      <c r="A76" s="185" t="s">
        <v>307</v>
      </c>
      <c r="B76" s="317" t="s">
        <v>297</v>
      </c>
      <c r="C76" s="233">
        <v>5.4766279999999998</v>
      </c>
      <c r="D76" s="234">
        <v>5.0983649999999994</v>
      </c>
      <c r="E76" s="235">
        <v>3.1500620000000001</v>
      </c>
      <c r="F76" s="236">
        <v>2.0315289999999999</v>
      </c>
      <c r="G76" s="237">
        <v>1.6820439999999999</v>
      </c>
      <c r="H76" s="238">
        <v>1.7706</v>
      </c>
      <c r="I76" s="239">
        <v>2.3010000000000002</v>
      </c>
      <c r="J76" s="235">
        <v>2.5579999999999998</v>
      </c>
      <c r="K76" s="235">
        <v>2.843</v>
      </c>
      <c r="L76" s="235">
        <v>3.16</v>
      </c>
      <c r="M76" s="235">
        <v>3.86</v>
      </c>
      <c r="N76" s="235">
        <v>3.86</v>
      </c>
      <c r="O76" s="235">
        <v>4.0010000000000003</v>
      </c>
      <c r="P76" s="235">
        <v>4.1479999999999997</v>
      </c>
      <c r="Q76" s="235">
        <v>4.3</v>
      </c>
      <c r="R76" s="235">
        <v>4.3</v>
      </c>
      <c r="S76" s="318">
        <f t="shared" si="23"/>
        <v>93.093140523694501</v>
      </c>
      <c r="T76" s="319">
        <f t="shared" si="23"/>
        <v>61.785729346565034</v>
      </c>
      <c r="U76" s="319">
        <f t="shared" si="23"/>
        <v>64.491714766249046</v>
      </c>
      <c r="V76" s="320">
        <f t="shared" si="23"/>
        <v>82.796947520808217</v>
      </c>
      <c r="W76" s="248">
        <f t="shared" si="22"/>
        <v>105.26478498778866</v>
      </c>
      <c r="X76" s="321">
        <f t="shared" si="22"/>
        <v>129.95594713656388</v>
      </c>
      <c r="Y76" s="322">
        <f t="shared" si="22"/>
        <v>111.16905693176878</v>
      </c>
      <c r="Z76" s="322">
        <f t="shared" si="22"/>
        <v>111.14151681000783</v>
      </c>
      <c r="AA76" s="322">
        <f t="shared" si="22"/>
        <v>111.15019345761522</v>
      </c>
      <c r="AB76" s="322">
        <f t="shared" si="22"/>
        <v>122.15189873417719</v>
      </c>
      <c r="AC76" s="322">
        <f t="shared" si="22"/>
        <v>100</v>
      </c>
      <c r="AD76" s="322">
        <f t="shared" si="11"/>
        <v>103.65284974093265</v>
      </c>
      <c r="AE76" s="322">
        <f t="shared" si="11"/>
        <v>103.67408147963009</v>
      </c>
      <c r="AF76" s="322">
        <f t="shared" si="11"/>
        <v>103.66441658630666</v>
      </c>
      <c r="AG76" s="323">
        <f t="shared" si="11"/>
        <v>100</v>
      </c>
      <c r="AI76" s="247">
        <f t="shared" si="26"/>
        <v>2.6179559999999999</v>
      </c>
      <c r="AJ76" s="248">
        <f t="shared" si="27"/>
        <v>255.64135064243266</v>
      </c>
      <c r="AK76" s="249">
        <f t="shared" si="28"/>
        <v>108.90739573622979</v>
      </c>
    </row>
    <row r="77" spans="1:40">
      <c r="A77" s="185" t="s">
        <v>307</v>
      </c>
      <c r="B77" s="317" t="s">
        <v>298</v>
      </c>
      <c r="C77" s="233">
        <v>8.886336</v>
      </c>
      <c r="D77" s="234">
        <v>4.6628720000000001</v>
      </c>
      <c r="E77" s="235">
        <v>3.6973849999999993</v>
      </c>
      <c r="F77" s="236">
        <v>2.9754070000000001</v>
      </c>
      <c r="G77" s="237">
        <v>2.3220480000000001</v>
      </c>
      <c r="H77" s="238">
        <v>2.0582339999999997</v>
      </c>
      <c r="I77" s="239">
        <v>2.5</v>
      </c>
      <c r="J77" s="235">
        <v>2.5</v>
      </c>
      <c r="K77" s="235">
        <v>2.5</v>
      </c>
      <c r="L77" s="235">
        <v>2.5</v>
      </c>
      <c r="M77" s="235">
        <v>2.5</v>
      </c>
      <c r="N77" s="235">
        <v>2.5</v>
      </c>
      <c r="O77" s="235">
        <v>2.7970000000000002</v>
      </c>
      <c r="P77" s="235">
        <v>3.129</v>
      </c>
      <c r="Q77" s="235">
        <v>3.5</v>
      </c>
      <c r="R77" s="235">
        <v>3.5</v>
      </c>
      <c r="S77" s="318">
        <f t="shared" si="23"/>
        <v>52.472380067555399</v>
      </c>
      <c r="T77" s="319">
        <f t="shared" si="23"/>
        <v>79.294156048032178</v>
      </c>
      <c r="U77" s="319">
        <f t="shared" si="23"/>
        <v>80.47328044009484</v>
      </c>
      <c r="V77" s="320">
        <f t="shared" si="23"/>
        <v>78.041357031155741</v>
      </c>
      <c r="W77" s="248">
        <f t="shared" si="22"/>
        <v>88.638736150157087</v>
      </c>
      <c r="X77" s="321">
        <f t="shared" si="22"/>
        <v>121.46335159170437</v>
      </c>
      <c r="Y77" s="322">
        <f t="shared" si="22"/>
        <v>100</v>
      </c>
      <c r="Z77" s="322">
        <f t="shared" si="22"/>
        <v>100</v>
      </c>
      <c r="AA77" s="322">
        <f t="shared" si="22"/>
        <v>100</v>
      </c>
      <c r="AB77" s="322">
        <f t="shared" si="22"/>
        <v>100</v>
      </c>
      <c r="AC77" s="322">
        <f t="shared" si="22"/>
        <v>100</v>
      </c>
      <c r="AD77" s="322">
        <f t="shared" si="11"/>
        <v>111.88</v>
      </c>
      <c r="AE77" s="322">
        <f t="shared" si="11"/>
        <v>111.86986056489094</v>
      </c>
      <c r="AF77" s="322">
        <f t="shared" si="11"/>
        <v>111.85682326621924</v>
      </c>
      <c r="AG77" s="323">
        <f t="shared" si="11"/>
        <v>100</v>
      </c>
      <c r="AI77" s="247">
        <f t="shared" si="26"/>
        <v>1.1779519999999999</v>
      </c>
      <c r="AJ77" s="248">
        <f t="shared" si="27"/>
        <v>150.72901163111183</v>
      </c>
      <c r="AK77" s="249">
        <f t="shared" si="28"/>
        <v>103.80056412073219</v>
      </c>
    </row>
    <row r="78" spans="1:40">
      <c r="A78" s="185" t="s">
        <v>307</v>
      </c>
      <c r="B78" s="317" t="s">
        <v>299</v>
      </c>
      <c r="C78" s="233">
        <v>0.186642</v>
      </c>
      <c r="D78" s="234">
        <v>0.15473400000000001</v>
      </c>
      <c r="E78" s="235">
        <v>0.13878300000000002</v>
      </c>
      <c r="F78" s="236">
        <v>0.14285500000000001</v>
      </c>
      <c r="G78" s="237">
        <v>0.10414400000000001</v>
      </c>
      <c r="H78" s="238">
        <v>0.11579999999999999</v>
      </c>
      <c r="I78" s="239">
        <v>0.16700000000000001</v>
      </c>
      <c r="J78" s="235">
        <v>0.17699999999999999</v>
      </c>
      <c r="K78" s="235">
        <v>0.188</v>
      </c>
      <c r="L78" s="235">
        <v>0.2</v>
      </c>
      <c r="M78" s="235">
        <v>0.2</v>
      </c>
      <c r="N78" s="235">
        <v>0.2</v>
      </c>
      <c r="O78" s="235">
        <v>0.2</v>
      </c>
      <c r="P78" s="235">
        <v>0.2</v>
      </c>
      <c r="Q78" s="235">
        <v>0.2</v>
      </c>
      <c r="R78" s="235">
        <v>0.2</v>
      </c>
      <c r="S78" s="318">
        <f t="shared" si="23"/>
        <v>82.904169479538368</v>
      </c>
      <c r="T78" s="319">
        <f t="shared" si="23"/>
        <v>89.691341269533524</v>
      </c>
      <c r="U78" s="319">
        <f t="shared" si="23"/>
        <v>102.93407694025925</v>
      </c>
      <c r="V78" s="320">
        <f t="shared" si="23"/>
        <v>72.901893528402923</v>
      </c>
      <c r="W78" s="248">
        <f t="shared" si="22"/>
        <v>111.19219542172374</v>
      </c>
      <c r="X78" s="321">
        <f t="shared" si="22"/>
        <v>144.21416234887741</v>
      </c>
      <c r="Y78" s="322">
        <f t="shared" si="22"/>
        <v>105.98802395209579</v>
      </c>
      <c r="Z78" s="322">
        <f t="shared" si="22"/>
        <v>106.21468926553672</v>
      </c>
      <c r="AA78" s="322">
        <f t="shared" si="22"/>
        <v>106.38297872340425</v>
      </c>
      <c r="AB78" s="322">
        <f t="shared" si="22"/>
        <v>100</v>
      </c>
      <c r="AC78" s="322">
        <f t="shared" si="22"/>
        <v>100</v>
      </c>
      <c r="AD78" s="322">
        <f t="shared" si="11"/>
        <v>100</v>
      </c>
      <c r="AE78" s="322">
        <f t="shared" si="11"/>
        <v>100</v>
      </c>
      <c r="AF78" s="322">
        <f t="shared" si="11"/>
        <v>100</v>
      </c>
      <c r="AG78" s="323">
        <f t="shared" si="11"/>
        <v>100</v>
      </c>
      <c r="AI78" s="247">
        <f t="shared" si="26"/>
        <v>9.5855999999999997E-2</v>
      </c>
      <c r="AJ78" s="248">
        <f t="shared" si="27"/>
        <v>192.04178829313256</v>
      </c>
      <c r="AK78" s="249">
        <f t="shared" si="28"/>
        <v>106.1116943475878</v>
      </c>
    </row>
    <row r="79" spans="1:40">
      <c r="A79" s="185" t="s">
        <v>307</v>
      </c>
      <c r="B79" s="317" t="s">
        <v>300</v>
      </c>
      <c r="C79" s="233">
        <v>2.1302400000000001</v>
      </c>
      <c r="D79" s="234">
        <v>1.6387340000000001</v>
      </c>
      <c r="E79" s="235">
        <v>1.4348719999999997</v>
      </c>
      <c r="F79" s="236">
        <v>1.4310120000000002</v>
      </c>
      <c r="G79" s="237">
        <v>2.3266939999999998</v>
      </c>
      <c r="H79" s="238">
        <v>2.6064219999999998</v>
      </c>
      <c r="I79" s="239">
        <v>2.75</v>
      </c>
      <c r="J79" s="235">
        <v>3</v>
      </c>
      <c r="K79" s="235">
        <v>3</v>
      </c>
      <c r="L79" s="235">
        <v>3</v>
      </c>
      <c r="M79" s="235">
        <v>3</v>
      </c>
      <c r="N79" s="235">
        <v>3</v>
      </c>
      <c r="O79" s="235">
        <v>3</v>
      </c>
      <c r="P79" s="235">
        <v>3</v>
      </c>
      <c r="Q79" s="235">
        <v>3</v>
      </c>
      <c r="R79" s="235">
        <v>3</v>
      </c>
      <c r="S79" s="318">
        <f t="shared" si="23"/>
        <v>76.927200691001957</v>
      </c>
      <c r="T79" s="319">
        <f t="shared" si="23"/>
        <v>87.559787006310941</v>
      </c>
      <c r="U79" s="319">
        <f t="shared" si="23"/>
        <v>99.730986457328626</v>
      </c>
      <c r="V79" s="320">
        <f t="shared" si="23"/>
        <v>162.5908098604344</v>
      </c>
      <c r="W79" s="248">
        <f t="shared" si="22"/>
        <v>112.02255217059054</v>
      </c>
      <c r="X79" s="321">
        <f t="shared" si="22"/>
        <v>105.50862446679778</v>
      </c>
      <c r="Y79" s="322">
        <f t="shared" si="22"/>
        <v>109.09090909090908</v>
      </c>
      <c r="Z79" s="322">
        <f t="shared" si="22"/>
        <v>100</v>
      </c>
      <c r="AA79" s="322">
        <f t="shared" si="22"/>
        <v>100</v>
      </c>
      <c r="AB79" s="322">
        <f t="shared" si="22"/>
        <v>100</v>
      </c>
      <c r="AC79" s="322">
        <f t="shared" si="22"/>
        <v>100</v>
      </c>
      <c r="AD79" s="322">
        <f t="shared" si="11"/>
        <v>100</v>
      </c>
      <c r="AE79" s="322">
        <f t="shared" si="11"/>
        <v>100</v>
      </c>
      <c r="AF79" s="322">
        <f t="shared" si="11"/>
        <v>100</v>
      </c>
      <c r="AG79" s="323">
        <f t="shared" si="11"/>
        <v>100</v>
      </c>
      <c r="AI79" s="247">
        <f t="shared" si="26"/>
        <v>0.67330600000000018</v>
      </c>
      <c r="AJ79" s="248">
        <f t="shared" si="27"/>
        <v>128.93831333213566</v>
      </c>
      <c r="AK79" s="249">
        <f t="shared" si="28"/>
        <v>102.33748173667196</v>
      </c>
    </row>
    <row r="80" spans="1:40">
      <c r="A80" s="185" t="s">
        <v>307</v>
      </c>
      <c r="B80" s="317" t="s">
        <v>301</v>
      </c>
      <c r="C80" s="233">
        <v>0.87452199999999991</v>
      </c>
      <c r="D80" s="234">
        <v>0.68542999999999998</v>
      </c>
      <c r="E80" s="235">
        <v>1.5437429999999996</v>
      </c>
      <c r="F80" s="236">
        <v>1.076125</v>
      </c>
      <c r="G80" s="237">
        <v>0.68662299999999998</v>
      </c>
      <c r="H80" s="238">
        <v>1.0390000000000001</v>
      </c>
      <c r="I80" s="239">
        <v>1.0980000000000001</v>
      </c>
      <c r="J80" s="235">
        <v>1.2</v>
      </c>
      <c r="K80" s="235">
        <v>1.2</v>
      </c>
      <c r="L80" s="235">
        <v>1.2</v>
      </c>
      <c r="M80" s="235">
        <v>1.2</v>
      </c>
      <c r="N80" s="235">
        <v>1.2</v>
      </c>
      <c r="O80" s="235">
        <v>1.423</v>
      </c>
      <c r="P80" s="235">
        <v>1.6870000000000001</v>
      </c>
      <c r="Q80" s="235">
        <v>2</v>
      </c>
      <c r="R80" s="235">
        <v>2</v>
      </c>
      <c r="S80" s="318">
        <f t="shared" si="23"/>
        <v>78.377673746343717</v>
      </c>
      <c r="T80" s="319">
        <f t="shared" si="23"/>
        <v>225.22256102008953</v>
      </c>
      <c r="U80" s="319">
        <f t="shared" si="23"/>
        <v>69.708818112859475</v>
      </c>
      <c r="V80" s="320">
        <f t="shared" si="23"/>
        <v>63.805134161923569</v>
      </c>
      <c r="W80" s="248">
        <f t="shared" si="22"/>
        <v>151.32030240758033</v>
      </c>
      <c r="X80" s="321">
        <f t="shared" si="22"/>
        <v>105.67853705486043</v>
      </c>
      <c r="Y80" s="322">
        <f t="shared" si="22"/>
        <v>109.28961748633878</v>
      </c>
      <c r="Z80" s="322">
        <f t="shared" si="22"/>
        <v>100</v>
      </c>
      <c r="AA80" s="322">
        <f t="shared" si="22"/>
        <v>100</v>
      </c>
      <c r="AB80" s="322">
        <f t="shared" si="22"/>
        <v>100</v>
      </c>
      <c r="AC80" s="322">
        <f t="shared" si="22"/>
        <v>100</v>
      </c>
      <c r="AD80" s="322">
        <f t="shared" si="11"/>
        <v>118.58333333333336</v>
      </c>
      <c r="AE80" s="322">
        <f t="shared" si="11"/>
        <v>118.55235418130709</v>
      </c>
      <c r="AF80" s="322">
        <f t="shared" si="11"/>
        <v>118.55364552459989</v>
      </c>
      <c r="AG80" s="323">
        <f t="shared" si="11"/>
        <v>100</v>
      </c>
      <c r="AI80" s="247">
        <f t="shared" si="26"/>
        <v>1.313377</v>
      </c>
      <c r="AJ80" s="248">
        <f t="shared" si="27"/>
        <v>291.28065910987544</v>
      </c>
      <c r="AK80" s="249">
        <f t="shared" si="28"/>
        <v>110.20724601488115</v>
      </c>
    </row>
    <row r="81" spans="1:37">
      <c r="A81" s="185" t="s">
        <v>307</v>
      </c>
      <c r="B81" s="324" t="s">
        <v>302</v>
      </c>
      <c r="C81" s="252">
        <v>11.481212000000003</v>
      </c>
      <c r="D81" s="253">
        <v>15.349359</v>
      </c>
      <c r="E81" s="254">
        <v>18.644147999999998</v>
      </c>
      <c r="F81" s="255">
        <v>16.114436000000005</v>
      </c>
      <c r="G81" s="256">
        <v>18.158383000000001</v>
      </c>
      <c r="H81" s="257">
        <v>19.033236000000002</v>
      </c>
      <c r="I81" s="258">
        <v>20.004999999999995</v>
      </c>
      <c r="J81" s="254">
        <v>24.681999999999999</v>
      </c>
      <c r="K81" s="254">
        <v>25.243999999999996</v>
      </c>
      <c r="L81" s="254">
        <v>28.220000000000027</v>
      </c>
      <c r="M81" s="254">
        <v>33.230000000000004</v>
      </c>
      <c r="N81" s="254">
        <v>33.230000000000004</v>
      </c>
      <c r="O81" s="254">
        <v>33.720000000000006</v>
      </c>
      <c r="P81" s="254">
        <v>34.269999999999996</v>
      </c>
      <c r="Q81" s="254">
        <v>35</v>
      </c>
      <c r="R81" s="254">
        <v>35</v>
      </c>
      <c r="S81" s="325">
        <f t="shared" si="23"/>
        <v>133.69110334344489</v>
      </c>
      <c r="T81" s="326">
        <f t="shared" si="23"/>
        <v>121.46531982215021</v>
      </c>
      <c r="U81" s="326">
        <f t="shared" si="23"/>
        <v>86.431603096049258</v>
      </c>
      <c r="V81" s="327">
        <f t="shared" si="23"/>
        <v>112.68394996883538</v>
      </c>
      <c r="W81" s="267">
        <f t="shared" si="22"/>
        <v>104.81790146182071</v>
      </c>
      <c r="X81" s="328">
        <f t="shared" si="22"/>
        <v>105.10561630192572</v>
      </c>
      <c r="Y81" s="329">
        <f t="shared" si="22"/>
        <v>123.37915521119723</v>
      </c>
      <c r="Z81" s="329">
        <f t="shared" si="22"/>
        <v>102.27696296896522</v>
      </c>
      <c r="AA81" s="329">
        <f t="shared" si="22"/>
        <v>111.78893994612594</v>
      </c>
      <c r="AB81" s="329">
        <f t="shared" si="22"/>
        <v>117.75336640680358</v>
      </c>
      <c r="AC81" s="329">
        <f t="shared" si="22"/>
        <v>100</v>
      </c>
      <c r="AD81" s="329">
        <f t="shared" si="11"/>
        <v>101.47457117062895</v>
      </c>
      <c r="AE81" s="329">
        <f t="shared" si="11"/>
        <v>101.63107947805455</v>
      </c>
      <c r="AF81" s="329">
        <f t="shared" si="11"/>
        <v>102.13014298220018</v>
      </c>
      <c r="AG81" s="330">
        <f t="shared" si="11"/>
        <v>100</v>
      </c>
      <c r="AI81" s="266">
        <f t="shared" si="26"/>
        <v>16.841616999999999</v>
      </c>
      <c r="AJ81" s="267">
        <f t="shared" si="27"/>
        <v>192.74844021078309</v>
      </c>
      <c r="AK81" s="268">
        <f t="shared" si="28"/>
        <v>106.14713119372188</v>
      </c>
    </row>
    <row r="82" spans="1:37" ht="15" thickBot="1">
      <c r="A82" s="185" t="s">
        <v>307</v>
      </c>
      <c r="B82" s="331" t="s">
        <v>303</v>
      </c>
      <c r="C82" s="270">
        <v>9.8680190000000003</v>
      </c>
      <c r="D82" s="271">
        <v>13.212969000000001</v>
      </c>
      <c r="E82" s="272">
        <v>15.262896</v>
      </c>
      <c r="F82" s="273">
        <v>13.191319</v>
      </c>
      <c r="G82" s="274">
        <v>14.908671999999999</v>
      </c>
      <c r="H82" s="275">
        <v>14.819368999999998</v>
      </c>
      <c r="I82" s="276">
        <v>15.795999999999999</v>
      </c>
      <c r="J82" s="272">
        <v>19.173999999999999</v>
      </c>
      <c r="K82" s="272">
        <v>19.437999999999999</v>
      </c>
      <c r="L82" s="272">
        <v>22</v>
      </c>
      <c r="M82" s="272">
        <v>26.6</v>
      </c>
      <c r="N82" s="272">
        <v>26.6</v>
      </c>
      <c r="O82" s="272">
        <v>26.733000000000001</v>
      </c>
      <c r="P82" s="272">
        <v>26.866</v>
      </c>
      <c r="Q82" s="272">
        <v>27</v>
      </c>
      <c r="R82" s="272">
        <v>27</v>
      </c>
      <c r="S82" s="332">
        <f>D82/C82*100</f>
        <v>133.89687433718967</v>
      </c>
      <c r="T82" s="333">
        <f>E82/D82*100</f>
        <v>115.51450699687555</v>
      </c>
      <c r="U82" s="333">
        <f t="shared" si="23"/>
        <v>86.42736607784002</v>
      </c>
      <c r="V82" s="334">
        <f t="shared" si="23"/>
        <v>113.01881184133291</v>
      </c>
      <c r="W82" s="285">
        <f t="shared" si="23"/>
        <v>99.400999632965295</v>
      </c>
      <c r="X82" s="335">
        <f t="shared" si="23"/>
        <v>106.59023336283752</v>
      </c>
      <c r="Y82" s="336">
        <f t="shared" si="23"/>
        <v>121.38516080020258</v>
      </c>
      <c r="Z82" s="336">
        <f t="shared" si="23"/>
        <v>101.37686450401586</v>
      </c>
      <c r="AA82" s="336">
        <f t="shared" si="23"/>
        <v>113.18036835065337</v>
      </c>
      <c r="AB82" s="336">
        <f t="shared" si="22"/>
        <v>120.90909090909092</v>
      </c>
      <c r="AC82" s="336">
        <f t="shared" si="22"/>
        <v>100</v>
      </c>
      <c r="AD82" s="336">
        <f t="shared" si="11"/>
        <v>100.49999999999999</v>
      </c>
      <c r="AE82" s="336">
        <f t="shared" si="11"/>
        <v>100.49751243781093</v>
      </c>
      <c r="AF82" s="336">
        <f t="shared" si="11"/>
        <v>100.49877168167944</v>
      </c>
      <c r="AG82" s="337">
        <f t="shared" si="11"/>
        <v>100</v>
      </c>
      <c r="AI82" s="284">
        <f t="shared" si="26"/>
        <v>12.091328000000001</v>
      </c>
      <c r="AJ82" s="285">
        <f t="shared" si="27"/>
        <v>181.10264951834745</v>
      </c>
      <c r="AK82" s="286">
        <f t="shared" si="28"/>
        <v>105.54744128374611</v>
      </c>
    </row>
    <row r="83" spans="1:37" ht="27.75" customHeight="1">
      <c r="C83" s="338"/>
      <c r="D83" s="338"/>
      <c r="E83" s="338"/>
      <c r="F83" s="338"/>
      <c r="G83" s="338"/>
      <c r="H83" s="338"/>
      <c r="I83" s="338"/>
      <c r="J83" s="338"/>
      <c r="K83" s="338"/>
      <c r="L83" s="347"/>
      <c r="M83" s="347"/>
      <c r="N83" s="347"/>
      <c r="O83" s="347"/>
      <c r="P83" s="347"/>
      <c r="Q83" s="347"/>
      <c r="R83" s="347"/>
    </row>
    <row r="84" spans="1:37">
      <c r="C84" s="338"/>
      <c r="D84" s="338"/>
      <c r="E84" s="338"/>
      <c r="F84" s="338"/>
      <c r="G84" s="338"/>
      <c r="H84" s="338"/>
      <c r="I84" s="338"/>
      <c r="J84" s="338"/>
      <c r="K84" s="338"/>
      <c r="L84" s="338"/>
      <c r="M84" s="338"/>
      <c r="N84" s="338"/>
      <c r="O84" s="338"/>
      <c r="P84" s="338"/>
      <c r="Q84" s="338"/>
      <c r="R84" s="338"/>
    </row>
  </sheetData>
  <autoFilter ref="A4:AN82"/>
  <mergeCells count="7">
    <mergeCell ref="AK3:AK4"/>
    <mergeCell ref="B3:B4"/>
    <mergeCell ref="C3:G3"/>
    <mergeCell ref="H3:R3"/>
    <mergeCell ref="S3:AG3"/>
    <mergeCell ref="AI3:AI4"/>
    <mergeCell ref="AJ3:AJ4"/>
  </mergeCells>
  <printOptions horizontalCentered="1"/>
  <pageMargins left="0" right="0" top="0.35433070866141736" bottom="0.15748031496062992" header="0.31496062992125984" footer="0.31496062992125984"/>
  <pageSetup paperSize="8" scale="44" fitToHeight="2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>
    <pageSetUpPr fitToPage="1"/>
  </sheetPr>
  <dimension ref="A1:GP34"/>
  <sheetViews>
    <sheetView zoomScale="55" zoomScaleNormal="55" workbookViewId="0">
      <pane xSplit="5" ySplit="3" topLeftCell="AG4" activePane="bottomRight" state="frozen"/>
      <selection pane="topRight" activeCell="E1" sqref="E1"/>
      <selection pane="bottomLeft" activeCell="A4" sqref="A4"/>
      <selection pane="bottomRight" activeCell="M17" sqref="M17:M18"/>
    </sheetView>
  </sheetViews>
  <sheetFormatPr defaultRowHeight="14.6" outlineLevelCol="1"/>
  <cols>
    <col min="1" max="1" width="49.53515625" hidden="1" customWidth="1" outlineLevel="1"/>
    <col min="2" max="2" width="8.84375" customWidth="1" collapsed="1"/>
    <col min="3" max="3" width="20.69140625" customWidth="1"/>
    <col min="4" max="4" width="10.3828125" customWidth="1"/>
    <col min="5" max="5" width="19" customWidth="1"/>
    <col min="6" max="6" width="38.84375" customWidth="1"/>
    <col min="7" max="8" width="9.15234375" customWidth="1"/>
    <col min="9" max="10" width="24.3828125" customWidth="1"/>
    <col min="11" max="11" width="16.3046875" customWidth="1"/>
    <col min="12" max="12" width="11.3046875" customWidth="1"/>
    <col min="13" max="13" width="11.3828125" customWidth="1"/>
    <col min="14" max="14" width="18.53515625" customWidth="1"/>
    <col min="15" max="15" width="17.69140625" customWidth="1"/>
    <col min="16" max="16" width="15.3828125" style="6" customWidth="1"/>
    <col min="17" max="17" width="30.15234375" customWidth="1"/>
    <col min="18" max="23" width="27.3046875" customWidth="1"/>
    <col min="24" max="24" width="16.3828125" customWidth="1"/>
    <col min="25" max="28" width="20.53515625" customWidth="1"/>
    <col min="29" max="29" width="28.53515625" customWidth="1"/>
    <col min="30" max="30" width="16.15234375" customWidth="1"/>
    <col min="31" max="31" width="23.53515625" customWidth="1"/>
    <col min="32" max="32" width="16.3828125" customWidth="1"/>
    <col min="33" max="33" width="14.69140625" customWidth="1"/>
    <col min="34" max="34" width="12.84375" customWidth="1"/>
    <col min="35" max="35" width="19.15234375" customWidth="1"/>
    <col min="36" max="37" width="22" customWidth="1"/>
    <col min="38" max="38" width="25.84375" customWidth="1"/>
    <col min="39" max="39" width="18.84375" customWidth="1"/>
    <col min="40" max="40" width="22.3046875" customWidth="1"/>
    <col min="41" max="41" width="21.15234375" customWidth="1"/>
    <col min="42" max="42" width="19.3828125" customWidth="1"/>
    <col min="43" max="43" width="19.69140625" customWidth="1"/>
    <col min="44" max="44" width="21.69140625" customWidth="1"/>
    <col min="45" max="45" width="30.84375" style="33" customWidth="1"/>
    <col min="46" max="46" width="18.53515625" customWidth="1"/>
  </cols>
  <sheetData>
    <row r="1" spans="1:198">
      <c r="AO1" s="109">
        <v>0.36299999999999999</v>
      </c>
    </row>
    <row r="2" spans="1:198" ht="34" customHeight="1">
      <c r="B2" s="425" t="s">
        <v>159</v>
      </c>
      <c r="C2" s="426"/>
      <c r="D2" s="426"/>
      <c r="E2" s="426"/>
      <c r="F2" s="426"/>
      <c r="G2" s="426"/>
      <c r="H2" s="426"/>
      <c r="I2" s="426"/>
      <c r="J2" s="426"/>
      <c r="K2" s="426"/>
      <c r="L2" s="426"/>
      <c r="M2" s="426"/>
      <c r="N2" s="426"/>
      <c r="O2" s="426"/>
      <c r="P2" s="426"/>
      <c r="Q2" s="426"/>
      <c r="R2" s="426"/>
      <c r="S2" s="426"/>
      <c r="T2" s="426"/>
      <c r="U2" s="426"/>
      <c r="V2" s="426"/>
      <c r="W2" s="427"/>
      <c r="X2" s="428" t="s">
        <v>205</v>
      </c>
      <c r="Y2" s="429"/>
      <c r="Z2" s="429"/>
      <c r="AA2" s="429"/>
      <c r="AB2" s="430"/>
      <c r="AC2" s="457" t="s">
        <v>207</v>
      </c>
      <c r="AD2" s="457"/>
      <c r="AE2" s="457"/>
      <c r="AF2" s="457"/>
      <c r="AG2" s="457"/>
      <c r="AH2" s="457"/>
      <c r="AI2" s="457"/>
      <c r="AJ2" s="457"/>
      <c r="AK2" s="457"/>
      <c r="AL2" s="457"/>
      <c r="AM2" s="457"/>
      <c r="AN2" s="457"/>
      <c r="AO2" s="457"/>
      <c r="AP2" s="457"/>
      <c r="AQ2" s="457"/>
      <c r="AR2" s="457"/>
      <c r="AS2" s="456" t="s">
        <v>204</v>
      </c>
      <c r="AT2" s="423" t="s">
        <v>201</v>
      </c>
      <c r="AU2" s="455" t="s">
        <v>186</v>
      </c>
      <c r="AV2" s="455"/>
      <c r="AW2" s="455"/>
      <c r="AX2" s="455"/>
      <c r="AY2" s="455"/>
      <c r="AZ2" s="455"/>
      <c r="BA2" s="455"/>
      <c r="BB2" s="455"/>
      <c r="BC2" s="455"/>
      <c r="BD2" s="455"/>
      <c r="BE2" s="455"/>
      <c r="BF2" s="455"/>
      <c r="BG2" s="455"/>
      <c r="BH2" s="455"/>
      <c r="BI2" s="455"/>
      <c r="BJ2" s="455"/>
      <c r="BK2" s="455"/>
      <c r="BL2" s="455"/>
      <c r="BM2" s="455"/>
      <c r="BN2" s="455"/>
      <c r="BO2" s="455"/>
      <c r="BP2" s="455"/>
      <c r="BQ2" s="455"/>
      <c r="BR2" s="455"/>
      <c r="BS2" s="455"/>
      <c r="BT2" s="455"/>
      <c r="BU2" s="455"/>
      <c r="BV2" s="455"/>
      <c r="BW2" s="455"/>
      <c r="BX2" s="455"/>
      <c r="BY2" s="455"/>
      <c r="BZ2" s="455"/>
      <c r="CA2" s="455"/>
      <c r="CB2" s="455"/>
      <c r="CC2" s="455"/>
      <c r="CD2" s="455"/>
      <c r="CE2" s="455"/>
      <c r="CF2" s="455"/>
      <c r="CG2" s="455"/>
      <c r="CH2" s="455"/>
      <c r="CI2" s="455"/>
      <c r="CJ2" s="455"/>
      <c r="CK2" s="455"/>
      <c r="CL2" s="455"/>
      <c r="CM2" s="455"/>
      <c r="CN2" s="455"/>
      <c r="CO2" s="455"/>
      <c r="CP2" s="455"/>
      <c r="CQ2" s="455"/>
      <c r="CR2" s="455"/>
      <c r="CS2" s="455"/>
      <c r="CT2" s="455"/>
      <c r="CU2" s="455"/>
      <c r="CV2" s="455"/>
      <c r="CW2" s="455"/>
      <c r="CX2" s="455"/>
      <c r="CY2" s="455"/>
      <c r="CZ2" s="455"/>
      <c r="DA2" s="455"/>
      <c r="DB2" s="455"/>
      <c r="DC2" s="455"/>
      <c r="DD2" s="455"/>
      <c r="DE2" s="455"/>
      <c r="DF2" s="455"/>
      <c r="DG2" s="455"/>
      <c r="DH2" s="455"/>
      <c r="DI2" s="455"/>
      <c r="DJ2" s="455"/>
      <c r="DK2" s="455"/>
      <c r="DL2" s="455"/>
      <c r="DM2" s="455"/>
      <c r="DN2" s="455"/>
      <c r="DO2" s="455"/>
      <c r="DP2" s="455"/>
      <c r="DQ2" s="455"/>
      <c r="DR2" s="455"/>
      <c r="DS2" s="455"/>
      <c r="DT2" s="455"/>
      <c r="DU2" s="455"/>
      <c r="DV2" s="455"/>
      <c r="DW2" s="455"/>
      <c r="DX2" s="455"/>
      <c r="DY2" s="455"/>
      <c r="DZ2" s="455"/>
      <c r="EA2" s="455"/>
      <c r="EB2" s="455"/>
      <c r="EC2" s="455"/>
      <c r="ED2" s="455"/>
      <c r="EE2" s="455"/>
      <c r="EF2" s="455"/>
      <c r="EG2" s="455"/>
      <c r="EH2" s="455"/>
      <c r="EI2" s="455"/>
      <c r="EJ2" s="455"/>
      <c r="EK2" s="455"/>
      <c r="EL2" s="455"/>
      <c r="EM2" s="455"/>
      <c r="EN2" s="455"/>
      <c r="EO2" s="455"/>
      <c r="EP2" s="455"/>
      <c r="EQ2" s="455"/>
      <c r="ER2" s="455"/>
      <c r="ES2" s="455"/>
      <c r="ET2" s="455"/>
      <c r="EU2" s="455"/>
      <c r="EV2" s="455"/>
      <c r="EW2" s="455"/>
      <c r="EX2" s="455"/>
      <c r="EY2" s="455"/>
      <c r="EZ2" s="455"/>
      <c r="FA2" s="455"/>
      <c r="FB2" s="455"/>
      <c r="FC2" s="455"/>
      <c r="FD2" s="455"/>
      <c r="FE2" s="455"/>
      <c r="FF2" s="455"/>
      <c r="FG2" s="455"/>
      <c r="FH2" s="455"/>
      <c r="FI2" s="455"/>
      <c r="FJ2" s="455"/>
      <c r="FK2" s="455"/>
      <c r="FL2" s="455"/>
      <c r="FM2" s="455"/>
      <c r="FN2" s="455"/>
      <c r="FO2" s="455"/>
      <c r="FP2" s="455"/>
      <c r="FQ2" s="455"/>
      <c r="FR2" s="455"/>
      <c r="FS2" s="455"/>
      <c r="FT2" s="455"/>
      <c r="FU2" s="455"/>
      <c r="FV2" s="455"/>
      <c r="FW2" s="455"/>
      <c r="FX2" s="455"/>
      <c r="FY2" s="455"/>
      <c r="FZ2" s="455"/>
      <c r="GA2" s="455"/>
      <c r="GB2" s="455"/>
      <c r="GC2" s="455"/>
      <c r="GD2" s="455"/>
      <c r="GE2" s="455"/>
      <c r="GF2" s="455"/>
      <c r="GG2" s="455"/>
      <c r="GH2" s="455"/>
      <c r="GI2" s="455"/>
      <c r="GJ2" s="455"/>
      <c r="GK2" s="455"/>
      <c r="GL2" s="455"/>
      <c r="GM2" s="455"/>
      <c r="GN2" s="455"/>
      <c r="GO2" s="455"/>
    </row>
    <row r="3" spans="1:198" ht="116.7" customHeight="1">
      <c r="A3" t="s">
        <v>236</v>
      </c>
      <c r="B3" s="30" t="s">
        <v>0</v>
      </c>
      <c r="C3" s="31" t="s">
        <v>1</v>
      </c>
      <c r="D3" s="31" t="s">
        <v>2</v>
      </c>
      <c r="E3" s="31" t="s">
        <v>3</v>
      </c>
      <c r="F3" s="31" t="s">
        <v>4</v>
      </c>
      <c r="G3" s="31" t="s">
        <v>5</v>
      </c>
      <c r="H3" s="31" t="s">
        <v>6</v>
      </c>
      <c r="I3" s="31" t="s">
        <v>7</v>
      </c>
      <c r="J3" s="31" t="s">
        <v>8</v>
      </c>
      <c r="K3" s="31" t="s">
        <v>142</v>
      </c>
      <c r="L3" s="31" t="s">
        <v>9</v>
      </c>
      <c r="M3" s="31" t="s">
        <v>10</v>
      </c>
      <c r="N3" s="31" t="s">
        <v>11</v>
      </c>
      <c r="O3" s="31" t="s">
        <v>12</v>
      </c>
      <c r="P3" s="31" t="s">
        <v>13</v>
      </c>
      <c r="Q3" s="31" t="s">
        <v>14</v>
      </c>
      <c r="R3" s="48" t="s">
        <v>15</v>
      </c>
      <c r="S3" s="52" t="s">
        <v>209</v>
      </c>
      <c r="T3" s="53" t="s">
        <v>210</v>
      </c>
      <c r="U3" s="52" t="s">
        <v>211</v>
      </c>
      <c r="V3" s="54" t="s">
        <v>212</v>
      </c>
      <c r="W3" s="53" t="s">
        <v>213</v>
      </c>
      <c r="X3" s="37" t="s">
        <v>160</v>
      </c>
      <c r="Y3" s="37" t="s">
        <v>162</v>
      </c>
      <c r="Z3" s="38" t="s">
        <v>164</v>
      </c>
      <c r="AA3" s="38" t="s">
        <v>165</v>
      </c>
      <c r="AB3" s="38" t="s">
        <v>206</v>
      </c>
      <c r="AC3" s="39" t="s">
        <v>143</v>
      </c>
      <c r="AD3" s="39" t="s">
        <v>144</v>
      </c>
      <c r="AE3" s="39" t="s">
        <v>145</v>
      </c>
      <c r="AF3" s="40" t="s">
        <v>146</v>
      </c>
      <c r="AG3" s="41" t="s">
        <v>147</v>
      </c>
      <c r="AH3" s="32" t="s">
        <v>148</v>
      </c>
      <c r="AI3" s="43" t="s">
        <v>149</v>
      </c>
      <c r="AJ3" s="42" t="s">
        <v>150</v>
      </c>
      <c r="AK3" s="32" t="s">
        <v>151</v>
      </c>
      <c r="AL3" s="32" t="s">
        <v>152</v>
      </c>
      <c r="AM3" s="32" t="s">
        <v>153</v>
      </c>
      <c r="AN3" s="32" t="s">
        <v>154</v>
      </c>
      <c r="AO3" s="44" t="s">
        <v>155</v>
      </c>
      <c r="AP3" s="32" t="s">
        <v>156</v>
      </c>
      <c r="AQ3" s="32" t="s">
        <v>157</v>
      </c>
      <c r="AR3" s="32" t="s">
        <v>158</v>
      </c>
      <c r="AS3" s="456"/>
      <c r="AT3" s="423"/>
      <c r="AU3" s="17">
        <v>-0.25</v>
      </c>
      <c r="AV3" s="17">
        <v>-0.245</v>
      </c>
      <c r="AW3" s="17">
        <v>-0.24</v>
      </c>
      <c r="AX3" s="17">
        <v>-0.23499999999999999</v>
      </c>
      <c r="AY3" s="17">
        <v>-0.23</v>
      </c>
      <c r="AZ3" s="17">
        <v>-0.22500000000000001</v>
      </c>
      <c r="BA3" s="17">
        <v>-0.22</v>
      </c>
      <c r="BB3" s="17">
        <v>-0.215</v>
      </c>
      <c r="BC3" s="17">
        <v>-0.21</v>
      </c>
      <c r="BD3" s="17">
        <v>-0.20499999999999999</v>
      </c>
      <c r="BE3" s="17">
        <v>-0.2</v>
      </c>
      <c r="BF3" s="17">
        <v>-0.19500000000000001</v>
      </c>
      <c r="BG3" s="17">
        <v>-0.19</v>
      </c>
      <c r="BH3" s="17">
        <v>-0.185</v>
      </c>
      <c r="BI3" s="17">
        <v>-0.18</v>
      </c>
      <c r="BJ3" s="17">
        <v>-0.17499999999999999</v>
      </c>
      <c r="BK3" s="17">
        <v>-0.17</v>
      </c>
      <c r="BL3" s="17">
        <v>-0.16500000000000001</v>
      </c>
      <c r="BM3" s="17">
        <v>-0.16</v>
      </c>
      <c r="BN3" s="17">
        <v>-0.155</v>
      </c>
      <c r="BO3" s="17">
        <v>-0.15</v>
      </c>
      <c r="BP3" s="17">
        <v>-0.14499999999999999</v>
      </c>
      <c r="BQ3" s="17">
        <v>-0.14000000000000001</v>
      </c>
      <c r="BR3" s="17">
        <v>-0.13500000000000001</v>
      </c>
      <c r="BS3" s="17">
        <v>-0.13</v>
      </c>
      <c r="BT3" s="17">
        <v>-0.125</v>
      </c>
      <c r="BU3" s="17">
        <v>-0.12</v>
      </c>
      <c r="BV3" s="17">
        <v>-0.115</v>
      </c>
      <c r="BW3" s="17">
        <v>-0.11</v>
      </c>
      <c r="BX3" s="17">
        <v>-0.105</v>
      </c>
      <c r="BY3" s="17">
        <v>-0.1</v>
      </c>
      <c r="BZ3" s="17">
        <v>-9.5000000000000001E-2</v>
      </c>
      <c r="CA3" s="17">
        <v>-0.09</v>
      </c>
      <c r="CB3" s="17">
        <v>-8.5000000000000006E-2</v>
      </c>
      <c r="CC3" s="17">
        <v>-0.08</v>
      </c>
      <c r="CD3" s="17">
        <v>-7.4999999999999997E-2</v>
      </c>
      <c r="CE3" s="17">
        <v>-7.0000000000000007E-2</v>
      </c>
      <c r="CF3" s="17">
        <v>-6.5000000000000002E-2</v>
      </c>
      <c r="CG3" s="17">
        <v>-0.06</v>
      </c>
      <c r="CH3" s="17">
        <v>-5.5E-2</v>
      </c>
      <c r="CI3" s="17">
        <v>-0.05</v>
      </c>
      <c r="CJ3" s="17">
        <v>-4.4999999999999998E-2</v>
      </c>
      <c r="CK3" s="17">
        <v>-0.04</v>
      </c>
      <c r="CL3" s="17">
        <v>-3.5000000000000003E-2</v>
      </c>
      <c r="CM3" s="17">
        <v>-0.03</v>
      </c>
      <c r="CN3" s="17">
        <v>-2.5000000000000001E-2</v>
      </c>
      <c r="CO3" s="17">
        <v>-0.02</v>
      </c>
      <c r="CP3" s="17">
        <v>-1.4999999999999999E-2</v>
      </c>
      <c r="CQ3" s="17">
        <v>-0.01</v>
      </c>
      <c r="CR3" s="17">
        <v>-5.0000000000000001E-3</v>
      </c>
      <c r="CS3" s="21">
        <v>0</v>
      </c>
      <c r="CT3" s="17">
        <v>5.0000000000000001E-3</v>
      </c>
      <c r="CU3" s="17">
        <v>0.01</v>
      </c>
      <c r="CV3" s="17">
        <v>1.4999999999999999E-2</v>
      </c>
      <c r="CW3" s="17">
        <v>0.02</v>
      </c>
      <c r="CX3" s="17">
        <v>2.5000000000000001E-2</v>
      </c>
      <c r="CY3" s="17">
        <v>0.03</v>
      </c>
      <c r="CZ3" s="17">
        <v>3.5000000000000003E-2</v>
      </c>
      <c r="DA3" s="17">
        <v>0.04</v>
      </c>
      <c r="DB3" s="17">
        <v>4.4999999999999998E-2</v>
      </c>
      <c r="DC3" s="17">
        <v>0.05</v>
      </c>
      <c r="DD3" s="17">
        <v>5.5E-2</v>
      </c>
      <c r="DE3" s="17">
        <v>0.06</v>
      </c>
      <c r="DF3" s="17">
        <v>6.5000000000000002E-2</v>
      </c>
      <c r="DG3" s="17">
        <v>7.0000000000000007E-2</v>
      </c>
      <c r="DH3" s="17">
        <v>7.4999999999999997E-2</v>
      </c>
      <c r="DI3" s="17">
        <v>0.08</v>
      </c>
      <c r="DJ3" s="17">
        <v>8.5000000000000006E-2</v>
      </c>
      <c r="DK3" s="17">
        <v>0.09</v>
      </c>
      <c r="DL3" s="17">
        <v>9.5000000000000001E-2</v>
      </c>
      <c r="DM3" s="17">
        <v>0.1</v>
      </c>
      <c r="DN3" s="17">
        <v>0.105</v>
      </c>
      <c r="DO3" s="17">
        <v>0.11</v>
      </c>
      <c r="DP3" s="17">
        <v>0.115</v>
      </c>
      <c r="DQ3" s="17">
        <v>0.12</v>
      </c>
      <c r="DR3" s="17">
        <v>0.125</v>
      </c>
      <c r="DS3" s="17">
        <v>0.13</v>
      </c>
      <c r="DT3" s="17">
        <v>0.13500000000000001</v>
      </c>
      <c r="DU3" s="17">
        <v>0.14000000000000001</v>
      </c>
      <c r="DV3" s="17">
        <v>0.14499999999999999</v>
      </c>
      <c r="DW3" s="17">
        <v>0.15</v>
      </c>
      <c r="DX3" s="17">
        <v>0.155</v>
      </c>
      <c r="DY3" s="17">
        <v>0.16</v>
      </c>
      <c r="DZ3" s="17">
        <v>0.16500000000000001</v>
      </c>
      <c r="EA3" s="17">
        <v>0.17</v>
      </c>
      <c r="EB3" s="17">
        <v>0.17499999999999999</v>
      </c>
      <c r="EC3" s="17">
        <v>0.18</v>
      </c>
      <c r="ED3" s="17">
        <v>0.185</v>
      </c>
      <c r="EE3" s="17">
        <v>0.19</v>
      </c>
      <c r="EF3" s="17">
        <v>0.19500000000000001</v>
      </c>
      <c r="EG3" s="17">
        <v>0.2</v>
      </c>
      <c r="EH3" s="17">
        <v>0.20499999999999999</v>
      </c>
      <c r="EI3" s="17">
        <v>0.21</v>
      </c>
      <c r="EJ3" s="17">
        <v>0.215</v>
      </c>
      <c r="EK3" s="17">
        <v>0.22</v>
      </c>
      <c r="EL3" s="17">
        <v>0.22500000000000001</v>
      </c>
      <c r="EM3" s="17">
        <v>0.23</v>
      </c>
      <c r="EN3" s="17">
        <v>0.23499999999999999</v>
      </c>
      <c r="EO3" s="17">
        <v>0.24</v>
      </c>
      <c r="EP3" s="17">
        <v>0.245</v>
      </c>
      <c r="EQ3" s="17">
        <v>0.25</v>
      </c>
      <c r="ER3" s="17">
        <v>0.255</v>
      </c>
      <c r="ES3" s="17">
        <v>0.26</v>
      </c>
      <c r="ET3" s="17">
        <v>0.26500000000000001</v>
      </c>
      <c r="EU3" s="17">
        <v>0.27</v>
      </c>
      <c r="EV3" s="17">
        <v>0.27500000000000002</v>
      </c>
      <c r="EW3" s="17">
        <v>0.28000000000000003</v>
      </c>
      <c r="EX3" s="17">
        <v>0.28499999999999998</v>
      </c>
      <c r="EY3" s="17">
        <v>0.28999999999999998</v>
      </c>
      <c r="EZ3" s="17">
        <v>0.29499999999999998</v>
      </c>
      <c r="FA3" s="17">
        <v>0.3</v>
      </c>
      <c r="FB3" s="17">
        <v>0.30499999999999999</v>
      </c>
      <c r="FC3" s="17">
        <v>0.31</v>
      </c>
      <c r="FD3" s="17">
        <v>0.315</v>
      </c>
      <c r="FE3" s="17">
        <v>0.32</v>
      </c>
      <c r="FF3" s="17">
        <v>0.32500000000000001</v>
      </c>
      <c r="FG3" s="17">
        <v>0.33</v>
      </c>
      <c r="FH3" s="17">
        <v>0.33500000000000002</v>
      </c>
      <c r="FI3" s="17">
        <v>0.34</v>
      </c>
      <c r="FJ3" s="17">
        <v>0.34499999999999997</v>
      </c>
      <c r="FK3" s="17">
        <v>0.35</v>
      </c>
      <c r="FL3" s="17">
        <v>0.35499999999999998</v>
      </c>
      <c r="FM3" s="17">
        <v>0.36</v>
      </c>
      <c r="FN3" s="17">
        <v>0.36499999999999999</v>
      </c>
      <c r="FO3" s="17">
        <v>0.37</v>
      </c>
      <c r="FP3" s="17">
        <v>0.375</v>
      </c>
      <c r="FQ3" s="17">
        <v>0.38</v>
      </c>
      <c r="FR3" s="17">
        <v>0.38500000000000001</v>
      </c>
      <c r="FS3" s="17">
        <v>0.39</v>
      </c>
      <c r="FT3" s="17">
        <v>0.39500000000000002</v>
      </c>
      <c r="FU3" s="17">
        <v>0.4</v>
      </c>
      <c r="FV3" s="17">
        <v>0.40500000000000003</v>
      </c>
      <c r="FW3" s="17">
        <v>0.41</v>
      </c>
      <c r="FX3" s="17">
        <v>0.41499999999999998</v>
      </c>
      <c r="FY3" s="17">
        <v>0.42</v>
      </c>
      <c r="FZ3" s="17">
        <v>0.42499999999999999</v>
      </c>
      <c r="GA3" s="17">
        <v>0.43</v>
      </c>
      <c r="GB3" s="17">
        <v>0.435</v>
      </c>
      <c r="GC3" s="17">
        <v>0.44</v>
      </c>
      <c r="GD3" s="17">
        <v>0.44500000000000001</v>
      </c>
      <c r="GE3" s="17">
        <v>0.45</v>
      </c>
      <c r="GF3" s="17">
        <v>0.45500000000000002</v>
      </c>
      <c r="GG3" s="17">
        <v>0.46</v>
      </c>
      <c r="GH3" s="17">
        <v>0.46500000000000002</v>
      </c>
      <c r="GI3" s="17">
        <v>0.47</v>
      </c>
      <c r="GJ3" s="17">
        <v>0.47499999999999998</v>
      </c>
      <c r="GK3" s="17">
        <v>0.48</v>
      </c>
      <c r="GL3" s="17">
        <v>0.48499999999999999</v>
      </c>
      <c r="GM3" s="17">
        <v>0.49</v>
      </c>
      <c r="GN3" s="17">
        <v>0.495</v>
      </c>
      <c r="GO3" s="17">
        <v>0.5</v>
      </c>
      <c r="GP3" s="109">
        <v>0.49399999999999999</v>
      </c>
    </row>
    <row r="4" spans="1:198" ht="29.15" customHeight="1">
      <c r="B4" s="36">
        <v>1</v>
      </c>
      <c r="C4" s="34" t="s">
        <v>16</v>
      </c>
      <c r="D4" s="1">
        <v>16109</v>
      </c>
      <c r="E4" s="1" t="s">
        <v>37</v>
      </c>
      <c r="F4" s="34" t="s">
        <v>18</v>
      </c>
      <c r="G4" s="34" t="s">
        <v>29</v>
      </c>
      <c r="H4" s="1" t="s">
        <v>29</v>
      </c>
      <c r="I4" s="1" t="s">
        <v>38</v>
      </c>
      <c r="J4" s="1" t="s">
        <v>39</v>
      </c>
      <c r="K4" s="1">
        <v>146</v>
      </c>
      <c r="L4" s="1" t="s">
        <v>22</v>
      </c>
      <c r="M4" s="1" t="s">
        <v>40</v>
      </c>
      <c r="N4" s="1" t="s">
        <v>24</v>
      </c>
      <c r="O4" s="1" t="s">
        <v>25</v>
      </c>
      <c r="P4" s="4">
        <v>81213597</v>
      </c>
      <c r="Q4" s="4" t="s">
        <v>41</v>
      </c>
      <c r="R4" s="1" t="s">
        <v>27</v>
      </c>
      <c r="S4" s="49">
        <v>2221765</v>
      </c>
      <c r="T4" s="45">
        <v>324379201</v>
      </c>
      <c r="U4" s="45">
        <v>31173</v>
      </c>
      <c r="V4" s="45"/>
      <c r="W4" s="51">
        <v>451614471</v>
      </c>
      <c r="X4" s="104">
        <v>75</v>
      </c>
      <c r="Y4" s="104" t="s">
        <v>163</v>
      </c>
      <c r="Z4" s="107">
        <v>3</v>
      </c>
      <c r="AA4" s="107">
        <v>3</v>
      </c>
      <c r="AB4" s="107">
        <v>4</v>
      </c>
      <c r="AC4" s="88">
        <v>208.05</v>
      </c>
      <c r="AD4" s="88">
        <v>64.360000000000014</v>
      </c>
      <c r="AE4" s="88">
        <v>281.19</v>
      </c>
      <c r="AF4" s="89">
        <f>'Цены,перевалка,аренда'!$C$26*SUM(Уголь_эластика_внутр!Z4+Уголь_эластика_внутр!AA4+Уголь_эластика_внутр!AB4)/Уголь_эластика_внутр!X4</f>
        <v>133.33333333333334</v>
      </c>
      <c r="AG4" s="90"/>
      <c r="AH4" s="47"/>
      <c r="AI4" s="91">
        <v>445.5</v>
      </c>
      <c r="AJ4" s="92">
        <f>'Цены,перевалка,аренда'!$D$9</f>
        <v>1750</v>
      </c>
      <c r="AK4" s="47">
        <f>AJ4/'Цены,перевалка,аренда'!$C$1</f>
        <v>22.934126635694675</v>
      </c>
      <c r="AL4" s="47">
        <f t="shared" ref="AL4:AL27" si="0">AE4+AF4+AG4</f>
        <v>414.52333333333331</v>
      </c>
      <c r="AM4" s="47">
        <f t="shared" ref="AM4:AM27" si="1">AJ4-AL4</f>
        <v>1335.4766666666667</v>
      </c>
      <c r="AN4" s="47">
        <f t="shared" ref="AN4:AN18" si="2">AI4+AH4+AG4+AF4+AE4</f>
        <v>860.02333333333331</v>
      </c>
      <c r="AO4" s="93">
        <f t="shared" ref="AO4:AO27" si="3">(AJ4-AN4)/AJ4</f>
        <v>0.50855809523809525</v>
      </c>
      <c r="AP4" s="94">
        <f t="shared" ref="AP4:AP27" si="4">AL4/AJ4</f>
        <v>0.23687047619047619</v>
      </c>
      <c r="AQ4" s="94">
        <f t="shared" ref="AQ4:AQ27" si="5">AE4/AJ4</f>
        <v>0.16067999999999999</v>
      </c>
      <c r="AR4" s="94">
        <f t="shared" ref="AR4:AR27" si="6">AE4/AL4</f>
        <v>0.6783454087827786</v>
      </c>
      <c r="AS4" s="95" t="s">
        <v>190</v>
      </c>
      <c r="AT4" s="35"/>
      <c r="AU4" s="102">
        <v>1</v>
      </c>
      <c r="AV4" s="102">
        <v>1</v>
      </c>
      <c r="AW4" s="102">
        <v>1</v>
      </c>
      <c r="AX4" s="102">
        <v>1</v>
      </c>
      <c r="AY4" s="102">
        <v>1</v>
      </c>
      <c r="AZ4" s="102">
        <v>1</v>
      </c>
      <c r="BA4" s="102">
        <v>1</v>
      </c>
      <c r="BB4" s="102">
        <v>1</v>
      </c>
      <c r="BC4" s="102">
        <v>1</v>
      </c>
      <c r="BD4" s="102">
        <v>1</v>
      </c>
      <c r="BE4" s="102">
        <v>1</v>
      </c>
      <c r="BF4" s="102">
        <v>1</v>
      </c>
      <c r="BG4" s="102">
        <v>1</v>
      </c>
      <c r="BH4" s="102">
        <v>1</v>
      </c>
      <c r="BI4" s="102">
        <v>1</v>
      </c>
      <c r="BJ4" s="102">
        <v>1</v>
      </c>
      <c r="BK4" s="102">
        <v>1</v>
      </c>
      <c r="BL4" s="102">
        <v>1</v>
      </c>
      <c r="BM4" s="102">
        <v>1</v>
      </c>
      <c r="BN4" s="102">
        <v>1</v>
      </c>
      <c r="BO4" s="102">
        <v>1</v>
      </c>
      <c r="BP4" s="102">
        <v>1</v>
      </c>
      <c r="BQ4" s="102">
        <v>1</v>
      </c>
      <c r="BR4" s="102">
        <v>1</v>
      </c>
      <c r="BS4" s="102">
        <v>1</v>
      </c>
      <c r="BT4" s="102">
        <v>1</v>
      </c>
      <c r="BU4" s="102">
        <v>1</v>
      </c>
      <c r="BV4" s="102">
        <v>1</v>
      </c>
      <c r="BW4" s="102">
        <v>1</v>
      </c>
      <c r="BX4" s="102">
        <v>1</v>
      </c>
      <c r="BY4" s="102">
        <v>1</v>
      </c>
      <c r="BZ4" s="102">
        <v>1</v>
      </c>
      <c r="CA4" s="102">
        <v>1</v>
      </c>
      <c r="CB4" s="102">
        <v>1</v>
      </c>
      <c r="CC4" s="102">
        <v>1</v>
      </c>
      <c r="CD4" s="102">
        <v>1</v>
      </c>
      <c r="CE4" s="102">
        <v>1</v>
      </c>
      <c r="CF4" s="102">
        <v>1</v>
      </c>
      <c r="CG4" s="102">
        <v>1</v>
      </c>
      <c r="CH4" s="102">
        <v>1</v>
      </c>
      <c r="CI4" s="102">
        <v>1</v>
      </c>
      <c r="CJ4" s="102">
        <v>1</v>
      </c>
      <c r="CK4" s="102">
        <v>1</v>
      </c>
      <c r="CL4" s="102">
        <v>1</v>
      </c>
      <c r="CM4" s="102">
        <v>1</v>
      </c>
      <c r="CN4" s="102">
        <v>1</v>
      </c>
      <c r="CO4" s="102">
        <v>1</v>
      </c>
      <c r="CP4" s="102">
        <v>1</v>
      </c>
      <c r="CQ4" s="102">
        <v>1</v>
      </c>
      <c r="CR4" s="102">
        <v>1</v>
      </c>
      <c r="CS4" s="103">
        <v>1</v>
      </c>
      <c r="CT4" s="102">
        <v>1</v>
      </c>
      <c r="CU4" s="102">
        <v>1</v>
      </c>
      <c r="CV4" s="102">
        <v>1</v>
      </c>
      <c r="CW4" s="102">
        <v>1</v>
      </c>
      <c r="CX4" s="102">
        <v>1</v>
      </c>
      <c r="CY4" s="102">
        <v>1</v>
      </c>
      <c r="CZ4" s="102">
        <v>1</v>
      </c>
      <c r="DA4" s="102">
        <v>1</v>
      </c>
      <c r="DB4" s="102">
        <v>1</v>
      </c>
      <c r="DC4" s="102">
        <v>1</v>
      </c>
      <c r="DD4" s="102">
        <v>1</v>
      </c>
      <c r="DE4" s="102">
        <v>1</v>
      </c>
      <c r="DF4" s="102">
        <v>1</v>
      </c>
      <c r="DG4" s="102">
        <v>1</v>
      </c>
      <c r="DH4" s="102">
        <v>1</v>
      </c>
      <c r="DI4" s="102">
        <v>1</v>
      </c>
      <c r="DJ4" s="102">
        <v>1</v>
      </c>
      <c r="DK4" s="102">
        <v>1</v>
      </c>
      <c r="DL4" s="102">
        <v>1</v>
      </c>
      <c r="DM4" s="102">
        <v>1</v>
      </c>
      <c r="DN4" s="102">
        <v>1</v>
      </c>
      <c r="DO4" s="102">
        <v>1</v>
      </c>
      <c r="DP4" s="102">
        <v>1</v>
      </c>
      <c r="DQ4" s="102">
        <v>1</v>
      </c>
      <c r="DR4" s="102">
        <v>1</v>
      </c>
      <c r="DS4" s="102">
        <v>1</v>
      </c>
      <c r="DT4" s="102">
        <v>1</v>
      </c>
      <c r="DU4" s="102">
        <v>1</v>
      </c>
      <c r="DV4" s="102">
        <v>1</v>
      </c>
      <c r="DW4" s="102">
        <v>1</v>
      </c>
      <c r="DX4" s="102">
        <v>1</v>
      </c>
      <c r="DY4" s="102">
        <v>1</v>
      </c>
      <c r="DZ4" s="102">
        <v>1</v>
      </c>
      <c r="EA4" s="102">
        <v>1</v>
      </c>
      <c r="EB4" s="102">
        <v>1</v>
      </c>
      <c r="EC4" s="102">
        <v>1</v>
      </c>
      <c r="ED4" s="102">
        <v>1</v>
      </c>
      <c r="EE4" s="102">
        <v>1</v>
      </c>
      <c r="EF4" s="102">
        <v>1</v>
      </c>
      <c r="EG4" s="102">
        <v>1</v>
      </c>
      <c r="EH4" s="102">
        <v>1</v>
      </c>
      <c r="EI4" s="102">
        <v>1</v>
      </c>
      <c r="EJ4" s="102">
        <v>1</v>
      </c>
      <c r="EK4" s="102">
        <v>1</v>
      </c>
      <c r="EL4" s="102">
        <v>1</v>
      </c>
      <c r="EM4" s="102">
        <v>1</v>
      </c>
      <c r="EN4" s="102">
        <v>1</v>
      </c>
      <c r="EO4" s="102">
        <v>1</v>
      </c>
      <c r="EP4" s="102">
        <v>1</v>
      </c>
      <c r="EQ4" s="102">
        <v>1</v>
      </c>
      <c r="ER4" s="102">
        <v>1</v>
      </c>
      <c r="ES4" s="102">
        <v>1</v>
      </c>
      <c r="ET4" s="102">
        <v>1</v>
      </c>
      <c r="EU4" s="102">
        <v>1</v>
      </c>
      <c r="EV4" s="102">
        <v>1</v>
      </c>
      <c r="EW4" s="102">
        <v>1</v>
      </c>
      <c r="EX4" s="102">
        <v>1</v>
      </c>
      <c r="EY4" s="102">
        <v>1</v>
      </c>
      <c r="EZ4" s="102">
        <v>1</v>
      </c>
      <c r="FA4" s="102">
        <v>1</v>
      </c>
      <c r="FB4" s="102">
        <v>1</v>
      </c>
      <c r="FC4" s="102">
        <v>1</v>
      </c>
      <c r="FD4" s="102">
        <v>1</v>
      </c>
      <c r="FE4" s="102">
        <v>1</v>
      </c>
      <c r="FF4" s="102">
        <v>1</v>
      </c>
      <c r="FG4" s="102">
        <v>1</v>
      </c>
      <c r="FH4" s="102">
        <v>1</v>
      </c>
      <c r="FI4" s="102">
        <v>1</v>
      </c>
      <c r="FJ4" s="102">
        <v>1</v>
      </c>
      <c r="FK4" s="102">
        <v>1</v>
      </c>
      <c r="FL4" s="102">
        <v>1</v>
      </c>
      <c r="FM4" s="102">
        <v>1</v>
      </c>
      <c r="FN4" s="102">
        <v>1</v>
      </c>
      <c r="FO4" s="102">
        <v>1</v>
      </c>
      <c r="FP4" s="102">
        <v>1</v>
      </c>
      <c r="FQ4" s="102">
        <v>1</v>
      </c>
      <c r="FR4" s="102">
        <v>1</v>
      </c>
      <c r="FS4" s="102">
        <v>1</v>
      </c>
      <c r="FT4" s="102">
        <v>1</v>
      </c>
      <c r="FU4" s="102">
        <v>1</v>
      </c>
      <c r="FV4" s="102">
        <v>1</v>
      </c>
      <c r="FW4" s="102">
        <v>1</v>
      </c>
      <c r="FX4" s="102">
        <v>1</v>
      </c>
      <c r="FY4" s="102">
        <v>1</v>
      </c>
      <c r="FZ4" s="102">
        <v>1</v>
      </c>
      <c r="GA4" s="102">
        <v>1</v>
      </c>
      <c r="GB4" s="102">
        <v>1</v>
      </c>
      <c r="GC4" s="102">
        <v>1</v>
      </c>
      <c r="GD4" s="102">
        <v>1</v>
      </c>
      <c r="GE4" s="102">
        <v>1</v>
      </c>
      <c r="GF4" s="102">
        <v>1</v>
      </c>
      <c r="GG4" s="102">
        <v>1</v>
      </c>
      <c r="GH4" s="102">
        <v>1</v>
      </c>
      <c r="GI4" s="102">
        <v>1</v>
      </c>
      <c r="GJ4" s="102">
        <v>1</v>
      </c>
      <c r="GK4" s="102">
        <v>1</v>
      </c>
      <c r="GL4" s="102">
        <v>1</v>
      </c>
      <c r="GM4" s="102">
        <v>1</v>
      </c>
      <c r="GN4" s="102">
        <v>1</v>
      </c>
      <c r="GO4" s="102">
        <v>1</v>
      </c>
      <c r="GP4" s="24">
        <f t="shared" ref="GP4:GP27" si="7">HLOOKUP($GP$3,$AU$3:$GO$27,3,TRUE)</f>
        <v>1</v>
      </c>
    </row>
    <row r="5" spans="1:198" ht="29.15" customHeight="1">
      <c r="B5" s="36">
        <v>1</v>
      </c>
      <c r="C5" s="34" t="s">
        <v>16</v>
      </c>
      <c r="D5" s="1">
        <v>16112</v>
      </c>
      <c r="E5" s="1" t="s">
        <v>28</v>
      </c>
      <c r="F5" s="34" t="s">
        <v>18</v>
      </c>
      <c r="G5" s="34" t="s">
        <v>29</v>
      </c>
      <c r="H5" s="1" t="s">
        <v>42</v>
      </c>
      <c r="I5" s="1" t="s">
        <v>31</v>
      </c>
      <c r="J5" s="1" t="s">
        <v>43</v>
      </c>
      <c r="K5" s="1">
        <v>3616</v>
      </c>
      <c r="L5" s="1" t="s">
        <v>22</v>
      </c>
      <c r="M5" s="1" t="s">
        <v>40</v>
      </c>
      <c r="N5" s="1" t="s">
        <v>24</v>
      </c>
      <c r="O5" s="1" t="s">
        <v>33</v>
      </c>
      <c r="P5" s="4">
        <v>81195103</v>
      </c>
      <c r="Q5" s="4" t="s">
        <v>44</v>
      </c>
      <c r="R5" s="1" t="s">
        <v>27</v>
      </c>
      <c r="S5" s="49">
        <v>23435</v>
      </c>
      <c r="T5" s="45">
        <v>84729325</v>
      </c>
      <c r="U5" s="45">
        <v>338</v>
      </c>
      <c r="V5" s="45"/>
      <c r="W5" s="51">
        <v>33346998</v>
      </c>
      <c r="X5" s="104">
        <v>69</v>
      </c>
      <c r="Y5" s="104" t="s">
        <v>161</v>
      </c>
      <c r="Z5" s="107">
        <v>12</v>
      </c>
      <c r="AA5" s="107">
        <v>12</v>
      </c>
      <c r="AB5" s="107">
        <v>4</v>
      </c>
      <c r="AC5" s="88">
        <v>1566.84</v>
      </c>
      <c r="AD5" s="88">
        <v>899.00000000000023</v>
      </c>
      <c r="AE5" s="88">
        <v>2516.12</v>
      </c>
      <c r="AF5" s="89">
        <f>'Цены,перевалка,аренда'!$C$27*SUM(Уголь_эластика_внутр!Z5+Уголь_эластика_внутр!AA5+Уголь_эластика_внутр!AB5)/Уголь_эластика_внутр!X5</f>
        <v>284.05797101449275</v>
      </c>
      <c r="AG5" s="90"/>
      <c r="AH5" s="47"/>
      <c r="AI5" s="91">
        <v>2020</v>
      </c>
      <c r="AJ5" s="92">
        <f>'Цены,перевалка,аренда'!$D$8</f>
        <v>3300</v>
      </c>
      <c r="AK5" s="47">
        <f>AJ5/'Цены,перевалка,аренда'!$C$1</f>
        <v>43.247210227309964</v>
      </c>
      <c r="AL5" s="47">
        <f t="shared" si="0"/>
        <v>2800.1779710144929</v>
      </c>
      <c r="AM5" s="47">
        <f t="shared" si="1"/>
        <v>499.82202898550713</v>
      </c>
      <c r="AN5" s="47">
        <f t="shared" si="2"/>
        <v>4820.1779710144929</v>
      </c>
      <c r="AO5" s="93">
        <f t="shared" si="3"/>
        <v>-0.46065999121651297</v>
      </c>
      <c r="AP5" s="94">
        <f t="shared" si="4"/>
        <v>0.84853877909530084</v>
      </c>
      <c r="AQ5" s="94">
        <f t="shared" si="5"/>
        <v>0.76246060606060606</v>
      </c>
      <c r="AR5" s="94">
        <f t="shared" si="6"/>
        <v>0.89855717245301381</v>
      </c>
      <c r="AS5" s="95" t="s">
        <v>175</v>
      </c>
      <c r="AT5" s="35"/>
      <c r="AU5" s="102">
        <v>1</v>
      </c>
      <c r="AV5" s="102">
        <v>1</v>
      </c>
      <c r="AW5" s="102">
        <v>1</v>
      </c>
      <c r="AX5" s="102">
        <v>1</v>
      </c>
      <c r="AY5" s="102">
        <v>1</v>
      </c>
      <c r="AZ5" s="102">
        <v>1</v>
      </c>
      <c r="BA5" s="102">
        <v>1</v>
      </c>
      <c r="BB5" s="102">
        <v>1</v>
      </c>
      <c r="BC5" s="102">
        <v>1</v>
      </c>
      <c r="BD5" s="102">
        <v>1</v>
      </c>
      <c r="BE5" s="102">
        <v>1</v>
      </c>
      <c r="BF5" s="102">
        <v>1</v>
      </c>
      <c r="BG5" s="102">
        <v>1</v>
      </c>
      <c r="BH5" s="102">
        <v>1</v>
      </c>
      <c r="BI5" s="102">
        <v>1</v>
      </c>
      <c r="BJ5" s="102">
        <v>1</v>
      </c>
      <c r="BK5" s="102">
        <v>1</v>
      </c>
      <c r="BL5" s="102">
        <v>1</v>
      </c>
      <c r="BM5" s="102">
        <v>1</v>
      </c>
      <c r="BN5" s="102">
        <v>1</v>
      </c>
      <c r="BO5" s="102">
        <v>1</v>
      </c>
      <c r="BP5" s="102">
        <v>1</v>
      </c>
      <c r="BQ5" s="102">
        <v>1</v>
      </c>
      <c r="BR5" s="102">
        <v>1</v>
      </c>
      <c r="BS5" s="102">
        <v>1</v>
      </c>
      <c r="BT5" s="102">
        <v>1</v>
      </c>
      <c r="BU5" s="102">
        <v>1</v>
      </c>
      <c r="BV5" s="102">
        <v>1</v>
      </c>
      <c r="BW5" s="102">
        <v>1</v>
      </c>
      <c r="BX5" s="102">
        <v>1</v>
      </c>
      <c r="BY5" s="102">
        <v>1</v>
      </c>
      <c r="BZ5" s="102">
        <v>1</v>
      </c>
      <c r="CA5" s="102">
        <v>1</v>
      </c>
      <c r="CB5" s="102">
        <v>1</v>
      </c>
      <c r="CC5" s="102">
        <v>1</v>
      </c>
      <c r="CD5" s="102">
        <v>1</v>
      </c>
      <c r="CE5" s="102">
        <v>1</v>
      </c>
      <c r="CF5" s="102">
        <v>1</v>
      </c>
      <c r="CG5" s="102">
        <v>1</v>
      </c>
      <c r="CH5" s="102">
        <v>1</v>
      </c>
      <c r="CI5" s="102">
        <v>1</v>
      </c>
      <c r="CJ5" s="102">
        <v>1</v>
      </c>
      <c r="CK5" s="102">
        <v>1</v>
      </c>
      <c r="CL5" s="102">
        <v>1</v>
      </c>
      <c r="CM5" s="102">
        <v>1</v>
      </c>
      <c r="CN5" s="102">
        <v>1</v>
      </c>
      <c r="CO5" s="102">
        <v>1</v>
      </c>
      <c r="CP5" s="102">
        <v>1</v>
      </c>
      <c r="CQ5" s="102">
        <v>1</v>
      </c>
      <c r="CR5" s="102">
        <v>1</v>
      </c>
      <c r="CS5" s="103">
        <v>1</v>
      </c>
      <c r="CT5" s="102">
        <v>1</v>
      </c>
      <c r="CU5" s="102">
        <v>1</v>
      </c>
      <c r="CV5" s="102">
        <v>1</v>
      </c>
      <c r="CW5" s="102">
        <v>1</v>
      </c>
      <c r="CX5" s="102">
        <v>1</v>
      </c>
      <c r="CY5" s="102">
        <v>1</v>
      </c>
      <c r="CZ5" s="102">
        <v>1</v>
      </c>
      <c r="DA5" s="102">
        <v>1</v>
      </c>
      <c r="DB5" s="102">
        <v>1</v>
      </c>
      <c r="DC5" s="102">
        <v>1</v>
      </c>
      <c r="DD5" s="102">
        <v>1</v>
      </c>
      <c r="DE5" s="102">
        <v>1</v>
      </c>
      <c r="DF5" s="102">
        <v>1</v>
      </c>
      <c r="DG5" s="102">
        <v>1</v>
      </c>
      <c r="DH5" s="102">
        <v>1</v>
      </c>
      <c r="DI5" s="102">
        <v>1</v>
      </c>
      <c r="DJ5" s="102">
        <v>1</v>
      </c>
      <c r="DK5" s="102">
        <v>1</v>
      </c>
      <c r="DL5" s="102">
        <v>1</v>
      </c>
      <c r="DM5" s="102">
        <v>1</v>
      </c>
      <c r="DN5" s="102">
        <v>1</v>
      </c>
      <c r="DO5" s="102">
        <v>1</v>
      </c>
      <c r="DP5" s="102">
        <v>1</v>
      </c>
      <c r="DQ5" s="102">
        <v>1</v>
      </c>
      <c r="DR5" s="102">
        <v>1</v>
      </c>
      <c r="DS5" s="102">
        <v>1</v>
      </c>
      <c r="DT5" s="102">
        <v>1</v>
      </c>
      <c r="DU5" s="102">
        <v>1</v>
      </c>
      <c r="DV5" s="102">
        <v>1</v>
      </c>
      <c r="DW5" s="102">
        <v>1</v>
      </c>
      <c r="DX5" s="102">
        <v>1</v>
      </c>
      <c r="DY5" s="102">
        <v>1</v>
      </c>
      <c r="DZ5" s="102">
        <v>1</v>
      </c>
      <c r="EA5" s="102">
        <v>1</v>
      </c>
      <c r="EB5" s="102">
        <v>1</v>
      </c>
      <c r="EC5" s="102">
        <v>1</v>
      </c>
      <c r="ED5" s="102">
        <v>1</v>
      </c>
      <c r="EE5" s="102">
        <v>1</v>
      </c>
      <c r="EF5" s="102">
        <v>1</v>
      </c>
      <c r="EG5" s="102">
        <v>1</v>
      </c>
      <c r="EH5" s="102">
        <v>1</v>
      </c>
      <c r="EI5" s="102">
        <v>1</v>
      </c>
      <c r="EJ5" s="102">
        <v>1</v>
      </c>
      <c r="EK5" s="102">
        <v>1</v>
      </c>
      <c r="EL5" s="102">
        <v>1</v>
      </c>
      <c r="EM5" s="102">
        <v>1</v>
      </c>
      <c r="EN5" s="102">
        <v>1</v>
      </c>
      <c r="EO5" s="102">
        <v>1</v>
      </c>
      <c r="EP5" s="102">
        <v>1</v>
      </c>
      <c r="EQ5" s="102">
        <v>1</v>
      </c>
      <c r="ER5" s="102">
        <v>1</v>
      </c>
      <c r="ES5" s="102">
        <v>1</v>
      </c>
      <c r="ET5" s="102">
        <v>1</v>
      </c>
      <c r="EU5" s="102">
        <v>1</v>
      </c>
      <c r="EV5" s="102">
        <v>1</v>
      </c>
      <c r="EW5" s="102">
        <v>1</v>
      </c>
      <c r="EX5" s="102">
        <v>1</v>
      </c>
      <c r="EY5" s="102">
        <v>1</v>
      </c>
      <c r="EZ5" s="102">
        <v>1</v>
      </c>
      <c r="FA5" s="102">
        <v>1</v>
      </c>
      <c r="FB5" s="102">
        <v>1</v>
      </c>
      <c r="FC5" s="102">
        <v>1</v>
      </c>
      <c r="FD5" s="102">
        <v>1</v>
      </c>
      <c r="FE5" s="102">
        <v>1</v>
      </c>
      <c r="FF5" s="102">
        <v>1</v>
      </c>
      <c r="FG5" s="102">
        <v>1</v>
      </c>
      <c r="FH5" s="102">
        <v>1</v>
      </c>
      <c r="FI5" s="102">
        <v>1</v>
      </c>
      <c r="FJ5" s="102">
        <v>1</v>
      </c>
      <c r="FK5" s="102">
        <v>1</v>
      </c>
      <c r="FL5" s="102">
        <v>1</v>
      </c>
      <c r="FM5" s="102">
        <v>1</v>
      </c>
      <c r="FN5" s="102">
        <v>1</v>
      </c>
      <c r="FO5" s="102">
        <v>1</v>
      </c>
      <c r="FP5" s="102">
        <v>1</v>
      </c>
      <c r="FQ5" s="102">
        <v>1</v>
      </c>
      <c r="FR5" s="102">
        <v>1</v>
      </c>
      <c r="FS5" s="102">
        <v>1</v>
      </c>
      <c r="FT5" s="102">
        <v>1</v>
      </c>
      <c r="FU5" s="102">
        <v>1</v>
      </c>
      <c r="FV5" s="102">
        <v>1</v>
      </c>
      <c r="FW5" s="102">
        <v>1</v>
      </c>
      <c r="FX5" s="102">
        <v>1</v>
      </c>
      <c r="FY5" s="102">
        <v>1</v>
      </c>
      <c r="FZ5" s="102">
        <v>1</v>
      </c>
      <c r="GA5" s="102">
        <v>1</v>
      </c>
      <c r="GB5" s="102">
        <v>1</v>
      </c>
      <c r="GC5" s="102">
        <v>1</v>
      </c>
      <c r="GD5" s="102">
        <v>1</v>
      </c>
      <c r="GE5" s="102">
        <v>1</v>
      </c>
      <c r="GF5" s="102">
        <v>1</v>
      </c>
      <c r="GG5" s="102">
        <v>1</v>
      </c>
      <c r="GH5" s="102">
        <v>1</v>
      </c>
      <c r="GI5" s="102">
        <v>1</v>
      </c>
      <c r="GJ5" s="102">
        <v>1</v>
      </c>
      <c r="GK5" s="102">
        <v>1</v>
      </c>
      <c r="GL5" s="102">
        <v>1</v>
      </c>
      <c r="GM5" s="102">
        <v>1</v>
      </c>
      <c r="GN5" s="102">
        <v>1</v>
      </c>
      <c r="GO5" s="102">
        <v>1</v>
      </c>
      <c r="GP5" s="24">
        <f t="shared" si="7"/>
        <v>1</v>
      </c>
    </row>
    <row r="6" spans="1:198" ht="29.15" customHeight="1">
      <c r="B6" s="36">
        <v>1</v>
      </c>
      <c r="C6" s="34" t="s">
        <v>16</v>
      </c>
      <c r="D6" s="1">
        <v>16109</v>
      </c>
      <c r="E6" s="1" t="s">
        <v>37</v>
      </c>
      <c r="F6" s="34" t="s">
        <v>18</v>
      </c>
      <c r="G6" s="34" t="s">
        <v>29</v>
      </c>
      <c r="H6" s="1" t="s">
        <v>45</v>
      </c>
      <c r="I6" s="1" t="s">
        <v>38</v>
      </c>
      <c r="J6" s="1" t="s">
        <v>46</v>
      </c>
      <c r="K6" s="1">
        <v>910</v>
      </c>
      <c r="L6" s="1" t="s">
        <v>22</v>
      </c>
      <c r="M6" s="1" t="s">
        <v>40</v>
      </c>
      <c r="N6" s="1" t="s">
        <v>24</v>
      </c>
      <c r="O6" s="1" t="s">
        <v>36</v>
      </c>
      <c r="P6" s="4">
        <v>81213597</v>
      </c>
      <c r="Q6" s="4" t="s">
        <v>41</v>
      </c>
      <c r="R6" s="1" t="s">
        <v>27</v>
      </c>
      <c r="S6" s="49">
        <v>4334533</v>
      </c>
      <c r="T6" s="45">
        <v>3943795638</v>
      </c>
      <c r="U6" s="45">
        <v>59894</v>
      </c>
      <c r="V6" s="45"/>
      <c r="W6" s="51">
        <v>2288495144</v>
      </c>
      <c r="X6" s="104">
        <v>75</v>
      </c>
      <c r="Y6" s="104" t="s">
        <v>163</v>
      </c>
      <c r="Z6" s="107">
        <v>4</v>
      </c>
      <c r="AA6" s="107">
        <v>4</v>
      </c>
      <c r="AB6" s="107">
        <v>4</v>
      </c>
      <c r="AC6" s="88">
        <v>562.77</v>
      </c>
      <c r="AD6" s="88">
        <v>335.35</v>
      </c>
      <c r="AE6" s="88">
        <v>921.88</v>
      </c>
      <c r="AF6" s="89">
        <f>'Цены,перевалка,аренда'!$C$26*SUM(Уголь_эластика_внутр!Z6+Уголь_эластика_внутр!AA6+Уголь_эластика_внутр!AB6)/Уголь_эластика_внутр!X6</f>
        <v>160</v>
      </c>
      <c r="AG6" s="90"/>
      <c r="AH6" s="47"/>
      <c r="AI6" s="91">
        <v>445.5</v>
      </c>
      <c r="AJ6" s="92">
        <f>'Цены,перевалка,аренда'!$D$9</f>
        <v>1750</v>
      </c>
      <c r="AK6" s="47">
        <f>AJ6/'Цены,перевалка,аренда'!$C$1</f>
        <v>22.934126635694675</v>
      </c>
      <c r="AL6" s="47">
        <f t="shared" si="0"/>
        <v>1081.8800000000001</v>
      </c>
      <c r="AM6" s="47">
        <f t="shared" si="1"/>
        <v>668.11999999999989</v>
      </c>
      <c r="AN6" s="47">
        <f t="shared" si="2"/>
        <v>1527.38</v>
      </c>
      <c r="AO6" s="93">
        <f t="shared" si="3"/>
        <v>0.1272114285714285</v>
      </c>
      <c r="AP6" s="94">
        <f t="shared" si="4"/>
        <v>0.61821714285714291</v>
      </c>
      <c r="AQ6" s="94">
        <f t="shared" si="5"/>
        <v>0.52678857142857138</v>
      </c>
      <c r="AR6" s="94">
        <f t="shared" si="6"/>
        <v>0.8521092912337781</v>
      </c>
      <c r="AS6" s="95" t="s">
        <v>191</v>
      </c>
      <c r="AT6" s="35"/>
      <c r="AU6" s="102">
        <v>1</v>
      </c>
      <c r="AV6" s="102">
        <v>1</v>
      </c>
      <c r="AW6" s="102">
        <v>1</v>
      </c>
      <c r="AX6" s="102">
        <v>1</v>
      </c>
      <c r="AY6" s="102">
        <v>1</v>
      </c>
      <c r="AZ6" s="102">
        <v>1</v>
      </c>
      <c r="BA6" s="102">
        <v>1</v>
      </c>
      <c r="BB6" s="102">
        <v>1</v>
      </c>
      <c r="BC6" s="102">
        <v>1</v>
      </c>
      <c r="BD6" s="102">
        <v>1</v>
      </c>
      <c r="BE6" s="102">
        <v>1</v>
      </c>
      <c r="BF6" s="102">
        <v>1</v>
      </c>
      <c r="BG6" s="102">
        <v>1</v>
      </c>
      <c r="BH6" s="102">
        <v>1</v>
      </c>
      <c r="BI6" s="102">
        <v>1</v>
      </c>
      <c r="BJ6" s="102">
        <v>1</v>
      </c>
      <c r="BK6" s="102">
        <v>1</v>
      </c>
      <c r="BL6" s="102">
        <v>1</v>
      </c>
      <c r="BM6" s="102">
        <v>1</v>
      </c>
      <c r="BN6" s="102">
        <v>1</v>
      </c>
      <c r="BO6" s="102">
        <v>1</v>
      </c>
      <c r="BP6" s="102">
        <v>1</v>
      </c>
      <c r="BQ6" s="102">
        <v>1</v>
      </c>
      <c r="BR6" s="102">
        <v>1</v>
      </c>
      <c r="BS6" s="102">
        <v>1</v>
      </c>
      <c r="BT6" s="102">
        <v>1</v>
      </c>
      <c r="BU6" s="102">
        <v>1</v>
      </c>
      <c r="BV6" s="102">
        <v>1</v>
      </c>
      <c r="BW6" s="102">
        <v>1</v>
      </c>
      <c r="BX6" s="102">
        <v>1</v>
      </c>
      <c r="BY6" s="102">
        <v>1</v>
      </c>
      <c r="BZ6" s="102">
        <v>1</v>
      </c>
      <c r="CA6" s="102">
        <v>1</v>
      </c>
      <c r="CB6" s="102">
        <v>1</v>
      </c>
      <c r="CC6" s="102">
        <v>1</v>
      </c>
      <c r="CD6" s="102">
        <v>1</v>
      </c>
      <c r="CE6" s="102">
        <v>1</v>
      </c>
      <c r="CF6" s="102">
        <v>1</v>
      </c>
      <c r="CG6" s="102">
        <v>1</v>
      </c>
      <c r="CH6" s="102">
        <v>1</v>
      </c>
      <c r="CI6" s="102">
        <v>1</v>
      </c>
      <c r="CJ6" s="102">
        <v>1</v>
      </c>
      <c r="CK6" s="102">
        <v>1</v>
      </c>
      <c r="CL6" s="102">
        <v>1</v>
      </c>
      <c r="CM6" s="102">
        <v>1</v>
      </c>
      <c r="CN6" s="102">
        <v>1</v>
      </c>
      <c r="CO6" s="102">
        <v>1</v>
      </c>
      <c r="CP6" s="102">
        <v>1</v>
      </c>
      <c r="CQ6" s="102">
        <v>1</v>
      </c>
      <c r="CR6" s="102">
        <v>1</v>
      </c>
      <c r="CS6" s="103">
        <v>1</v>
      </c>
      <c r="CT6" s="102">
        <v>1</v>
      </c>
      <c r="CU6" s="102">
        <v>1</v>
      </c>
      <c r="CV6" s="102">
        <v>1</v>
      </c>
      <c r="CW6" s="102">
        <v>1</v>
      </c>
      <c r="CX6" s="102">
        <v>1</v>
      </c>
      <c r="CY6" s="102">
        <v>1</v>
      </c>
      <c r="CZ6" s="102">
        <v>1</v>
      </c>
      <c r="DA6" s="102">
        <v>1</v>
      </c>
      <c r="DB6" s="102">
        <v>1</v>
      </c>
      <c r="DC6" s="102">
        <v>1</v>
      </c>
      <c r="DD6" s="102">
        <v>1</v>
      </c>
      <c r="DE6" s="102">
        <v>1</v>
      </c>
      <c r="DF6" s="102">
        <v>1</v>
      </c>
      <c r="DG6" s="102">
        <v>1</v>
      </c>
      <c r="DH6" s="102">
        <v>1</v>
      </c>
      <c r="DI6" s="102">
        <v>1</v>
      </c>
      <c r="DJ6" s="102">
        <v>1</v>
      </c>
      <c r="DK6" s="102">
        <v>1</v>
      </c>
      <c r="DL6" s="102">
        <v>1</v>
      </c>
      <c r="DM6" s="102">
        <v>1</v>
      </c>
      <c r="DN6" s="102">
        <v>1</v>
      </c>
      <c r="DO6" s="102">
        <v>1</v>
      </c>
      <c r="DP6" s="102">
        <v>1</v>
      </c>
      <c r="DQ6" s="102">
        <v>1</v>
      </c>
      <c r="DR6" s="102">
        <v>1</v>
      </c>
      <c r="DS6" s="102">
        <v>1</v>
      </c>
      <c r="DT6" s="102">
        <v>1</v>
      </c>
      <c r="DU6" s="102">
        <v>1</v>
      </c>
      <c r="DV6" s="102">
        <v>1</v>
      </c>
      <c r="DW6" s="102">
        <v>1</v>
      </c>
      <c r="DX6" s="102">
        <v>1</v>
      </c>
      <c r="DY6" s="102">
        <v>1</v>
      </c>
      <c r="DZ6" s="102">
        <v>1</v>
      </c>
      <c r="EA6" s="102">
        <v>1</v>
      </c>
      <c r="EB6" s="102">
        <v>1</v>
      </c>
      <c r="EC6" s="102">
        <v>1</v>
      </c>
      <c r="ED6" s="102">
        <v>1</v>
      </c>
      <c r="EE6" s="102">
        <v>1</v>
      </c>
      <c r="EF6" s="102">
        <v>1</v>
      </c>
      <c r="EG6" s="102">
        <v>1</v>
      </c>
      <c r="EH6" s="102">
        <v>1</v>
      </c>
      <c r="EI6" s="102">
        <v>1</v>
      </c>
      <c r="EJ6" s="102">
        <v>1</v>
      </c>
      <c r="EK6" s="102">
        <v>1</v>
      </c>
      <c r="EL6" s="102">
        <v>1</v>
      </c>
      <c r="EM6" s="102">
        <v>1</v>
      </c>
      <c r="EN6" s="102">
        <v>1</v>
      </c>
      <c r="EO6" s="102">
        <v>1</v>
      </c>
      <c r="EP6" s="102">
        <v>1</v>
      </c>
      <c r="EQ6" s="102">
        <v>1</v>
      </c>
      <c r="ER6" s="102">
        <v>1</v>
      </c>
      <c r="ES6" s="102">
        <v>1</v>
      </c>
      <c r="ET6" s="102">
        <v>1</v>
      </c>
      <c r="EU6" s="102">
        <v>1</v>
      </c>
      <c r="EV6" s="102">
        <v>1</v>
      </c>
      <c r="EW6" s="102">
        <v>1</v>
      </c>
      <c r="EX6" s="102">
        <v>1</v>
      </c>
      <c r="EY6" s="102">
        <v>1</v>
      </c>
      <c r="EZ6" s="102">
        <v>1</v>
      </c>
      <c r="FA6" s="102">
        <v>1</v>
      </c>
      <c r="FB6" s="102">
        <v>1</v>
      </c>
      <c r="FC6" s="102">
        <v>1</v>
      </c>
      <c r="FD6" s="102">
        <v>1</v>
      </c>
      <c r="FE6" s="102">
        <v>1</v>
      </c>
      <c r="FF6" s="102">
        <v>1</v>
      </c>
      <c r="FG6" s="102">
        <v>1</v>
      </c>
      <c r="FH6" s="102">
        <v>1</v>
      </c>
      <c r="FI6" s="102">
        <v>1</v>
      </c>
      <c r="FJ6" s="102">
        <v>1</v>
      </c>
      <c r="FK6" s="102">
        <v>1</v>
      </c>
      <c r="FL6" s="102">
        <v>1</v>
      </c>
      <c r="FM6" s="102">
        <v>1</v>
      </c>
      <c r="FN6" s="102">
        <v>1</v>
      </c>
      <c r="FO6" s="102">
        <v>1</v>
      </c>
      <c r="FP6" s="102">
        <v>1</v>
      </c>
      <c r="FQ6" s="102">
        <v>1</v>
      </c>
      <c r="FR6" s="102">
        <v>1</v>
      </c>
      <c r="FS6" s="102">
        <v>1</v>
      </c>
      <c r="FT6" s="102">
        <v>1</v>
      </c>
      <c r="FU6" s="102">
        <v>1</v>
      </c>
      <c r="FV6" s="102">
        <v>1</v>
      </c>
      <c r="FW6" s="102">
        <v>1</v>
      </c>
      <c r="FX6" s="102">
        <v>1</v>
      </c>
      <c r="FY6" s="102">
        <v>1</v>
      </c>
      <c r="FZ6" s="102">
        <v>1</v>
      </c>
      <c r="GA6" s="102">
        <v>1</v>
      </c>
      <c r="GB6" s="102">
        <v>1</v>
      </c>
      <c r="GC6" s="102">
        <v>1</v>
      </c>
      <c r="GD6" s="102">
        <v>1</v>
      </c>
      <c r="GE6" s="102">
        <v>1</v>
      </c>
      <c r="GF6" s="102">
        <v>1</v>
      </c>
      <c r="GG6" s="102">
        <v>1</v>
      </c>
      <c r="GH6" s="102">
        <v>1</v>
      </c>
      <c r="GI6" s="102">
        <v>1</v>
      </c>
      <c r="GJ6" s="102">
        <v>1</v>
      </c>
      <c r="GK6" s="102">
        <v>1</v>
      </c>
      <c r="GL6" s="102">
        <v>1</v>
      </c>
      <c r="GM6" s="102">
        <v>1</v>
      </c>
      <c r="GN6" s="102">
        <v>1</v>
      </c>
      <c r="GO6" s="102">
        <v>1</v>
      </c>
      <c r="GP6" s="24">
        <f t="shared" si="7"/>
        <v>1</v>
      </c>
    </row>
    <row r="7" spans="1:198" ht="29.15" customHeight="1">
      <c r="B7" s="36">
        <v>1</v>
      </c>
      <c r="C7" s="34" t="s">
        <v>16</v>
      </c>
      <c r="D7" s="1">
        <v>16109</v>
      </c>
      <c r="E7" s="1" t="s">
        <v>37</v>
      </c>
      <c r="F7" s="34" t="s">
        <v>18</v>
      </c>
      <c r="G7" s="1" t="s">
        <v>56</v>
      </c>
      <c r="H7" s="1" t="s">
        <v>56</v>
      </c>
      <c r="I7" s="1" t="s">
        <v>57</v>
      </c>
      <c r="J7" s="1" t="s">
        <v>58</v>
      </c>
      <c r="K7" s="1">
        <v>188</v>
      </c>
      <c r="L7" s="1" t="s">
        <v>22</v>
      </c>
      <c r="M7" s="1" t="s">
        <v>40</v>
      </c>
      <c r="N7" s="1" t="s">
        <v>24</v>
      </c>
      <c r="O7" s="1" t="s">
        <v>25</v>
      </c>
      <c r="P7" s="4">
        <v>57615980</v>
      </c>
      <c r="Q7" s="4" t="s">
        <v>59</v>
      </c>
      <c r="R7" s="1" t="s">
        <v>51</v>
      </c>
      <c r="S7" s="49">
        <v>1452479</v>
      </c>
      <c r="T7" s="45">
        <v>273065911</v>
      </c>
      <c r="U7" s="45">
        <v>20905</v>
      </c>
      <c r="V7" s="45"/>
      <c r="W7" s="51">
        <v>340188751</v>
      </c>
      <c r="X7" s="104">
        <v>69</v>
      </c>
      <c r="Y7" s="104" t="s">
        <v>163</v>
      </c>
      <c r="Z7" s="107">
        <v>3</v>
      </c>
      <c r="AA7" s="107">
        <v>3</v>
      </c>
      <c r="AB7" s="107">
        <v>4</v>
      </c>
      <c r="AC7" s="88">
        <v>253.8</v>
      </c>
      <c r="AD7" s="88">
        <v>85.71999999999997</v>
      </c>
      <c r="AE7" s="88">
        <v>339.52</v>
      </c>
      <c r="AF7" s="89">
        <f>'Цены,перевалка,аренда'!$C$27*SUM(Уголь_эластика_внутр!Z7+Уголь_эластика_внутр!AA7+Уголь_эластика_внутр!AB7)/Уголь_эластика_внутр!X7</f>
        <v>101.44927536231884</v>
      </c>
      <c r="AG7" s="90"/>
      <c r="AH7" s="47"/>
      <c r="AI7" s="91">
        <v>1857</v>
      </c>
      <c r="AJ7" s="92">
        <f>'Цены,перевалка,аренда'!$D$9</f>
        <v>1750</v>
      </c>
      <c r="AK7" s="47">
        <f>AJ7/'Цены,перевалка,аренда'!$C$1</f>
        <v>22.934126635694675</v>
      </c>
      <c r="AL7" s="47">
        <f t="shared" si="0"/>
        <v>440.96927536231885</v>
      </c>
      <c r="AM7" s="47">
        <f t="shared" si="1"/>
        <v>1309.030724637681</v>
      </c>
      <c r="AN7" s="47">
        <f t="shared" si="2"/>
        <v>2297.9692753623185</v>
      </c>
      <c r="AO7" s="93">
        <f t="shared" si="3"/>
        <v>-0.31312530020703916</v>
      </c>
      <c r="AP7" s="94">
        <f t="shared" si="4"/>
        <v>0.25198244306418222</v>
      </c>
      <c r="AQ7" s="94">
        <f t="shared" si="5"/>
        <v>0.19401142857142856</v>
      </c>
      <c r="AR7" s="94">
        <f t="shared" si="6"/>
        <v>0.76994026334609389</v>
      </c>
      <c r="AS7" s="95" t="s">
        <v>178</v>
      </c>
      <c r="AT7" s="35"/>
      <c r="AU7" s="102">
        <v>1</v>
      </c>
      <c r="AV7" s="102">
        <v>1</v>
      </c>
      <c r="AW7" s="102">
        <v>1</v>
      </c>
      <c r="AX7" s="102">
        <v>1</v>
      </c>
      <c r="AY7" s="102">
        <v>1</v>
      </c>
      <c r="AZ7" s="102">
        <v>1</v>
      </c>
      <c r="BA7" s="102">
        <v>1</v>
      </c>
      <c r="BB7" s="102">
        <v>1</v>
      </c>
      <c r="BC7" s="102">
        <v>1</v>
      </c>
      <c r="BD7" s="102">
        <v>1</v>
      </c>
      <c r="BE7" s="102">
        <v>1</v>
      </c>
      <c r="BF7" s="102">
        <v>1</v>
      </c>
      <c r="BG7" s="102">
        <v>1</v>
      </c>
      <c r="BH7" s="102">
        <v>1</v>
      </c>
      <c r="BI7" s="102">
        <v>1</v>
      </c>
      <c r="BJ7" s="102">
        <v>1</v>
      </c>
      <c r="BK7" s="102">
        <v>1</v>
      </c>
      <c r="BL7" s="102">
        <v>1</v>
      </c>
      <c r="BM7" s="102">
        <v>1</v>
      </c>
      <c r="BN7" s="102">
        <v>1</v>
      </c>
      <c r="BO7" s="102">
        <v>1</v>
      </c>
      <c r="BP7" s="102">
        <v>1</v>
      </c>
      <c r="BQ7" s="102">
        <v>1</v>
      </c>
      <c r="BR7" s="102">
        <v>1</v>
      </c>
      <c r="BS7" s="102">
        <v>1</v>
      </c>
      <c r="BT7" s="102">
        <v>1</v>
      </c>
      <c r="BU7" s="102">
        <v>1</v>
      </c>
      <c r="BV7" s="102">
        <v>1</v>
      </c>
      <c r="BW7" s="102">
        <v>1</v>
      </c>
      <c r="BX7" s="102">
        <v>1</v>
      </c>
      <c r="BY7" s="102">
        <v>1</v>
      </c>
      <c r="BZ7" s="102">
        <v>1</v>
      </c>
      <c r="CA7" s="102">
        <v>1</v>
      </c>
      <c r="CB7" s="102">
        <v>1</v>
      </c>
      <c r="CC7" s="102">
        <v>1</v>
      </c>
      <c r="CD7" s="102">
        <v>1</v>
      </c>
      <c r="CE7" s="102">
        <v>1</v>
      </c>
      <c r="CF7" s="102">
        <v>1</v>
      </c>
      <c r="CG7" s="102">
        <v>1</v>
      </c>
      <c r="CH7" s="102">
        <v>1</v>
      </c>
      <c r="CI7" s="102">
        <v>1</v>
      </c>
      <c r="CJ7" s="102">
        <v>1</v>
      </c>
      <c r="CK7" s="102">
        <v>1</v>
      </c>
      <c r="CL7" s="102">
        <v>1</v>
      </c>
      <c r="CM7" s="102">
        <v>1</v>
      </c>
      <c r="CN7" s="102">
        <v>1</v>
      </c>
      <c r="CO7" s="102">
        <v>1</v>
      </c>
      <c r="CP7" s="102">
        <v>1</v>
      </c>
      <c r="CQ7" s="102">
        <v>1</v>
      </c>
      <c r="CR7" s="102">
        <v>1</v>
      </c>
      <c r="CS7" s="103">
        <v>1</v>
      </c>
      <c r="CT7" s="102">
        <v>1</v>
      </c>
      <c r="CU7" s="102">
        <v>1</v>
      </c>
      <c r="CV7" s="102">
        <v>1</v>
      </c>
      <c r="CW7" s="102">
        <v>1</v>
      </c>
      <c r="CX7" s="102">
        <v>1</v>
      </c>
      <c r="CY7" s="102">
        <v>1</v>
      </c>
      <c r="CZ7" s="102">
        <v>1</v>
      </c>
      <c r="DA7" s="102">
        <v>1</v>
      </c>
      <c r="DB7" s="102">
        <v>1</v>
      </c>
      <c r="DC7" s="102">
        <v>1</v>
      </c>
      <c r="DD7" s="102">
        <v>1</v>
      </c>
      <c r="DE7" s="102">
        <v>1</v>
      </c>
      <c r="DF7" s="102">
        <v>1</v>
      </c>
      <c r="DG7" s="102">
        <v>1</v>
      </c>
      <c r="DH7" s="102">
        <v>1</v>
      </c>
      <c r="DI7" s="102">
        <v>1</v>
      </c>
      <c r="DJ7" s="102">
        <v>1</v>
      </c>
      <c r="DK7" s="102">
        <v>1</v>
      </c>
      <c r="DL7" s="102">
        <v>1</v>
      </c>
      <c r="DM7" s="102">
        <v>1</v>
      </c>
      <c r="DN7" s="102">
        <v>1</v>
      </c>
      <c r="DO7" s="102">
        <v>1</v>
      </c>
      <c r="DP7" s="102">
        <v>1</v>
      </c>
      <c r="DQ7" s="102">
        <v>1</v>
      </c>
      <c r="DR7" s="102">
        <v>1</v>
      </c>
      <c r="DS7" s="102">
        <v>1</v>
      </c>
      <c r="DT7" s="102">
        <v>1</v>
      </c>
      <c r="DU7" s="102">
        <v>1</v>
      </c>
      <c r="DV7" s="102">
        <v>1</v>
      </c>
      <c r="DW7" s="102">
        <v>1</v>
      </c>
      <c r="DX7" s="102">
        <v>1</v>
      </c>
      <c r="DY7" s="102">
        <v>1</v>
      </c>
      <c r="DZ7" s="102">
        <v>1</v>
      </c>
      <c r="EA7" s="102">
        <v>1</v>
      </c>
      <c r="EB7" s="102">
        <v>1</v>
      </c>
      <c r="EC7" s="102">
        <v>1</v>
      </c>
      <c r="ED7" s="102">
        <v>1</v>
      </c>
      <c r="EE7" s="102">
        <v>1</v>
      </c>
      <c r="EF7" s="102">
        <v>1</v>
      </c>
      <c r="EG7" s="102">
        <v>1</v>
      </c>
      <c r="EH7" s="102">
        <v>1</v>
      </c>
      <c r="EI7" s="102">
        <v>1</v>
      </c>
      <c r="EJ7" s="102">
        <v>1</v>
      </c>
      <c r="EK7" s="102">
        <v>1</v>
      </c>
      <c r="EL7" s="102">
        <v>1</v>
      </c>
      <c r="EM7" s="102">
        <v>1</v>
      </c>
      <c r="EN7" s="102">
        <v>1</v>
      </c>
      <c r="EO7" s="102">
        <v>1</v>
      </c>
      <c r="EP7" s="102">
        <v>1</v>
      </c>
      <c r="EQ7" s="102">
        <v>1</v>
      </c>
      <c r="ER7" s="102">
        <v>1</v>
      </c>
      <c r="ES7" s="102">
        <v>1</v>
      </c>
      <c r="ET7" s="102">
        <v>1</v>
      </c>
      <c r="EU7" s="102">
        <v>1</v>
      </c>
      <c r="EV7" s="102">
        <v>1</v>
      </c>
      <c r="EW7" s="102">
        <v>1</v>
      </c>
      <c r="EX7" s="102">
        <v>1</v>
      </c>
      <c r="EY7" s="102">
        <v>1</v>
      </c>
      <c r="EZ7" s="102">
        <v>1</v>
      </c>
      <c r="FA7" s="102">
        <v>1</v>
      </c>
      <c r="FB7" s="102">
        <v>1</v>
      </c>
      <c r="FC7" s="102">
        <v>1</v>
      </c>
      <c r="FD7" s="102">
        <v>1</v>
      </c>
      <c r="FE7" s="102">
        <v>1</v>
      </c>
      <c r="FF7" s="102">
        <v>1</v>
      </c>
      <c r="FG7" s="102">
        <v>1</v>
      </c>
      <c r="FH7" s="102">
        <v>1</v>
      </c>
      <c r="FI7" s="102">
        <v>1</v>
      </c>
      <c r="FJ7" s="102">
        <v>1</v>
      </c>
      <c r="FK7" s="102">
        <v>1</v>
      </c>
      <c r="FL7" s="102">
        <v>1</v>
      </c>
      <c r="FM7" s="102">
        <v>1</v>
      </c>
      <c r="FN7" s="102">
        <v>1</v>
      </c>
      <c r="FO7" s="102">
        <v>1</v>
      </c>
      <c r="FP7" s="102">
        <v>1</v>
      </c>
      <c r="FQ7" s="102">
        <v>1</v>
      </c>
      <c r="FR7" s="102">
        <v>1</v>
      </c>
      <c r="FS7" s="102">
        <v>1</v>
      </c>
      <c r="FT7" s="102">
        <v>1</v>
      </c>
      <c r="FU7" s="102">
        <v>1</v>
      </c>
      <c r="FV7" s="102">
        <v>1</v>
      </c>
      <c r="FW7" s="102">
        <v>1</v>
      </c>
      <c r="FX7" s="102">
        <v>1</v>
      </c>
      <c r="FY7" s="102">
        <v>1</v>
      </c>
      <c r="FZ7" s="102">
        <v>1</v>
      </c>
      <c r="GA7" s="102">
        <v>1</v>
      </c>
      <c r="GB7" s="102">
        <v>1</v>
      </c>
      <c r="GC7" s="102">
        <v>1</v>
      </c>
      <c r="GD7" s="102">
        <v>1</v>
      </c>
      <c r="GE7" s="102">
        <v>1</v>
      </c>
      <c r="GF7" s="102">
        <v>1</v>
      </c>
      <c r="GG7" s="102">
        <v>1</v>
      </c>
      <c r="GH7" s="102">
        <v>1</v>
      </c>
      <c r="GI7" s="102">
        <v>1</v>
      </c>
      <c r="GJ7" s="102">
        <v>1</v>
      </c>
      <c r="GK7" s="102">
        <v>1</v>
      </c>
      <c r="GL7" s="102">
        <v>1</v>
      </c>
      <c r="GM7" s="102">
        <v>1</v>
      </c>
      <c r="GN7" s="102">
        <v>1</v>
      </c>
      <c r="GO7" s="102">
        <v>1</v>
      </c>
      <c r="GP7" s="24">
        <f t="shared" si="7"/>
        <v>1</v>
      </c>
    </row>
    <row r="8" spans="1:198" ht="29.15" customHeight="1">
      <c r="B8" s="36">
        <v>1</v>
      </c>
      <c r="C8" s="34" t="s">
        <v>16</v>
      </c>
      <c r="D8" s="1">
        <v>16109</v>
      </c>
      <c r="E8" s="1" t="s">
        <v>37</v>
      </c>
      <c r="F8" s="34" t="s">
        <v>18</v>
      </c>
      <c r="G8" s="1" t="s">
        <v>29</v>
      </c>
      <c r="H8" s="1" t="s">
        <v>60</v>
      </c>
      <c r="I8" s="1" t="s">
        <v>61</v>
      </c>
      <c r="J8" s="1" t="s">
        <v>62</v>
      </c>
      <c r="K8" s="1">
        <v>4326</v>
      </c>
      <c r="L8" s="1" t="s">
        <v>22</v>
      </c>
      <c r="M8" s="1" t="s">
        <v>40</v>
      </c>
      <c r="N8" s="1" t="s">
        <v>24</v>
      </c>
      <c r="O8" s="1" t="s">
        <v>33</v>
      </c>
      <c r="P8" s="4">
        <v>78465421</v>
      </c>
      <c r="Q8" s="4" t="s">
        <v>54</v>
      </c>
      <c r="R8" s="1" t="s">
        <v>51</v>
      </c>
      <c r="S8" s="49">
        <v>1635392</v>
      </c>
      <c r="T8" s="45">
        <v>7074978411</v>
      </c>
      <c r="U8" s="45">
        <v>23520</v>
      </c>
      <c r="V8" s="45"/>
      <c r="W8" s="51">
        <v>2299056352</v>
      </c>
      <c r="X8" s="104">
        <v>69</v>
      </c>
      <c r="Y8" s="104" t="s">
        <v>163</v>
      </c>
      <c r="Z8" s="107">
        <v>10</v>
      </c>
      <c r="AA8" s="107">
        <v>10</v>
      </c>
      <c r="AB8" s="107">
        <v>4</v>
      </c>
      <c r="AC8" s="88">
        <v>1568</v>
      </c>
      <c r="AD8" s="88">
        <v>961.32999999999993</v>
      </c>
      <c r="AE8" s="88">
        <v>2529.33</v>
      </c>
      <c r="AF8" s="89">
        <f>'Цены,перевалка,аренда'!$C$27*SUM(Уголь_эластика_внутр!Z8+Уголь_эластика_внутр!AA8+Уголь_эластика_внутр!AB8)/Уголь_эластика_внутр!X8</f>
        <v>243.47826086956522</v>
      </c>
      <c r="AG8" s="90"/>
      <c r="AH8" s="47"/>
      <c r="AI8" s="91">
        <v>586</v>
      </c>
      <c r="AJ8" s="92">
        <f>'Цены,перевалка,аренда'!$D$9</f>
        <v>1750</v>
      </c>
      <c r="AK8" s="47">
        <f>AJ8/'Цены,перевалка,аренда'!$C$1</f>
        <v>22.934126635694675</v>
      </c>
      <c r="AL8" s="47">
        <f t="shared" si="0"/>
        <v>2772.8082608695649</v>
      </c>
      <c r="AM8" s="47">
        <f t="shared" si="1"/>
        <v>-1022.8082608695649</v>
      </c>
      <c r="AN8" s="47">
        <f t="shared" si="2"/>
        <v>3358.8082608695649</v>
      </c>
      <c r="AO8" s="93">
        <f t="shared" si="3"/>
        <v>-0.91931900621118001</v>
      </c>
      <c r="AP8" s="94">
        <f t="shared" si="4"/>
        <v>1.584461863354037</v>
      </c>
      <c r="AQ8" s="94">
        <f t="shared" si="5"/>
        <v>1.4453314285714285</v>
      </c>
      <c r="AR8" s="94">
        <f t="shared" si="6"/>
        <v>0.91219073301764864</v>
      </c>
      <c r="AS8" s="95" t="s">
        <v>189</v>
      </c>
      <c r="AT8" s="35"/>
      <c r="AU8" s="102">
        <v>1</v>
      </c>
      <c r="AV8" s="102">
        <v>1</v>
      </c>
      <c r="AW8" s="102">
        <v>1</v>
      </c>
      <c r="AX8" s="102">
        <v>1</v>
      </c>
      <c r="AY8" s="102">
        <v>1</v>
      </c>
      <c r="AZ8" s="102">
        <v>1</v>
      </c>
      <c r="BA8" s="102">
        <v>1</v>
      </c>
      <c r="BB8" s="102">
        <v>1</v>
      </c>
      <c r="BC8" s="102">
        <v>1</v>
      </c>
      <c r="BD8" s="102">
        <v>1</v>
      </c>
      <c r="BE8" s="102">
        <v>1</v>
      </c>
      <c r="BF8" s="102">
        <v>1</v>
      </c>
      <c r="BG8" s="102">
        <v>1</v>
      </c>
      <c r="BH8" s="102">
        <v>1</v>
      </c>
      <c r="BI8" s="102">
        <v>1</v>
      </c>
      <c r="BJ8" s="102">
        <v>1</v>
      </c>
      <c r="BK8" s="102">
        <v>1</v>
      </c>
      <c r="BL8" s="102">
        <v>1</v>
      </c>
      <c r="BM8" s="102">
        <v>1</v>
      </c>
      <c r="BN8" s="102">
        <v>1</v>
      </c>
      <c r="BO8" s="102">
        <v>1</v>
      </c>
      <c r="BP8" s="102">
        <v>1</v>
      </c>
      <c r="BQ8" s="102">
        <v>1</v>
      </c>
      <c r="BR8" s="102">
        <v>1</v>
      </c>
      <c r="BS8" s="102">
        <v>1</v>
      </c>
      <c r="BT8" s="102">
        <v>1</v>
      </c>
      <c r="BU8" s="102">
        <v>1</v>
      </c>
      <c r="BV8" s="102">
        <v>1</v>
      </c>
      <c r="BW8" s="102">
        <v>1</v>
      </c>
      <c r="BX8" s="102">
        <v>1</v>
      </c>
      <c r="BY8" s="102">
        <v>1</v>
      </c>
      <c r="BZ8" s="102">
        <v>1</v>
      </c>
      <c r="CA8" s="102">
        <v>1</v>
      </c>
      <c r="CB8" s="102">
        <v>1</v>
      </c>
      <c r="CC8" s="102">
        <v>1</v>
      </c>
      <c r="CD8" s="102">
        <v>1</v>
      </c>
      <c r="CE8" s="102">
        <v>1</v>
      </c>
      <c r="CF8" s="102">
        <v>1</v>
      </c>
      <c r="CG8" s="102">
        <v>1</v>
      </c>
      <c r="CH8" s="102">
        <v>1</v>
      </c>
      <c r="CI8" s="102">
        <v>1</v>
      </c>
      <c r="CJ8" s="102">
        <v>1</v>
      </c>
      <c r="CK8" s="102">
        <v>1</v>
      </c>
      <c r="CL8" s="102">
        <v>1</v>
      </c>
      <c r="CM8" s="102">
        <v>1</v>
      </c>
      <c r="CN8" s="102">
        <v>1</v>
      </c>
      <c r="CO8" s="102">
        <v>1</v>
      </c>
      <c r="CP8" s="102">
        <v>1</v>
      </c>
      <c r="CQ8" s="102">
        <v>1</v>
      </c>
      <c r="CR8" s="102">
        <v>1</v>
      </c>
      <c r="CS8" s="103">
        <v>1</v>
      </c>
      <c r="CT8" s="102">
        <v>1</v>
      </c>
      <c r="CU8" s="102">
        <v>1</v>
      </c>
      <c r="CV8" s="102">
        <v>1</v>
      </c>
      <c r="CW8" s="102">
        <v>1</v>
      </c>
      <c r="CX8" s="102">
        <v>1</v>
      </c>
      <c r="CY8" s="102">
        <v>1</v>
      </c>
      <c r="CZ8" s="102">
        <v>1</v>
      </c>
      <c r="DA8" s="102">
        <v>1</v>
      </c>
      <c r="DB8" s="102">
        <v>1</v>
      </c>
      <c r="DC8" s="102">
        <v>1</v>
      </c>
      <c r="DD8" s="102">
        <v>1</v>
      </c>
      <c r="DE8" s="102">
        <v>1</v>
      </c>
      <c r="DF8" s="102">
        <v>1</v>
      </c>
      <c r="DG8" s="102">
        <v>1</v>
      </c>
      <c r="DH8" s="102">
        <v>1</v>
      </c>
      <c r="DI8" s="102">
        <v>1</v>
      </c>
      <c r="DJ8" s="102">
        <v>1</v>
      </c>
      <c r="DK8" s="102">
        <v>1</v>
      </c>
      <c r="DL8" s="102">
        <v>1</v>
      </c>
      <c r="DM8" s="102">
        <v>1</v>
      </c>
      <c r="DN8" s="102">
        <v>1</v>
      </c>
      <c r="DO8" s="102">
        <v>1</v>
      </c>
      <c r="DP8" s="102">
        <v>1</v>
      </c>
      <c r="DQ8" s="102">
        <v>1</v>
      </c>
      <c r="DR8" s="102">
        <v>1</v>
      </c>
      <c r="DS8" s="102">
        <v>1</v>
      </c>
      <c r="DT8" s="102">
        <v>1</v>
      </c>
      <c r="DU8" s="102">
        <v>1</v>
      </c>
      <c r="DV8" s="102">
        <v>1</v>
      </c>
      <c r="DW8" s="102">
        <v>1</v>
      </c>
      <c r="DX8" s="102">
        <v>1</v>
      </c>
      <c r="DY8" s="102">
        <v>1</v>
      </c>
      <c r="DZ8" s="102">
        <v>1</v>
      </c>
      <c r="EA8" s="102">
        <v>1</v>
      </c>
      <c r="EB8" s="102">
        <v>1</v>
      </c>
      <c r="EC8" s="102">
        <v>1</v>
      </c>
      <c r="ED8" s="102">
        <v>1</v>
      </c>
      <c r="EE8" s="102">
        <v>1</v>
      </c>
      <c r="EF8" s="102">
        <v>1</v>
      </c>
      <c r="EG8" s="102">
        <v>1</v>
      </c>
      <c r="EH8" s="102">
        <v>1</v>
      </c>
      <c r="EI8" s="102">
        <v>1</v>
      </c>
      <c r="EJ8" s="102">
        <v>1</v>
      </c>
      <c r="EK8" s="102">
        <v>1</v>
      </c>
      <c r="EL8" s="102">
        <v>1</v>
      </c>
      <c r="EM8" s="102">
        <v>1</v>
      </c>
      <c r="EN8" s="102">
        <v>1</v>
      </c>
      <c r="EO8" s="102">
        <v>1</v>
      </c>
      <c r="EP8" s="102">
        <v>1</v>
      </c>
      <c r="EQ8" s="102">
        <v>1</v>
      </c>
      <c r="ER8" s="102">
        <v>1</v>
      </c>
      <c r="ES8" s="102">
        <v>1</v>
      </c>
      <c r="ET8" s="102">
        <v>1</v>
      </c>
      <c r="EU8" s="102">
        <v>1</v>
      </c>
      <c r="EV8" s="102">
        <v>1</v>
      </c>
      <c r="EW8" s="102">
        <v>1</v>
      </c>
      <c r="EX8" s="102">
        <v>1</v>
      </c>
      <c r="EY8" s="102">
        <v>1</v>
      </c>
      <c r="EZ8" s="102">
        <v>1</v>
      </c>
      <c r="FA8" s="102">
        <v>1</v>
      </c>
      <c r="FB8" s="102">
        <v>1</v>
      </c>
      <c r="FC8" s="102">
        <v>1</v>
      </c>
      <c r="FD8" s="102">
        <v>1</v>
      </c>
      <c r="FE8" s="102">
        <v>1</v>
      </c>
      <c r="FF8" s="102">
        <v>1</v>
      </c>
      <c r="FG8" s="102">
        <v>1</v>
      </c>
      <c r="FH8" s="102">
        <v>1</v>
      </c>
      <c r="FI8" s="102">
        <v>1</v>
      </c>
      <c r="FJ8" s="102">
        <v>1</v>
      </c>
      <c r="FK8" s="102">
        <v>1</v>
      </c>
      <c r="FL8" s="102">
        <v>1</v>
      </c>
      <c r="FM8" s="102">
        <v>1</v>
      </c>
      <c r="FN8" s="102">
        <v>1</v>
      </c>
      <c r="FO8" s="102">
        <v>1</v>
      </c>
      <c r="FP8" s="102">
        <v>1</v>
      </c>
      <c r="FQ8" s="102">
        <v>1</v>
      </c>
      <c r="FR8" s="102">
        <v>1</v>
      </c>
      <c r="FS8" s="102">
        <v>1</v>
      </c>
      <c r="FT8" s="102">
        <v>1</v>
      </c>
      <c r="FU8" s="102">
        <v>1</v>
      </c>
      <c r="FV8" s="102">
        <v>1</v>
      </c>
      <c r="FW8" s="102">
        <v>1</v>
      </c>
      <c r="FX8" s="102">
        <v>1</v>
      </c>
      <c r="FY8" s="102">
        <v>1</v>
      </c>
      <c r="FZ8" s="102">
        <v>1</v>
      </c>
      <c r="GA8" s="102">
        <v>1</v>
      </c>
      <c r="GB8" s="102">
        <v>1</v>
      </c>
      <c r="GC8" s="102">
        <v>1</v>
      </c>
      <c r="GD8" s="102">
        <v>1</v>
      </c>
      <c r="GE8" s="102">
        <v>1</v>
      </c>
      <c r="GF8" s="102">
        <v>1</v>
      </c>
      <c r="GG8" s="102">
        <v>1</v>
      </c>
      <c r="GH8" s="102">
        <v>1</v>
      </c>
      <c r="GI8" s="102">
        <v>1</v>
      </c>
      <c r="GJ8" s="102">
        <v>1</v>
      </c>
      <c r="GK8" s="102">
        <v>1</v>
      </c>
      <c r="GL8" s="102">
        <v>1</v>
      </c>
      <c r="GM8" s="102">
        <v>1</v>
      </c>
      <c r="GN8" s="102">
        <v>1</v>
      </c>
      <c r="GO8" s="102">
        <v>1</v>
      </c>
      <c r="GP8" s="24">
        <f t="shared" si="7"/>
        <v>1</v>
      </c>
    </row>
    <row r="9" spans="1:198" ht="29.15" customHeight="1">
      <c r="B9" s="36">
        <v>1</v>
      </c>
      <c r="C9" s="34" t="s">
        <v>16</v>
      </c>
      <c r="D9" s="1">
        <v>16112</v>
      </c>
      <c r="E9" s="1" t="s">
        <v>28</v>
      </c>
      <c r="F9" s="34" t="s">
        <v>18</v>
      </c>
      <c r="G9" s="34" t="s">
        <v>29</v>
      </c>
      <c r="H9" s="1" t="s">
        <v>45</v>
      </c>
      <c r="I9" s="1" t="s">
        <v>48</v>
      </c>
      <c r="J9" s="1" t="s">
        <v>63</v>
      </c>
      <c r="K9" s="1">
        <v>319</v>
      </c>
      <c r="L9" s="1" t="s">
        <v>22</v>
      </c>
      <c r="M9" s="1" t="s">
        <v>40</v>
      </c>
      <c r="N9" s="1" t="s">
        <v>24</v>
      </c>
      <c r="O9" s="1" t="s">
        <v>36</v>
      </c>
      <c r="P9" s="4">
        <v>26649063</v>
      </c>
      <c r="Q9" s="4" t="s">
        <v>64</v>
      </c>
      <c r="R9" s="1" t="s">
        <v>51</v>
      </c>
      <c r="S9" s="49">
        <v>53637</v>
      </c>
      <c r="T9" s="45">
        <v>17110140</v>
      </c>
      <c r="U9" s="45">
        <v>764</v>
      </c>
      <c r="V9" s="45"/>
      <c r="W9" s="51">
        <v>17354701</v>
      </c>
      <c r="X9" s="104">
        <v>69</v>
      </c>
      <c r="Y9" s="104" t="s">
        <v>161</v>
      </c>
      <c r="Z9" s="107">
        <v>4</v>
      </c>
      <c r="AA9" s="107">
        <v>4</v>
      </c>
      <c r="AB9" s="107">
        <v>4</v>
      </c>
      <c r="AC9" s="88">
        <v>372.39</v>
      </c>
      <c r="AD9" s="88">
        <v>157.38999999999999</v>
      </c>
      <c r="AE9" s="88">
        <v>513.88</v>
      </c>
      <c r="AF9" s="89">
        <f>'Цены,перевалка,аренда'!$C$27*SUM(Уголь_эластика_внутр!Z9+Уголь_эластика_внутр!AA9+Уголь_эластика_внутр!AB9)/Уголь_эластика_внутр!X9</f>
        <v>121.73913043478261</v>
      </c>
      <c r="AG9" s="90"/>
      <c r="AH9" s="47"/>
      <c r="AI9" s="91">
        <v>586</v>
      </c>
      <c r="AJ9" s="92">
        <f>'Цены,перевалка,аренда'!$D$8</f>
        <v>3300</v>
      </c>
      <c r="AK9" s="47">
        <f>AJ9/'Цены,перевалка,аренда'!$C$1</f>
        <v>43.247210227309964</v>
      </c>
      <c r="AL9" s="47">
        <f t="shared" si="0"/>
        <v>635.61913043478262</v>
      </c>
      <c r="AM9" s="47">
        <f t="shared" si="1"/>
        <v>2664.3808695652174</v>
      </c>
      <c r="AN9" s="47">
        <f t="shared" si="2"/>
        <v>1221.6191304347826</v>
      </c>
      <c r="AO9" s="93">
        <f t="shared" si="3"/>
        <v>0.62981238471673251</v>
      </c>
      <c r="AP9" s="94">
        <f t="shared" si="4"/>
        <v>0.19261185770750988</v>
      </c>
      <c r="AQ9" s="94">
        <f t="shared" si="5"/>
        <v>0.15572121212121212</v>
      </c>
      <c r="AR9" s="94">
        <f t="shared" si="6"/>
        <v>0.80847157581379059</v>
      </c>
      <c r="AS9" s="95" t="s">
        <v>192</v>
      </c>
      <c r="AT9" s="35"/>
      <c r="AU9" s="102">
        <v>1</v>
      </c>
      <c r="AV9" s="102">
        <v>1</v>
      </c>
      <c r="AW9" s="102">
        <v>1</v>
      </c>
      <c r="AX9" s="102">
        <v>1</v>
      </c>
      <c r="AY9" s="102">
        <v>1</v>
      </c>
      <c r="AZ9" s="102">
        <v>1</v>
      </c>
      <c r="BA9" s="102">
        <v>1</v>
      </c>
      <c r="BB9" s="102">
        <v>1</v>
      </c>
      <c r="BC9" s="102">
        <v>1</v>
      </c>
      <c r="BD9" s="102">
        <v>1</v>
      </c>
      <c r="BE9" s="102">
        <v>1</v>
      </c>
      <c r="BF9" s="102">
        <v>1</v>
      </c>
      <c r="BG9" s="102">
        <v>1</v>
      </c>
      <c r="BH9" s="102">
        <v>1</v>
      </c>
      <c r="BI9" s="102">
        <v>1</v>
      </c>
      <c r="BJ9" s="102">
        <v>1</v>
      </c>
      <c r="BK9" s="102">
        <v>1</v>
      </c>
      <c r="BL9" s="102">
        <v>1</v>
      </c>
      <c r="BM9" s="102">
        <v>1</v>
      </c>
      <c r="BN9" s="102">
        <v>1</v>
      </c>
      <c r="BO9" s="102">
        <v>1</v>
      </c>
      <c r="BP9" s="102">
        <v>1</v>
      </c>
      <c r="BQ9" s="102">
        <v>1</v>
      </c>
      <c r="BR9" s="102">
        <v>1</v>
      </c>
      <c r="BS9" s="102">
        <v>1</v>
      </c>
      <c r="BT9" s="102">
        <v>1</v>
      </c>
      <c r="BU9" s="102">
        <v>1</v>
      </c>
      <c r="BV9" s="102">
        <v>1</v>
      </c>
      <c r="BW9" s="102">
        <v>1</v>
      </c>
      <c r="BX9" s="102">
        <v>1</v>
      </c>
      <c r="BY9" s="102">
        <v>1</v>
      </c>
      <c r="BZ9" s="102">
        <v>1</v>
      </c>
      <c r="CA9" s="102">
        <v>1</v>
      </c>
      <c r="CB9" s="102">
        <v>1</v>
      </c>
      <c r="CC9" s="102">
        <v>1</v>
      </c>
      <c r="CD9" s="102">
        <v>1</v>
      </c>
      <c r="CE9" s="102">
        <v>1</v>
      </c>
      <c r="CF9" s="102">
        <v>1</v>
      </c>
      <c r="CG9" s="102">
        <v>1</v>
      </c>
      <c r="CH9" s="102">
        <v>1</v>
      </c>
      <c r="CI9" s="102">
        <v>1</v>
      </c>
      <c r="CJ9" s="102">
        <v>1</v>
      </c>
      <c r="CK9" s="102">
        <v>1</v>
      </c>
      <c r="CL9" s="102">
        <v>1</v>
      </c>
      <c r="CM9" s="102">
        <v>1</v>
      </c>
      <c r="CN9" s="102">
        <v>1</v>
      </c>
      <c r="CO9" s="102">
        <v>1</v>
      </c>
      <c r="CP9" s="102">
        <v>1</v>
      </c>
      <c r="CQ9" s="102">
        <v>1</v>
      </c>
      <c r="CR9" s="102">
        <v>1</v>
      </c>
      <c r="CS9" s="103">
        <v>1</v>
      </c>
      <c r="CT9" s="102">
        <v>1</v>
      </c>
      <c r="CU9" s="102">
        <v>1</v>
      </c>
      <c r="CV9" s="102">
        <v>1</v>
      </c>
      <c r="CW9" s="102">
        <v>1</v>
      </c>
      <c r="CX9" s="102">
        <v>1</v>
      </c>
      <c r="CY9" s="102">
        <v>1</v>
      </c>
      <c r="CZ9" s="102">
        <v>1</v>
      </c>
      <c r="DA9" s="102">
        <v>1</v>
      </c>
      <c r="DB9" s="102">
        <v>1</v>
      </c>
      <c r="DC9" s="102">
        <v>1</v>
      </c>
      <c r="DD9" s="102">
        <v>1</v>
      </c>
      <c r="DE9" s="102">
        <v>1</v>
      </c>
      <c r="DF9" s="102">
        <v>1</v>
      </c>
      <c r="DG9" s="102">
        <v>1</v>
      </c>
      <c r="DH9" s="102">
        <v>1</v>
      </c>
      <c r="DI9" s="102">
        <v>1</v>
      </c>
      <c r="DJ9" s="102">
        <v>1</v>
      </c>
      <c r="DK9" s="102">
        <v>1</v>
      </c>
      <c r="DL9" s="102">
        <v>1</v>
      </c>
      <c r="DM9" s="102">
        <v>1</v>
      </c>
      <c r="DN9" s="102">
        <v>1</v>
      </c>
      <c r="DO9" s="102">
        <v>1</v>
      </c>
      <c r="DP9" s="102">
        <v>1</v>
      </c>
      <c r="DQ9" s="102">
        <v>1</v>
      </c>
      <c r="DR9" s="102">
        <v>1</v>
      </c>
      <c r="DS9" s="102">
        <v>1</v>
      </c>
      <c r="DT9" s="102">
        <v>1</v>
      </c>
      <c r="DU9" s="102">
        <v>1</v>
      </c>
      <c r="DV9" s="102">
        <v>1</v>
      </c>
      <c r="DW9" s="102">
        <v>1</v>
      </c>
      <c r="DX9" s="102">
        <v>1</v>
      </c>
      <c r="DY9" s="102">
        <v>1</v>
      </c>
      <c r="DZ9" s="102">
        <v>1</v>
      </c>
      <c r="EA9" s="102">
        <v>1</v>
      </c>
      <c r="EB9" s="102">
        <v>1</v>
      </c>
      <c r="EC9" s="102">
        <v>1</v>
      </c>
      <c r="ED9" s="102">
        <v>1</v>
      </c>
      <c r="EE9" s="102">
        <v>1</v>
      </c>
      <c r="EF9" s="102">
        <v>1</v>
      </c>
      <c r="EG9" s="102">
        <v>1</v>
      </c>
      <c r="EH9" s="102">
        <v>1</v>
      </c>
      <c r="EI9" s="102">
        <v>1</v>
      </c>
      <c r="EJ9" s="102">
        <v>1</v>
      </c>
      <c r="EK9" s="102">
        <v>1</v>
      </c>
      <c r="EL9" s="102">
        <v>1</v>
      </c>
      <c r="EM9" s="102">
        <v>1</v>
      </c>
      <c r="EN9" s="102">
        <v>1</v>
      </c>
      <c r="EO9" s="102">
        <v>1</v>
      </c>
      <c r="EP9" s="102">
        <v>1</v>
      </c>
      <c r="EQ9" s="102">
        <v>1</v>
      </c>
      <c r="ER9" s="102">
        <v>1</v>
      </c>
      <c r="ES9" s="102">
        <v>1</v>
      </c>
      <c r="ET9" s="102">
        <v>1</v>
      </c>
      <c r="EU9" s="102">
        <v>1</v>
      </c>
      <c r="EV9" s="102">
        <v>1</v>
      </c>
      <c r="EW9" s="102">
        <v>1</v>
      </c>
      <c r="EX9" s="102">
        <v>1</v>
      </c>
      <c r="EY9" s="102">
        <v>1</v>
      </c>
      <c r="EZ9" s="102">
        <v>1</v>
      </c>
      <c r="FA9" s="102">
        <v>1</v>
      </c>
      <c r="FB9" s="102">
        <v>1</v>
      </c>
      <c r="FC9" s="102">
        <v>1</v>
      </c>
      <c r="FD9" s="102">
        <v>1</v>
      </c>
      <c r="FE9" s="102">
        <v>1</v>
      </c>
      <c r="FF9" s="102">
        <v>1</v>
      </c>
      <c r="FG9" s="102">
        <v>1</v>
      </c>
      <c r="FH9" s="102">
        <v>1</v>
      </c>
      <c r="FI9" s="102">
        <v>1</v>
      </c>
      <c r="FJ9" s="102">
        <v>1</v>
      </c>
      <c r="FK9" s="102">
        <v>1</v>
      </c>
      <c r="FL9" s="102">
        <v>1</v>
      </c>
      <c r="FM9" s="102">
        <v>1</v>
      </c>
      <c r="FN9" s="102">
        <v>1</v>
      </c>
      <c r="FO9" s="102">
        <v>1</v>
      </c>
      <c r="FP9" s="102">
        <v>1</v>
      </c>
      <c r="FQ9" s="102">
        <v>1</v>
      </c>
      <c r="FR9" s="102">
        <v>1</v>
      </c>
      <c r="FS9" s="102">
        <v>1</v>
      </c>
      <c r="FT9" s="102">
        <v>1</v>
      </c>
      <c r="FU9" s="102">
        <v>1</v>
      </c>
      <c r="FV9" s="102">
        <v>1</v>
      </c>
      <c r="FW9" s="102">
        <v>1</v>
      </c>
      <c r="FX9" s="102">
        <v>1</v>
      </c>
      <c r="FY9" s="102">
        <v>1</v>
      </c>
      <c r="FZ9" s="102">
        <v>1</v>
      </c>
      <c r="GA9" s="102">
        <v>1</v>
      </c>
      <c r="GB9" s="102">
        <v>1</v>
      </c>
      <c r="GC9" s="102">
        <v>1</v>
      </c>
      <c r="GD9" s="102">
        <v>1</v>
      </c>
      <c r="GE9" s="102">
        <v>1</v>
      </c>
      <c r="GF9" s="102">
        <v>1</v>
      </c>
      <c r="GG9" s="102">
        <v>1</v>
      </c>
      <c r="GH9" s="102">
        <v>1</v>
      </c>
      <c r="GI9" s="102">
        <v>1</v>
      </c>
      <c r="GJ9" s="102">
        <v>1</v>
      </c>
      <c r="GK9" s="102">
        <v>1</v>
      </c>
      <c r="GL9" s="102">
        <v>1</v>
      </c>
      <c r="GM9" s="102">
        <v>1</v>
      </c>
      <c r="GN9" s="102">
        <v>1</v>
      </c>
      <c r="GO9" s="102">
        <v>1</v>
      </c>
      <c r="GP9" s="24">
        <f t="shared" si="7"/>
        <v>1</v>
      </c>
    </row>
    <row r="10" spans="1:198" ht="29.15" customHeight="1">
      <c r="B10" s="36">
        <v>1</v>
      </c>
      <c r="C10" s="34" t="s">
        <v>16</v>
      </c>
      <c r="D10" s="1">
        <v>16112</v>
      </c>
      <c r="E10" s="1" t="s">
        <v>28</v>
      </c>
      <c r="F10" s="34" t="s">
        <v>18</v>
      </c>
      <c r="G10" s="34" t="s">
        <v>45</v>
      </c>
      <c r="H10" s="1" t="s">
        <v>19</v>
      </c>
      <c r="I10" s="34" t="s">
        <v>72</v>
      </c>
      <c r="J10" s="1" t="s">
        <v>74</v>
      </c>
      <c r="K10" s="1">
        <v>5953</v>
      </c>
      <c r="L10" s="1" t="s">
        <v>22</v>
      </c>
      <c r="M10" s="1" t="s">
        <v>40</v>
      </c>
      <c r="N10" s="1" t="s">
        <v>24</v>
      </c>
      <c r="O10" s="1" t="s">
        <v>25</v>
      </c>
      <c r="P10" s="4">
        <v>14788090</v>
      </c>
      <c r="Q10" s="4" t="s">
        <v>75</v>
      </c>
      <c r="R10" s="1" t="s">
        <v>69</v>
      </c>
      <c r="S10" s="49">
        <v>269869</v>
      </c>
      <c r="T10" s="45">
        <v>1606451445</v>
      </c>
      <c r="U10" s="45">
        <v>3763</v>
      </c>
      <c r="V10" s="45"/>
      <c r="W10" s="51">
        <v>362989677</v>
      </c>
      <c r="X10" s="104">
        <v>69</v>
      </c>
      <c r="Y10" s="104" t="s">
        <v>163</v>
      </c>
      <c r="Z10" s="107">
        <v>13</v>
      </c>
      <c r="AA10" s="107">
        <v>13</v>
      </c>
      <c r="AB10" s="107">
        <v>4</v>
      </c>
      <c r="AC10" s="88">
        <v>1560.58</v>
      </c>
      <c r="AD10" s="88">
        <v>1117.3600000000001</v>
      </c>
      <c r="AE10" s="88">
        <v>2720.3</v>
      </c>
      <c r="AF10" s="89">
        <f>'Цены,перевалка,аренда'!$C$27*SUM(Уголь_эластика_внутр!Z10+Уголь_эластика_внутр!AA10+Уголь_эластика_внутр!AB10)/Уголь_эластика_внутр!X10</f>
        <v>304.3478260869565</v>
      </c>
      <c r="AG10" s="90"/>
      <c r="AH10" s="47"/>
      <c r="AI10" s="91">
        <v>2736</v>
      </c>
      <c r="AJ10" s="92">
        <f>'Цены,перевалка,аренда'!$D$8</f>
        <v>3300</v>
      </c>
      <c r="AK10" s="47">
        <f>AJ10/'Цены,перевалка,аренда'!$C$1</f>
        <v>43.247210227309964</v>
      </c>
      <c r="AL10" s="47">
        <f t="shared" si="0"/>
        <v>3024.6478260869567</v>
      </c>
      <c r="AM10" s="47">
        <f t="shared" si="1"/>
        <v>275.35217391304332</v>
      </c>
      <c r="AN10" s="47">
        <f t="shared" si="2"/>
        <v>5760.6478260869571</v>
      </c>
      <c r="AO10" s="93">
        <f t="shared" si="3"/>
        <v>-0.74565085638998696</v>
      </c>
      <c r="AP10" s="94">
        <f t="shared" si="4"/>
        <v>0.91655994729907775</v>
      </c>
      <c r="AQ10" s="94">
        <f t="shared" si="5"/>
        <v>0.82433333333333336</v>
      </c>
      <c r="AR10" s="94">
        <f t="shared" si="6"/>
        <v>0.8993774338083198</v>
      </c>
      <c r="AS10" s="95" t="s">
        <v>176</v>
      </c>
      <c r="AT10" s="35"/>
      <c r="AU10" s="102">
        <v>1</v>
      </c>
      <c r="AV10" s="102">
        <v>1</v>
      </c>
      <c r="AW10" s="102">
        <v>1</v>
      </c>
      <c r="AX10" s="102">
        <v>1</v>
      </c>
      <c r="AY10" s="102">
        <v>1</v>
      </c>
      <c r="AZ10" s="102">
        <v>1</v>
      </c>
      <c r="BA10" s="102">
        <v>1</v>
      </c>
      <c r="BB10" s="102">
        <v>1</v>
      </c>
      <c r="BC10" s="102">
        <v>1</v>
      </c>
      <c r="BD10" s="102">
        <v>1</v>
      </c>
      <c r="BE10" s="102">
        <v>1</v>
      </c>
      <c r="BF10" s="102">
        <v>1</v>
      </c>
      <c r="BG10" s="102">
        <v>1</v>
      </c>
      <c r="BH10" s="102">
        <v>1</v>
      </c>
      <c r="BI10" s="102">
        <v>1</v>
      </c>
      <c r="BJ10" s="102">
        <v>1</v>
      </c>
      <c r="BK10" s="102">
        <v>1</v>
      </c>
      <c r="BL10" s="102">
        <v>1</v>
      </c>
      <c r="BM10" s="102">
        <v>1</v>
      </c>
      <c r="BN10" s="102">
        <v>1</v>
      </c>
      <c r="BO10" s="102">
        <v>1</v>
      </c>
      <c r="BP10" s="102">
        <v>1</v>
      </c>
      <c r="BQ10" s="102">
        <v>1</v>
      </c>
      <c r="BR10" s="102">
        <v>1</v>
      </c>
      <c r="BS10" s="102">
        <v>1</v>
      </c>
      <c r="BT10" s="102">
        <v>1</v>
      </c>
      <c r="BU10" s="102">
        <v>1</v>
      </c>
      <c r="BV10" s="102">
        <v>1</v>
      </c>
      <c r="BW10" s="102">
        <v>1</v>
      </c>
      <c r="BX10" s="102">
        <v>1</v>
      </c>
      <c r="BY10" s="102">
        <v>1</v>
      </c>
      <c r="BZ10" s="102">
        <v>1</v>
      </c>
      <c r="CA10" s="102">
        <v>1</v>
      </c>
      <c r="CB10" s="102">
        <v>1</v>
      </c>
      <c r="CC10" s="102">
        <v>1</v>
      </c>
      <c r="CD10" s="102">
        <v>1</v>
      </c>
      <c r="CE10" s="102">
        <v>1</v>
      </c>
      <c r="CF10" s="102">
        <v>1</v>
      </c>
      <c r="CG10" s="102">
        <v>1</v>
      </c>
      <c r="CH10" s="102">
        <v>1</v>
      </c>
      <c r="CI10" s="102">
        <v>1</v>
      </c>
      <c r="CJ10" s="102">
        <v>1</v>
      </c>
      <c r="CK10" s="102">
        <v>1</v>
      </c>
      <c r="CL10" s="102">
        <v>1</v>
      </c>
      <c r="CM10" s="102">
        <v>1</v>
      </c>
      <c r="CN10" s="102">
        <v>1</v>
      </c>
      <c r="CO10" s="102">
        <v>1</v>
      </c>
      <c r="CP10" s="102">
        <v>1</v>
      </c>
      <c r="CQ10" s="102">
        <v>1</v>
      </c>
      <c r="CR10" s="102">
        <v>1</v>
      </c>
      <c r="CS10" s="103">
        <v>1</v>
      </c>
      <c r="CT10" s="102">
        <v>1</v>
      </c>
      <c r="CU10" s="102">
        <v>1</v>
      </c>
      <c r="CV10" s="102">
        <v>1</v>
      </c>
      <c r="CW10" s="102">
        <v>1</v>
      </c>
      <c r="CX10" s="102">
        <v>1</v>
      </c>
      <c r="CY10" s="102">
        <v>1</v>
      </c>
      <c r="CZ10" s="102">
        <v>1</v>
      </c>
      <c r="DA10" s="102">
        <v>1</v>
      </c>
      <c r="DB10" s="102">
        <v>1</v>
      </c>
      <c r="DC10" s="102">
        <v>1</v>
      </c>
      <c r="DD10" s="102">
        <v>1</v>
      </c>
      <c r="DE10" s="102">
        <v>1</v>
      </c>
      <c r="DF10" s="102">
        <v>1</v>
      </c>
      <c r="DG10" s="102">
        <v>1</v>
      </c>
      <c r="DH10" s="102">
        <v>1</v>
      </c>
      <c r="DI10" s="102">
        <v>1</v>
      </c>
      <c r="DJ10" s="102">
        <v>1</v>
      </c>
      <c r="DK10" s="102">
        <v>1</v>
      </c>
      <c r="DL10" s="102">
        <v>1</v>
      </c>
      <c r="DM10" s="102">
        <v>1</v>
      </c>
      <c r="DN10" s="102">
        <v>1</v>
      </c>
      <c r="DO10" s="102">
        <v>1</v>
      </c>
      <c r="DP10" s="102">
        <v>1</v>
      </c>
      <c r="DQ10" s="102">
        <v>1</v>
      </c>
      <c r="DR10" s="102">
        <v>1</v>
      </c>
      <c r="DS10" s="102">
        <v>1</v>
      </c>
      <c r="DT10" s="102">
        <v>1</v>
      </c>
      <c r="DU10" s="102">
        <v>1</v>
      </c>
      <c r="DV10" s="102">
        <v>1</v>
      </c>
      <c r="DW10" s="102">
        <v>1</v>
      </c>
      <c r="DX10" s="102">
        <v>1</v>
      </c>
      <c r="DY10" s="102">
        <v>1</v>
      </c>
      <c r="DZ10" s="102">
        <v>1</v>
      </c>
      <c r="EA10" s="102">
        <v>1</v>
      </c>
      <c r="EB10" s="102">
        <v>1</v>
      </c>
      <c r="EC10" s="102">
        <v>1</v>
      </c>
      <c r="ED10" s="102">
        <v>1</v>
      </c>
      <c r="EE10" s="102">
        <v>1</v>
      </c>
      <c r="EF10" s="102">
        <v>1</v>
      </c>
      <c r="EG10" s="102">
        <v>1</v>
      </c>
      <c r="EH10" s="102">
        <v>1</v>
      </c>
      <c r="EI10" s="102">
        <v>1</v>
      </c>
      <c r="EJ10" s="102">
        <v>1</v>
      </c>
      <c r="EK10" s="102">
        <v>1</v>
      </c>
      <c r="EL10" s="102">
        <v>1</v>
      </c>
      <c r="EM10" s="102">
        <v>1</v>
      </c>
      <c r="EN10" s="102">
        <v>1</v>
      </c>
      <c r="EO10" s="102">
        <v>1</v>
      </c>
      <c r="EP10" s="102">
        <v>1</v>
      </c>
      <c r="EQ10" s="102">
        <v>1</v>
      </c>
      <c r="ER10" s="102">
        <v>1</v>
      </c>
      <c r="ES10" s="102">
        <v>1</v>
      </c>
      <c r="ET10" s="102">
        <v>1</v>
      </c>
      <c r="EU10" s="102">
        <v>1</v>
      </c>
      <c r="EV10" s="102">
        <v>1</v>
      </c>
      <c r="EW10" s="102">
        <v>1</v>
      </c>
      <c r="EX10" s="102">
        <v>1</v>
      </c>
      <c r="EY10" s="102">
        <v>1</v>
      </c>
      <c r="EZ10" s="102">
        <v>1</v>
      </c>
      <c r="FA10" s="102">
        <v>1</v>
      </c>
      <c r="FB10" s="102">
        <v>1</v>
      </c>
      <c r="FC10" s="102">
        <v>1</v>
      </c>
      <c r="FD10" s="102">
        <v>1</v>
      </c>
      <c r="FE10" s="102">
        <v>1</v>
      </c>
      <c r="FF10" s="102">
        <v>1</v>
      </c>
      <c r="FG10" s="102">
        <v>1</v>
      </c>
      <c r="FH10" s="102">
        <v>1</v>
      </c>
      <c r="FI10" s="102">
        <v>1</v>
      </c>
      <c r="FJ10" s="102">
        <v>1</v>
      </c>
      <c r="FK10" s="102">
        <v>1</v>
      </c>
      <c r="FL10" s="102">
        <v>1</v>
      </c>
      <c r="FM10" s="102">
        <v>1</v>
      </c>
      <c r="FN10" s="102">
        <v>1</v>
      </c>
      <c r="FO10" s="102">
        <v>1</v>
      </c>
      <c r="FP10" s="102">
        <v>1</v>
      </c>
      <c r="FQ10" s="102">
        <v>1</v>
      </c>
      <c r="FR10" s="102">
        <v>1</v>
      </c>
      <c r="FS10" s="102">
        <v>1</v>
      </c>
      <c r="FT10" s="102">
        <v>1</v>
      </c>
      <c r="FU10" s="102">
        <v>1</v>
      </c>
      <c r="FV10" s="102">
        <v>1</v>
      </c>
      <c r="FW10" s="102">
        <v>1</v>
      </c>
      <c r="FX10" s="102">
        <v>1</v>
      </c>
      <c r="FY10" s="102">
        <v>1</v>
      </c>
      <c r="FZ10" s="102">
        <v>1</v>
      </c>
      <c r="GA10" s="102">
        <v>1</v>
      </c>
      <c r="GB10" s="102">
        <v>1</v>
      </c>
      <c r="GC10" s="102">
        <v>1</v>
      </c>
      <c r="GD10" s="102">
        <v>1</v>
      </c>
      <c r="GE10" s="102">
        <v>1</v>
      </c>
      <c r="GF10" s="102">
        <v>1</v>
      </c>
      <c r="GG10" s="102">
        <v>1</v>
      </c>
      <c r="GH10" s="102">
        <v>1</v>
      </c>
      <c r="GI10" s="102">
        <v>1</v>
      </c>
      <c r="GJ10" s="102">
        <v>1</v>
      </c>
      <c r="GK10" s="102">
        <v>1</v>
      </c>
      <c r="GL10" s="102">
        <v>1</v>
      </c>
      <c r="GM10" s="102">
        <v>1</v>
      </c>
      <c r="GN10" s="102">
        <v>1</v>
      </c>
      <c r="GO10" s="102">
        <v>1</v>
      </c>
      <c r="GP10" s="24">
        <f t="shared" si="7"/>
        <v>1</v>
      </c>
    </row>
    <row r="11" spans="1:198" ht="29.15" customHeight="1">
      <c r="B11" s="36">
        <v>1</v>
      </c>
      <c r="C11" s="34" t="s">
        <v>16</v>
      </c>
      <c r="D11" s="1">
        <v>16112</v>
      </c>
      <c r="E11" s="1" t="s">
        <v>28</v>
      </c>
      <c r="F11" s="34" t="s">
        <v>18</v>
      </c>
      <c r="G11" s="34" t="s">
        <v>45</v>
      </c>
      <c r="H11" s="1" t="s">
        <v>60</v>
      </c>
      <c r="I11" s="34" t="s">
        <v>72</v>
      </c>
      <c r="J11" s="1" t="s">
        <v>76</v>
      </c>
      <c r="K11" s="1">
        <v>3879</v>
      </c>
      <c r="L11" s="1" t="s">
        <v>22</v>
      </c>
      <c r="M11" s="1" t="s">
        <v>40</v>
      </c>
      <c r="N11" s="1" t="s">
        <v>24</v>
      </c>
      <c r="O11" s="1" t="s">
        <v>33</v>
      </c>
      <c r="P11" s="35">
        <v>14788090</v>
      </c>
      <c r="Q11" s="4" t="s">
        <v>75</v>
      </c>
      <c r="R11" s="1" t="s">
        <v>69</v>
      </c>
      <c r="S11" s="49">
        <v>542589</v>
      </c>
      <c r="T11" s="45">
        <v>2104831504</v>
      </c>
      <c r="U11" s="45">
        <v>7796</v>
      </c>
      <c r="V11" s="45"/>
      <c r="W11" s="51">
        <v>767647504</v>
      </c>
      <c r="X11" s="104">
        <v>69</v>
      </c>
      <c r="Y11" s="104" t="s">
        <v>161</v>
      </c>
      <c r="Z11" s="107">
        <v>13</v>
      </c>
      <c r="AA11" s="107">
        <v>14</v>
      </c>
      <c r="AB11" s="107">
        <v>4</v>
      </c>
      <c r="AC11" s="88">
        <v>1574.55</v>
      </c>
      <c r="AD11" s="88">
        <v>931.6400000000001</v>
      </c>
      <c r="AE11" s="88">
        <v>2555.65</v>
      </c>
      <c r="AF11" s="89">
        <f>'Цены,перевалка,аренда'!$C$27*SUM(Уголь_эластика_внутр!Z11+Уголь_эластика_внутр!AA11+Уголь_эластика_внутр!AB11)/Уголь_эластика_внутр!X11</f>
        <v>314.49275362318838</v>
      </c>
      <c r="AG11" s="90"/>
      <c r="AH11" s="47"/>
      <c r="AI11" s="91">
        <v>2736</v>
      </c>
      <c r="AJ11" s="92">
        <f>'Цены,перевалка,аренда'!$D$8</f>
        <v>3300</v>
      </c>
      <c r="AK11" s="47">
        <f>AJ11/'Цены,перевалка,аренда'!$C$1</f>
        <v>43.247210227309964</v>
      </c>
      <c r="AL11" s="47">
        <f t="shared" si="0"/>
        <v>2870.1427536231886</v>
      </c>
      <c r="AM11" s="47">
        <f t="shared" si="1"/>
        <v>429.85724637681142</v>
      </c>
      <c r="AN11" s="47">
        <f t="shared" si="2"/>
        <v>5606.1427536231886</v>
      </c>
      <c r="AO11" s="93">
        <f t="shared" si="3"/>
        <v>-0.69883113746157233</v>
      </c>
      <c r="AP11" s="94">
        <f t="shared" si="4"/>
        <v>0.86974022837066323</v>
      </c>
      <c r="AQ11" s="94">
        <f t="shared" si="5"/>
        <v>0.77443939393939398</v>
      </c>
      <c r="AR11" s="94">
        <f t="shared" si="6"/>
        <v>0.89042609353622515</v>
      </c>
      <c r="AS11" s="95" t="s">
        <v>177</v>
      </c>
      <c r="AT11" s="35"/>
      <c r="AU11" s="102">
        <v>1</v>
      </c>
      <c r="AV11" s="102">
        <v>1</v>
      </c>
      <c r="AW11" s="102">
        <v>1</v>
      </c>
      <c r="AX11" s="102">
        <v>1</v>
      </c>
      <c r="AY11" s="102">
        <v>1</v>
      </c>
      <c r="AZ11" s="102">
        <v>1</v>
      </c>
      <c r="BA11" s="102">
        <v>1</v>
      </c>
      <c r="BB11" s="102">
        <v>1</v>
      </c>
      <c r="BC11" s="102">
        <v>1</v>
      </c>
      <c r="BD11" s="102">
        <v>1</v>
      </c>
      <c r="BE11" s="102">
        <v>1</v>
      </c>
      <c r="BF11" s="102">
        <v>1</v>
      </c>
      <c r="BG11" s="102">
        <v>1</v>
      </c>
      <c r="BH11" s="102">
        <v>1</v>
      </c>
      <c r="BI11" s="102">
        <v>1</v>
      </c>
      <c r="BJ11" s="102">
        <v>1</v>
      </c>
      <c r="BK11" s="102">
        <v>1</v>
      </c>
      <c r="BL11" s="102">
        <v>1</v>
      </c>
      <c r="BM11" s="102">
        <v>1</v>
      </c>
      <c r="BN11" s="102">
        <v>1</v>
      </c>
      <c r="BO11" s="102">
        <v>1</v>
      </c>
      <c r="BP11" s="102">
        <v>1</v>
      </c>
      <c r="BQ11" s="102">
        <v>1</v>
      </c>
      <c r="BR11" s="102">
        <v>1</v>
      </c>
      <c r="BS11" s="102">
        <v>1</v>
      </c>
      <c r="BT11" s="102">
        <v>1</v>
      </c>
      <c r="BU11" s="102">
        <v>1</v>
      </c>
      <c r="BV11" s="102">
        <v>1</v>
      </c>
      <c r="BW11" s="102">
        <v>1</v>
      </c>
      <c r="BX11" s="102">
        <v>1</v>
      </c>
      <c r="BY11" s="102">
        <v>1</v>
      </c>
      <c r="BZ11" s="102">
        <v>1</v>
      </c>
      <c r="CA11" s="102">
        <v>1</v>
      </c>
      <c r="CB11" s="102">
        <v>1</v>
      </c>
      <c r="CC11" s="102">
        <v>1</v>
      </c>
      <c r="CD11" s="102">
        <v>1</v>
      </c>
      <c r="CE11" s="102">
        <v>1</v>
      </c>
      <c r="CF11" s="102">
        <v>1</v>
      </c>
      <c r="CG11" s="102">
        <v>1</v>
      </c>
      <c r="CH11" s="102">
        <v>1</v>
      </c>
      <c r="CI11" s="102">
        <v>1</v>
      </c>
      <c r="CJ11" s="102">
        <v>1</v>
      </c>
      <c r="CK11" s="102">
        <v>1</v>
      </c>
      <c r="CL11" s="102">
        <v>1</v>
      </c>
      <c r="CM11" s="102">
        <v>1</v>
      </c>
      <c r="CN11" s="102">
        <v>1</v>
      </c>
      <c r="CO11" s="102">
        <v>1</v>
      </c>
      <c r="CP11" s="102">
        <v>1</v>
      </c>
      <c r="CQ11" s="102">
        <v>1</v>
      </c>
      <c r="CR11" s="102">
        <v>1</v>
      </c>
      <c r="CS11" s="103">
        <v>1</v>
      </c>
      <c r="CT11" s="102">
        <v>1</v>
      </c>
      <c r="CU11" s="102">
        <v>1</v>
      </c>
      <c r="CV11" s="102">
        <v>1</v>
      </c>
      <c r="CW11" s="102">
        <v>1</v>
      </c>
      <c r="CX11" s="102">
        <v>1</v>
      </c>
      <c r="CY11" s="102">
        <v>1</v>
      </c>
      <c r="CZ11" s="102">
        <v>1</v>
      </c>
      <c r="DA11" s="102">
        <v>1</v>
      </c>
      <c r="DB11" s="102">
        <v>1</v>
      </c>
      <c r="DC11" s="102">
        <v>1</v>
      </c>
      <c r="DD11" s="102">
        <v>1</v>
      </c>
      <c r="DE11" s="102">
        <v>1</v>
      </c>
      <c r="DF11" s="102">
        <v>1</v>
      </c>
      <c r="DG11" s="102">
        <v>1</v>
      </c>
      <c r="DH11" s="102">
        <v>1</v>
      </c>
      <c r="DI11" s="102">
        <v>1</v>
      </c>
      <c r="DJ11" s="102">
        <v>1</v>
      </c>
      <c r="DK11" s="102">
        <v>1</v>
      </c>
      <c r="DL11" s="102">
        <v>1</v>
      </c>
      <c r="DM11" s="102">
        <v>1</v>
      </c>
      <c r="DN11" s="102">
        <v>1</v>
      </c>
      <c r="DO11" s="102">
        <v>1</v>
      </c>
      <c r="DP11" s="102">
        <v>1</v>
      </c>
      <c r="DQ11" s="102">
        <v>1</v>
      </c>
      <c r="DR11" s="102">
        <v>1</v>
      </c>
      <c r="DS11" s="102">
        <v>1</v>
      </c>
      <c r="DT11" s="102">
        <v>1</v>
      </c>
      <c r="DU11" s="102">
        <v>1</v>
      </c>
      <c r="DV11" s="102">
        <v>1</v>
      </c>
      <c r="DW11" s="102">
        <v>1</v>
      </c>
      <c r="DX11" s="102">
        <v>1</v>
      </c>
      <c r="DY11" s="102">
        <v>1</v>
      </c>
      <c r="DZ11" s="102">
        <v>1</v>
      </c>
      <c r="EA11" s="102">
        <v>1</v>
      </c>
      <c r="EB11" s="102">
        <v>1</v>
      </c>
      <c r="EC11" s="102">
        <v>1</v>
      </c>
      <c r="ED11" s="102">
        <v>1</v>
      </c>
      <c r="EE11" s="102">
        <v>1</v>
      </c>
      <c r="EF11" s="102">
        <v>1</v>
      </c>
      <c r="EG11" s="102">
        <v>1</v>
      </c>
      <c r="EH11" s="102">
        <v>1</v>
      </c>
      <c r="EI11" s="102">
        <v>1</v>
      </c>
      <c r="EJ11" s="102">
        <v>1</v>
      </c>
      <c r="EK11" s="102">
        <v>1</v>
      </c>
      <c r="EL11" s="102">
        <v>1</v>
      </c>
      <c r="EM11" s="102">
        <v>1</v>
      </c>
      <c r="EN11" s="102">
        <v>1</v>
      </c>
      <c r="EO11" s="102">
        <v>1</v>
      </c>
      <c r="EP11" s="102">
        <v>1</v>
      </c>
      <c r="EQ11" s="102">
        <v>1</v>
      </c>
      <c r="ER11" s="102">
        <v>1</v>
      </c>
      <c r="ES11" s="102">
        <v>1</v>
      </c>
      <c r="ET11" s="102">
        <v>1</v>
      </c>
      <c r="EU11" s="102">
        <v>1</v>
      </c>
      <c r="EV11" s="102">
        <v>1</v>
      </c>
      <c r="EW11" s="102">
        <v>1</v>
      </c>
      <c r="EX11" s="102">
        <v>1</v>
      </c>
      <c r="EY11" s="102">
        <v>1</v>
      </c>
      <c r="EZ11" s="102">
        <v>1</v>
      </c>
      <c r="FA11" s="102">
        <v>1</v>
      </c>
      <c r="FB11" s="102">
        <v>1</v>
      </c>
      <c r="FC11" s="102">
        <v>1</v>
      </c>
      <c r="FD11" s="102">
        <v>1</v>
      </c>
      <c r="FE11" s="102">
        <v>1</v>
      </c>
      <c r="FF11" s="102">
        <v>1</v>
      </c>
      <c r="FG11" s="102">
        <v>1</v>
      </c>
      <c r="FH11" s="102">
        <v>1</v>
      </c>
      <c r="FI11" s="102">
        <v>1</v>
      </c>
      <c r="FJ11" s="102">
        <v>1</v>
      </c>
      <c r="FK11" s="102">
        <v>1</v>
      </c>
      <c r="FL11" s="102">
        <v>1</v>
      </c>
      <c r="FM11" s="102">
        <v>1</v>
      </c>
      <c r="FN11" s="102">
        <v>1</v>
      </c>
      <c r="FO11" s="102">
        <v>1</v>
      </c>
      <c r="FP11" s="102">
        <v>1</v>
      </c>
      <c r="FQ11" s="102">
        <v>1</v>
      </c>
      <c r="FR11" s="102">
        <v>1</v>
      </c>
      <c r="FS11" s="102">
        <v>1</v>
      </c>
      <c r="FT11" s="102">
        <v>1</v>
      </c>
      <c r="FU11" s="102">
        <v>1</v>
      </c>
      <c r="FV11" s="102">
        <v>1</v>
      </c>
      <c r="FW11" s="102">
        <v>1</v>
      </c>
      <c r="FX11" s="102">
        <v>1</v>
      </c>
      <c r="FY11" s="102">
        <v>1</v>
      </c>
      <c r="FZ11" s="102">
        <v>1</v>
      </c>
      <c r="GA11" s="102">
        <v>1</v>
      </c>
      <c r="GB11" s="102">
        <v>1</v>
      </c>
      <c r="GC11" s="102">
        <v>1</v>
      </c>
      <c r="GD11" s="102">
        <v>1</v>
      </c>
      <c r="GE11" s="102">
        <v>1</v>
      </c>
      <c r="GF11" s="102">
        <v>1</v>
      </c>
      <c r="GG11" s="102">
        <v>1</v>
      </c>
      <c r="GH11" s="102">
        <v>1</v>
      </c>
      <c r="GI11" s="102">
        <v>1</v>
      </c>
      <c r="GJ11" s="102">
        <v>1</v>
      </c>
      <c r="GK11" s="102">
        <v>1</v>
      </c>
      <c r="GL11" s="102">
        <v>1</v>
      </c>
      <c r="GM11" s="102">
        <v>1</v>
      </c>
      <c r="GN11" s="102">
        <v>1</v>
      </c>
      <c r="GO11" s="102">
        <v>1</v>
      </c>
      <c r="GP11" s="24">
        <f t="shared" si="7"/>
        <v>1</v>
      </c>
    </row>
    <row r="12" spans="1:198" ht="14.7" customHeight="1">
      <c r="B12" s="36">
        <v>1</v>
      </c>
      <c r="C12" s="34" t="s">
        <v>16</v>
      </c>
      <c r="D12" s="1">
        <v>16114</v>
      </c>
      <c r="E12" s="1" t="s">
        <v>77</v>
      </c>
      <c r="F12" s="34" t="s">
        <v>78</v>
      </c>
      <c r="G12" s="34" t="s">
        <v>45</v>
      </c>
      <c r="H12" s="1" t="s">
        <v>79</v>
      </c>
      <c r="I12" s="1" t="s">
        <v>71</v>
      </c>
      <c r="J12" s="1" t="s">
        <v>80</v>
      </c>
      <c r="K12" s="1">
        <v>3651</v>
      </c>
      <c r="L12" s="1" t="s">
        <v>22</v>
      </c>
      <c r="M12" s="1" t="s">
        <v>40</v>
      </c>
      <c r="N12" s="1" t="s">
        <v>24</v>
      </c>
      <c r="O12" s="1" t="s">
        <v>36</v>
      </c>
      <c r="P12" s="4">
        <v>82365518</v>
      </c>
      <c r="Q12" s="4" t="s">
        <v>68</v>
      </c>
      <c r="R12" s="1" t="s">
        <v>69</v>
      </c>
      <c r="S12" s="49">
        <v>867482</v>
      </c>
      <c r="T12" s="45">
        <v>3166978540</v>
      </c>
      <c r="U12" s="45">
        <v>12178</v>
      </c>
      <c r="V12" s="45"/>
      <c r="W12" s="51">
        <v>1370389106</v>
      </c>
      <c r="X12" s="104">
        <v>69</v>
      </c>
      <c r="Y12" s="104" t="s">
        <v>163</v>
      </c>
      <c r="Z12" s="107">
        <v>9</v>
      </c>
      <c r="AA12" s="107">
        <v>10</v>
      </c>
      <c r="AB12" s="107">
        <v>4</v>
      </c>
      <c r="AC12" s="88">
        <v>1801.38</v>
      </c>
      <c r="AD12" s="88">
        <v>847.19999999999982</v>
      </c>
      <c r="AE12" s="88">
        <v>2382.65</v>
      </c>
      <c r="AF12" s="89">
        <f>'Цены,перевалка,аренда'!$C$27*SUM(Уголь_эластика_внутр!Z12+Уголь_эластика_внутр!AA12+Уголь_эластика_внутр!AB12)/Уголь_эластика_внутр!X12</f>
        <v>233.33333333333334</v>
      </c>
      <c r="AG12" s="90"/>
      <c r="AH12" s="47"/>
      <c r="AI12" s="91">
        <v>2736</v>
      </c>
      <c r="AJ12" s="92">
        <f>'Цены,перевалка,аренда'!$D$14</f>
        <v>10200</v>
      </c>
      <c r="AK12" s="47">
        <f>AJ12/'Цены,перевалка,аренда'!$C$1</f>
        <v>133.67319524804898</v>
      </c>
      <c r="AL12" s="47">
        <f t="shared" si="0"/>
        <v>2615.9833333333336</v>
      </c>
      <c r="AM12" s="47">
        <f t="shared" si="1"/>
        <v>7584.0166666666664</v>
      </c>
      <c r="AN12" s="47">
        <f t="shared" si="2"/>
        <v>5351.9833333333336</v>
      </c>
      <c r="AO12" s="93">
        <f t="shared" si="3"/>
        <v>0.47529575163398691</v>
      </c>
      <c r="AP12" s="94">
        <f t="shared" si="4"/>
        <v>0.25646895424836602</v>
      </c>
      <c r="AQ12" s="94">
        <f t="shared" si="5"/>
        <v>0.23359313725490197</v>
      </c>
      <c r="AR12" s="94">
        <f t="shared" si="6"/>
        <v>0.91080473244605276</v>
      </c>
      <c r="AS12" s="95" t="s">
        <v>193</v>
      </c>
      <c r="AT12" s="35"/>
      <c r="AU12" s="102">
        <v>1</v>
      </c>
      <c r="AV12" s="102">
        <v>1</v>
      </c>
      <c r="AW12" s="102">
        <v>1</v>
      </c>
      <c r="AX12" s="102">
        <v>1</v>
      </c>
      <c r="AY12" s="102">
        <v>1</v>
      </c>
      <c r="AZ12" s="102">
        <v>1</v>
      </c>
      <c r="BA12" s="102">
        <v>1</v>
      </c>
      <c r="BB12" s="102">
        <v>1</v>
      </c>
      <c r="BC12" s="102">
        <v>1</v>
      </c>
      <c r="BD12" s="102">
        <v>1</v>
      </c>
      <c r="BE12" s="102">
        <v>1</v>
      </c>
      <c r="BF12" s="102">
        <v>1</v>
      </c>
      <c r="BG12" s="102">
        <v>1</v>
      </c>
      <c r="BH12" s="102">
        <v>1</v>
      </c>
      <c r="BI12" s="102">
        <v>1</v>
      </c>
      <c r="BJ12" s="102">
        <v>1</v>
      </c>
      <c r="BK12" s="102">
        <v>1</v>
      </c>
      <c r="BL12" s="102">
        <v>1</v>
      </c>
      <c r="BM12" s="102">
        <v>1</v>
      </c>
      <c r="BN12" s="102">
        <v>1</v>
      </c>
      <c r="BO12" s="102">
        <v>1</v>
      </c>
      <c r="BP12" s="102">
        <v>1</v>
      </c>
      <c r="BQ12" s="102">
        <v>1</v>
      </c>
      <c r="BR12" s="102">
        <v>1</v>
      </c>
      <c r="BS12" s="102">
        <v>1</v>
      </c>
      <c r="BT12" s="102">
        <v>1</v>
      </c>
      <c r="BU12" s="102">
        <v>1</v>
      </c>
      <c r="BV12" s="102">
        <v>1</v>
      </c>
      <c r="BW12" s="102">
        <v>1</v>
      </c>
      <c r="BX12" s="102">
        <v>1</v>
      </c>
      <c r="BY12" s="102">
        <v>1</v>
      </c>
      <c r="BZ12" s="102">
        <v>1</v>
      </c>
      <c r="CA12" s="102">
        <v>1</v>
      </c>
      <c r="CB12" s="102">
        <v>1</v>
      </c>
      <c r="CC12" s="102">
        <v>1</v>
      </c>
      <c r="CD12" s="102">
        <v>1</v>
      </c>
      <c r="CE12" s="102">
        <v>1</v>
      </c>
      <c r="CF12" s="102">
        <v>1</v>
      </c>
      <c r="CG12" s="102">
        <v>1</v>
      </c>
      <c r="CH12" s="102">
        <v>1</v>
      </c>
      <c r="CI12" s="102">
        <v>1</v>
      </c>
      <c r="CJ12" s="102">
        <v>1</v>
      </c>
      <c r="CK12" s="102">
        <v>1</v>
      </c>
      <c r="CL12" s="102">
        <v>1</v>
      </c>
      <c r="CM12" s="102">
        <v>1</v>
      </c>
      <c r="CN12" s="102">
        <v>1</v>
      </c>
      <c r="CO12" s="102">
        <v>1</v>
      </c>
      <c r="CP12" s="102">
        <v>1</v>
      </c>
      <c r="CQ12" s="102">
        <v>1</v>
      </c>
      <c r="CR12" s="102">
        <v>1</v>
      </c>
      <c r="CS12" s="103">
        <v>1</v>
      </c>
      <c r="CT12" s="102">
        <v>1</v>
      </c>
      <c r="CU12" s="102">
        <v>1</v>
      </c>
      <c r="CV12" s="102">
        <v>1</v>
      </c>
      <c r="CW12" s="102">
        <v>1</v>
      </c>
      <c r="CX12" s="102">
        <v>1</v>
      </c>
      <c r="CY12" s="102">
        <v>1</v>
      </c>
      <c r="CZ12" s="102">
        <v>1</v>
      </c>
      <c r="DA12" s="102">
        <v>1</v>
      </c>
      <c r="DB12" s="102">
        <v>1</v>
      </c>
      <c r="DC12" s="102">
        <v>1</v>
      </c>
      <c r="DD12" s="102">
        <v>1</v>
      </c>
      <c r="DE12" s="102">
        <v>1</v>
      </c>
      <c r="DF12" s="102">
        <v>1</v>
      </c>
      <c r="DG12" s="102">
        <v>1</v>
      </c>
      <c r="DH12" s="102">
        <v>1</v>
      </c>
      <c r="DI12" s="102">
        <v>1</v>
      </c>
      <c r="DJ12" s="102">
        <v>1</v>
      </c>
      <c r="DK12" s="102">
        <v>1</v>
      </c>
      <c r="DL12" s="102">
        <v>1</v>
      </c>
      <c r="DM12" s="102">
        <v>1</v>
      </c>
      <c r="DN12" s="102">
        <v>1</v>
      </c>
      <c r="DO12" s="102">
        <v>1</v>
      </c>
      <c r="DP12" s="102">
        <v>1</v>
      </c>
      <c r="DQ12" s="102">
        <v>1</v>
      </c>
      <c r="DR12" s="102">
        <v>1</v>
      </c>
      <c r="DS12" s="102">
        <v>1</v>
      </c>
      <c r="DT12" s="102">
        <v>1</v>
      </c>
      <c r="DU12" s="102">
        <v>1</v>
      </c>
      <c r="DV12" s="102">
        <v>1</v>
      </c>
      <c r="DW12" s="102">
        <v>1</v>
      </c>
      <c r="DX12" s="102">
        <v>1</v>
      </c>
      <c r="DY12" s="102">
        <v>1</v>
      </c>
      <c r="DZ12" s="102">
        <v>1</v>
      </c>
      <c r="EA12" s="102">
        <v>1</v>
      </c>
      <c r="EB12" s="102">
        <v>1</v>
      </c>
      <c r="EC12" s="102">
        <v>1</v>
      </c>
      <c r="ED12" s="102">
        <v>1</v>
      </c>
      <c r="EE12" s="102">
        <v>1</v>
      </c>
      <c r="EF12" s="102">
        <v>1</v>
      </c>
      <c r="EG12" s="102">
        <v>1</v>
      </c>
      <c r="EH12" s="102">
        <v>1</v>
      </c>
      <c r="EI12" s="102">
        <v>1</v>
      </c>
      <c r="EJ12" s="102">
        <v>1</v>
      </c>
      <c r="EK12" s="102">
        <v>1</v>
      </c>
      <c r="EL12" s="102">
        <v>1</v>
      </c>
      <c r="EM12" s="102">
        <v>1</v>
      </c>
      <c r="EN12" s="102">
        <v>1</v>
      </c>
      <c r="EO12" s="102">
        <v>1</v>
      </c>
      <c r="EP12" s="102">
        <v>1</v>
      </c>
      <c r="EQ12" s="102">
        <v>1</v>
      </c>
      <c r="ER12" s="102">
        <v>1</v>
      </c>
      <c r="ES12" s="102">
        <v>1</v>
      </c>
      <c r="ET12" s="102">
        <v>1</v>
      </c>
      <c r="EU12" s="102">
        <v>1</v>
      </c>
      <c r="EV12" s="102">
        <v>1</v>
      </c>
      <c r="EW12" s="102">
        <v>1</v>
      </c>
      <c r="EX12" s="102">
        <v>1</v>
      </c>
      <c r="EY12" s="102">
        <v>1</v>
      </c>
      <c r="EZ12" s="102">
        <v>1</v>
      </c>
      <c r="FA12" s="102">
        <v>1</v>
      </c>
      <c r="FB12" s="102">
        <v>1</v>
      </c>
      <c r="FC12" s="102">
        <v>1</v>
      </c>
      <c r="FD12" s="102">
        <v>1</v>
      </c>
      <c r="FE12" s="102">
        <v>1</v>
      </c>
      <c r="FF12" s="102">
        <v>1</v>
      </c>
      <c r="FG12" s="102">
        <v>1</v>
      </c>
      <c r="FH12" s="102">
        <v>1</v>
      </c>
      <c r="FI12" s="102">
        <v>1</v>
      </c>
      <c r="FJ12" s="102">
        <v>1</v>
      </c>
      <c r="FK12" s="102">
        <v>1</v>
      </c>
      <c r="FL12" s="102">
        <v>1</v>
      </c>
      <c r="FM12" s="102">
        <v>1</v>
      </c>
      <c r="FN12" s="102">
        <v>1</v>
      </c>
      <c r="FO12" s="102">
        <v>1</v>
      </c>
      <c r="FP12" s="102">
        <v>1</v>
      </c>
      <c r="FQ12" s="102">
        <v>1</v>
      </c>
      <c r="FR12" s="102">
        <v>1</v>
      </c>
      <c r="FS12" s="102">
        <v>1</v>
      </c>
      <c r="FT12" s="102">
        <v>1</v>
      </c>
      <c r="FU12" s="102">
        <v>1</v>
      </c>
      <c r="FV12" s="102">
        <v>1</v>
      </c>
      <c r="FW12" s="102">
        <v>1</v>
      </c>
      <c r="FX12" s="102">
        <v>1</v>
      </c>
      <c r="FY12" s="102">
        <v>1</v>
      </c>
      <c r="FZ12" s="102">
        <v>1</v>
      </c>
      <c r="GA12" s="102">
        <v>1</v>
      </c>
      <c r="GB12" s="102">
        <v>1</v>
      </c>
      <c r="GC12" s="102">
        <v>1</v>
      </c>
      <c r="GD12" s="102">
        <v>1</v>
      </c>
      <c r="GE12" s="102">
        <v>1</v>
      </c>
      <c r="GF12" s="102">
        <v>1</v>
      </c>
      <c r="GG12" s="102">
        <v>1</v>
      </c>
      <c r="GH12" s="102">
        <v>1</v>
      </c>
      <c r="GI12" s="102">
        <v>1</v>
      </c>
      <c r="GJ12" s="102">
        <v>1</v>
      </c>
      <c r="GK12" s="102">
        <v>1</v>
      </c>
      <c r="GL12" s="102">
        <v>1</v>
      </c>
      <c r="GM12" s="102">
        <v>1</v>
      </c>
      <c r="GN12" s="102">
        <v>1</v>
      </c>
      <c r="GO12" s="102">
        <v>1</v>
      </c>
      <c r="GP12" s="24">
        <f t="shared" si="7"/>
        <v>1</v>
      </c>
    </row>
    <row r="13" spans="1:198" ht="29.15" customHeight="1">
      <c r="B13" s="36">
        <v>1</v>
      </c>
      <c r="C13" s="34" t="s">
        <v>16</v>
      </c>
      <c r="D13" s="1">
        <v>16112</v>
      </c>
      <c r="E13" s="1" t="s">
        <v>28</v>
      </c>
      <c r="F13" s="34" t="s">
        <v>18</v>
      </c>
      <c r="G13" s="34" t="s">
        <v>19</v>
      </c>
      <c r="H13" s="34" t="s">
        <v>19</v>
      </c>
      <c r="I13" s="1" t="s">
        <v>85</v>
      </c>
      <c r="J13" s="1" t="s">
        <v>86</v>
      </c>
      <c r="K13" s="1">
        <v>1278</v>
      </c>
      <c r="L13" s="1" t="s">
        <v>22</v>
      </c>
      <c r="M13" s="1" t="s">
        <v>40</v>
      </c>
      <c r="N13" s="1" t="s">
        <v>24</v>
      </c>
      <c r="O13" s="34" t="s">
        <v>25</v>
      </c>
      <c r="P13" s="4">
        <v>22170352</v>
      </c>
      <c r="Q13" s="4" t="s">
        <v>87</v>
      </c>
      <c r="R13" s="1" t="s">
        <v>84</v>
      </c>
      <c r="S13" s="49">
        <v>342100</v>
      </c>
      <c r="T13" s="45">
        <v>437202631</v>
      </c>
      <c r="U13" s="45">
        <v>4592</v>
      </c>
      <c r="V13" s="45"/>
      <c r="W13" s="51">
        <v>229100472</v>
      </c>
      <c r="X13" s="104">
        <v>75</v>
      </c>
      <c r="Y13" s="104" t="s">
        <v>163</v>
      </c>
      <c r="Z13" s="107">
        <v>5</v>
      </c>
      <c r="AA13" s="107">
        <v>5</v>
      </c>
      <c r="AB13" s="107">
        <v>4</v>
      </c>
      <c r="AC13" s="88">
        <v>730.61</v>
      </c>
      <c r="AD13" s="88">
        <v>452.59000000000003</v>
      </c>
      <c r="AE13" s="88">
        <v>1214.04</v>
      </c>
      <c r="AF13" s="89">
        <f>'Цены,перевалка,аренда'!$C$26*SUM(Уголь_эластика_внутр!Z13+Уголь_эластика_внутр!AA13+Уголь_эластика_внутр!AB13)/Уголь_эластика_внутр!X13</f>
        <v>186.66666666666666</v>
      </c>
      <c r="AG13" s="90"/>
      <c r="AH13" s="47"/>
      <c r="AI13" s="91">
        <v>3240</v>
      </c>
      <c r="AJ13" s="92">
        <f>'Цены,перевалка,аренда'!$D$8</f>
        <v>3300</v>
      </c>
      <c r="AK13" s="47">
        <f>AJ13/'Цены,перевалка,аренда'!$C$1</f>
        <v>43.247210227309964</v>
      </c>
      <c r="AL13" s="47">
        <f t="shared" si="0"/>
        <v>1400.7066666666667</v>
      </c>
      <c r="AM13" s="47">
        <f t="shared" si="1"/>
        <v>1899.2933333333333</v>
      </c>
      <c r="AN13" s="47">
        <f t="shared" si="2"/>
        <v>4640.7066666666669</v>
      </c>
      <c r="AO13" s="93">
        <f t="shared" si="3"/>
        <v>-0.40627474747474757</v>
      </c>
      <c r="AP13" s="94">
        <f t="shared" si="4"/>
        <v>0.42445656565656564</v>
      </c>
      <c r="AQ13" s="94">
        <f t="shared" si="5"/>
        <v>0.3678909090909091</v>
      </c>
      <c r="AR13" s="94">
        <f t="shared" si="6"/>
        <v>0.86673393429982959</v>
      </c>
      <c r="AS13" s="95" t="s">
        <v>178</v>
      </c>
      <c r="AT13" s="35"/>
      <c r="AU13" s="102">
        <v>1</v>
      </c>
      <c r="AV13" s="102">
        <v>1</v>
      </c>
      <c r="AW13" s="102">
        <v>1</v>
      </c>
      <c r="AX13" s="102">
        <v>1</v>
      </c>
      <c r="AY13" s="102">
        <v>1</v>
      </c>
      <c r="AZ13" s="102">
        <v>1</v>
      </c>
      <c r="BA13" s="102">
        <v>1</v>
      </c>
      <c r="BB13" s="102">
        <v>1</v>
      </c>
      <c r="BC13" s="102">
        <v>1</v>
      </c>
      <c r="BD13" s="102">
        <v>1</v>
      </c>
      <c r="BE13" s="102">
        <v>1</v>
      </c>
      <c r="BF13" s="102">
        <v>1</v>
      </c>
      <c r="BG13" s="102">
        <v>1</v>
      </c>
      <c r="BH13" s="102">
        <v>1</v>
      </c>
      <c r="BI13" s="102">
        <v>1</v>
      </c>
      <c r="BJ13" s="102">
        <v>1</v>
      </c>
      <c r="BK13" s="102">
        <v>1</v>
      </c>
      <c r="BL13" s="102">
        <v>1</v>
      </c>
      <c r="BM13" s="102">
        <v>1</v>
      </c>
      <c r="BN13" s="102">
        <v>1</v>
      </c>
      <c r="BO13" s="102">
        <v>1</v>
      </c>
      <c r="BP13" s="102">
        <v>1</v>
      </c>
      <c r="BQ13" s="102">
        <v>1</v>
      </c>
      <c r="BR13" s="102">
        <v>1</v>
      </c>
      <c r="BS13" s="102">
        <v>1</v>
      </c>
      <c r="BT13" s="102">
        <v>1</v>
      </c>
      <c r="BU13" s="102">
        <v>1</v>
      </c>
      <c r="BV13" s="102">
        <v>1</v>
      </c>
      <c r="BW13" s="102">
        <v>1</v>
      </c>
      <c r="BX13" s="102">
        <v>1</v>
      </c>
      <c r="BY13" s="102">
        <v>1</v>
      </c>
      <c r="BZ13" s="102">
        <v>1</v>
      </c>
      <c r="CA13" s="102">
        <v>1</v>
      </c>
      <c r="CB13" s="102">
        <v>1</v>
      </c>
      <c r="CC13" s="102">
        <v>1</v>
      </c>
      <c r="CD13" s="102">
        <v>1</v>
      </c>
      <c r="CE13" s="102">
        <v>1</v>
      </c>
      <c r="CF13" s="102">
        <v>1</v>
      </c>
      <c r="CG13" s="102">
        <v>1</v>
      </c>
      <c r="CH13" s="102">
        <v>1</v>
      </c>
      <c r="CI13" s="102">
        <v>1</v>
      </c>
      <c r="CJ13" s="102">
        <v>1</v>
      </c>
      <c r="CK13" s="102">
        <v>1</v>
      </c>
      <c r="CL13" s="102">
        <v>1</v>
      </c>
      <c r="CM13" s="102">
        <v>1</v>
      </c>
      <c r="CN13" s="102">
        <v>1</v>
      </c>
      <c r="CO13" s="102">
        <v>1</v>
      </c>
      <c r="CP13" s="102">
        <v>1</v>
      </c>
      <c r="CQ13" s="102">
        <v>1</v>
      </c>
      <c r="CR13" s="102">
        <v>1</v>
      </c>
      <c r="CS13" s="103">
        <v>1</v>
      </c>
      <c r="CT13" s="102">
        <v>1</v>
      </c>
      <c r="CU13" s="102">
        <v>1</v>
      </c>
      <c r="CV13" s="102">
        <v>1</v>
      </c>
      <c r="CW13" s="102">
        <v>1</v>
      </c>
      <c r="CX13" s="102">
        <v>1</v>
      </c>
      <c r="CY13" s="102">
        <v>1</v>
      </c>
      <c r="CZ13" s="102">
        <v>1</v>
      </c>
      <c r="DA13" s="102">
        <v>1</v>
      </c>
      <c r="DB13" s="102">
        <v>1</v>
      </c>
      <c r="DC13" s="102">
        <v>1</v>
      </c>
      <c r="DD13" s="102">
        <v>1</v>
      </c>
      <c r="DE13" s="102">
        <v>1</v>
      </c>
      <c r="DF13" s="102">
        <v>1</v>
      </c>
      <c r="DG13" s="102">
        <v>1</v>
      </c>
      <c r="DH13" s="102">
        <v>1</v>
      </c>
      <c r="DI13" s="102">
        <v>1</v>
      </c>
      <c r="DJ13" s="102">
        <v>1</v>
      </c>
      <c r="DK13" s="102">
        <v>1</v>
      </c>
      <c r="DL13" s="102">
        <v>1</v>
      </c>
      <c r="DM13" s="102">
        <v>1</v>
      </c>
      <c r="DN13" s="102">
        <v>1</v>
      </c>
      <c r="DO13" s="102">
        <v>1</v>
      </c>
      <c r="DP13" s="102">
        <v>1</v>
      </c>
      <c r="DQ13" s="102">
        <v>1</v>
      </c>
      <c r="DR13" s="102">
        <v>1</v>
      </c>
      <c r="DS13" s="102">
        <v>1</v>
      </c>
      <c r="DT13" s="102">
        <v>1</v>
      </c>
      <c r="DU13" s="102">
        <v>1</v>
      </c>
      <c r="DV13" s="102">
        <v>1</v>
      </c>
      <c r="DW13" s="102">
        <v>1</v>
      </c>
      <c r="DX13" s="102">
        <v>1</v>
      </c>
      <c r="DY13" s="102">
        <v>1</v>
      </c>
      <c r="DZ13" s="102">
        <v>1</v>
      </c>
      <c r="EA13" s="102">
        <v>1</v>
      </c>
      <c r="EB13" s="102">
        <v>1</v>
      </c>
      <c r="EC13" s="102">
        <v>1</v>
      </c>
      <c r="ED13" s="102">
        <v>1</v>
      </c>
      <c r="EE13" s="102">
        <v>1</v>
      </c>
      <c r="EF13" s="102">
        <v>1</v>
      </c>
      <c r="EG13" s="102">
        <v>1</v>
      </c>
      <c r="EH13" s="102">
        <v>1</v>
      </c>
      <c r="EI13" s="102">
        <v>1</v>
      </c>
      <c r="EJ13" s="102">
        <v>1</v>
      </c>
      <c r="EK13" s="102">
        <v>1</v>
      </c>
      <c r="EL13" s="102">
        <v>1</v>
      </c>
      <c r="EM13" s="102">
        <v>1</v>
      </c>
      <c r="EN13" s="102">
        <v>1</v>
      </c>
      <c r="EO13" s="102">
        <v>1</v>
      </c>
      <c r="EP13" s="102">
        <v>1</v>
      </c>
      <c r="EQ13" s="102">
        <v>1</v>
      </c>
      <c r="ER13" s="102">
        <v>1</v>
      </c>
      <c r="ES13" s="102">
        <v>1</v>
      </c>
      <c r="ET13" s="102">
        <v>1</v>
      </c>
      <c r="EU13" s="102">
        <v>1</v>
      </c>
      <c r="EV13" s="102">
        <v>1</v>
      </c>
      <c r="EW13" s="102">
        <v>1</v>
      </c>
      <c r="EX13" s="102">
        <v>1</v>
      </c>
      <c r="EY13" s="102">
        <v>1</v>
      </c>
      <c r="EZ13" s="102">
        <v>1</v>
      </c>
      <c r="FA13" s="102">
        <v>1</v>
      </c>
      <c r="FB13" s="102">
        <v>1</v>
      </c>
      <c r="FC13" s="102">
        <v>1</v>
      </c>
      <c r="FD13" s="102">
        <v>1</v>
      </c>
      <c r="FE13" s="102">
        <v>1</v>
      </c>
      <c r="FF13" s="102">
        <v>1</v>
      </c>
      <c r="FG13" s="102">
        <v>1</v>
      </c>
      <c r="FH13" s="102">
        <v>1</v>
      </c>
      <c r="FI13" s="102">
        <v>1</v>
      </c>
      <c r="FJ13" s="102">
        <v>1</v>
      </c>
      <c r="FK13" s="102">
        <v>1</v>
      </c>
      <c r="FL13" s="102">
        <v>1</v>
      </c>
      <c r="FM13" s="102">
        <v>1</v>
      </c>
      <c r="FN13" s="102">
        <v>1</v>
      </c>
      <c r="FO13" s="102">
        <v>1</v>
      </c>
      <c r="FP13" s="102">
        <v>1</v>
      </c>
      <c r="FQ13" s="102">
        <v>1</v>
      </c>
      <c r="FR13" s="102">
        <v>1</v>
      </c>
      <c r="FS13" s="102">
        <v>1</v>
      </c>
      <c r="FT13" s="102">
        <v>1</v>
      </c>
      <c r="FU13" s="102">
        <v>1</v>
      </c>
      <c r="FV13" s="102">
        <v>1</v>
      </c>
      <c r="FW13" s="102">
        <v>1</v>
      </c>
      <c r="FX13" s="102">
        <v>1</v>
      </c>
      <c r="FY13" s="102">
        <v>1</v>
      </c>
      <c r="FZ13" s="102">
        <v>1</v>
      </c>
      <c r="GA13" s="102">
        <v>1</v>
      </c>
      <c r="GB13" s="102">
        <v>1</v>
      </c>
      <c r="GC13" s="102">
        <v>1</v>
      </c>
      <c r="GD13" s="102">
        <v>1</v>
      </c>
      <c r="GE13" s="102">
        <v>1</v>
      </c>
      <c r="GF13" s="102">
        <v>1</v>
      </c>
      <c r="GG13" s="102">
        <v>1</v>
      </c>
      <c r="GH13" s="102">
        <v>1</v>
      </c>
      <c r="GI13" s="102">
        <v>1</v>
      </c>
      <c r="GJ13" s="102">
        <v>1</v>
      </c>
      <c r="GK13" s="102">
        <v>1</v>
      </c>
      <c r="GL13" s="102">
        <v>1</v>
      </c>
      <c r="GM13" s="102">
        <v>1</v>
      </c>
      <c r="GN13" s="102">
        <v>1</v>
      </c>
      <c r="GO13" s="102">
        <v>1</v>
      </c>
      <c r="GP13" s="24">
        <f t="shared" si="7"/>
        <v>1</v>
      </c>
    </row>
    <row r="14" spans="1:198" ht="29.15" customHeight="1">
      <c r="B14" s="36">
        <v>1</v>
      </c>
      <c r="C14" s="34" t="s">
        <v>16</v>
      </c>
      <c r="D14" s="1">
        <v>16106</v>
      </c>
      <c r="E14" s="1" t="s">
        <v>94</v>
      </c>
      <c r="F14" s="34" t="s">
        <v>18</v>
      </c>
      <c r="G14" s="34" t="s">
        <v>45</v>
      </c>
      <c r="H14" s="1" t="s">
        <v>19</v>
      </c>
      <c r="I14" s="34" t="s">
        <v>89</v>
      </c>
      <c r="J14" s="1" t="s">
        <v>95</v>
      </c>
      <c r="K14" s="1">
        <v>4923</v>
      </c>
      <c r="L14" s="1" t="s">
        <v>22</v>
      </c>
      <c r="M14" s="1" t="s">
        <v>40</v>
      </c>
      <c r="N14" s="1" t="s">
        <v>24</v>
      </c>
      <c r="O14" s="1" t="s">
        <v>25</v>
      </c>
      <c r="P14" s="35">
        <v>57775656</v>
      </c>
      <c r="Q14" s="4" t="s">
        <v>91</v>
      </c>
      <c r="R14" s="1" t="s">
        <v>92</v>
      </c>
      <c r="S14" s="49">
        <v>69610</v>
      </c>
      <c r="T14" s="45">
        <v>342718061</v>
      </c>
      <c r="U14" s="45">
        <v>952</v>
      </c>
      <c r="V14" s="45"/>
      <c r="W14" s="51">
        <v>92878530</v>
      </c>
      <c r="X14" s="104">
        <v>75</v>
      </c>
      <c r="Y14" s="104" t="s">
        <v>163</v>
      </c>
      <c r="Z14" s="107">
        <v>12</v>
      </c>
      <c r="AA14" s="107">
        <v>13</v>
      </c>
      <c r="AB14" s="107">
        <v>4</v>
      </c>
      <c r="AC14" s="88">
        <v>1425.05</v>
      </c>
      <c r="AD14" s="88">
        <v>970.96000000000026</v>
      </c>
      <c r="AE14" s="88">
        <v>2456.16</v>
      </c>
      <c r="AF14" s="89">
        <f>'Цены,перевалка,аренда'!$C$26*SUM(Уголь_эластика_внутр!Z14+Уголь_эластика_внутр!AA14+Уголь_эластика_внутр!AB14)/Уголь_эластика_внутр!X14</f>
        <v>386.66666666666669</v>
      </c>
      <c r="AG14" s="90"/>
      <c r="AH14" s="47"/>
      <c r="AI14" s="91">
        <v>3876</v>
      </c>
      <c r="AJ14" s="92">
        <f>'Цены,перевалка,аренда'!$D$8</f>
        <v>3300</v>
      </c>
      <c r="AK14" s="47">
        <f>AJ14/'Цены,перевалка,аренда'!$C$1</f>
        <v>43.247210227309964</v>
      </c>
      <c r="AL14" s="47">
        <f t="shared" si="0"/>
        <v>2842.8266666666664</v>
      </c>
      <c r="AM14" s="47">
        <f t="shared" si="1"/>
        <v>457.17333333333363</v>
      </c>
      <c r="AN14" s="47">
        <f t="shared" si="2"/>
        <v>6718.8266666666668</v>
      </c>
      <c r="AO14" s="93">
        <f t="shared" si="3"/>
        <v>-1.0360080808080809</v>
      </c>
      <c r="AP14" s="94">
        <f t="shared" si="4"/>
        <v>0.86146262626262615</v>
      </c>
      <c r="AQ14" s="94">
        <f t="shared" si="5"/>
        <v>0.744290909090909</v>
      </c>
      <c r="AR14" s="94">
        <f t="shared" si="6"/>
        <v>0.86398514154925621</v>
      </c>
      <c r="AS14" s="95" t="s">
        <v>178</v>
      </c>
      <c r="AT14" s="35"/>
      <c r="AU14" s="102">
        <v>1</v>
      </c>
      <c r="AV14" s="102">
        <v>1</v>
      </c>
      <c r="AW14" s="102">
        <v>1</v>
      </c>
      <c r="AX14" s="102">
        <v>1</v>
      </c>
      <c r="AY14" s="102">
        <v>1</v>
      </c>
      <c r="AZ14" s="102">
        <v>1</v>
      </c>
      <c r="BA14" s="102">
        <v>1</v>
      </c>
      <c r="BB14" s="102">
        <v>1</v>
      </c>
      <c r="BC14" s="102">
        <v>1</v>
      </c>
      <c r="BD14" s="102">
        <v>1</v>
      </c>
      <c r="BE14" s="102">
        <v>1</v>
      </c>
      <c r="BF14" s="102">
        <v>1</v>
      </c>
      <c r="BG14" s="102">
        <v>1</v>
      </c>
      <c r="BH14" s="102">
        <v>1</v>
      </c>
      <c r="BI14" s="102">
        <v>1</v>
      </c>
      <c r="BJ14" s="102">
        <v>1</v>
      </c>
      <c r="BK14" s="102">
        <v>1</v>
      </c>
      <c r="BL14" s="102">
        <v>1</v>
      </c>
      <c r="BM14" s="102">
        <v>1</v>
      </c>
      <c r="BN14" s="102">
        <v>1</v>
      </c>
      <c r="BO14" s="102">
        <v>1</v>
      </c>
      <c r="BP14" s="102">
        <v>1</v>
      </c>
      <c r="BQ14" s="102">
        <v>1</v>
      </c>
      <c r="BR14" s="102">
        <v>1</v>
      </c>
      <c r="BS14" s="102">
        <v>1</v>
      </c>
      <c r="BT14" s="102">
        <v>1</v>
      </c>
      <c r="BU14" s="102">
        <v>1</v>
      </c>
      <c r="BV14" s="102">
        <v>1</v>
      </c>
      <c r="BW14" s="102">
        <v>1</v>
      </c>
      <c r="BX14" s="102">
        <v>1</v>
      </c>
      <c r="BY14" s="102">
        <v>1</v>
      </c>
      <c r="BZ14" s="102">
        <v>1</v>
      </c>
      <c r="CA14" s="102">
        <v>1</v>
      </c>
      <c r="CB14" s="102">
        <v>1</v>
      </c>
      <c r="CC14" s="102">
        <v>1</v>
      </c>
      <c r="CD14" s="102">
        <v>1</v>
      </c>
      <c r="CE14" s="102">
        <v>1</v>
      </c>
      <c r="CF14" s="102">
        <v>1</v>
      </c>
      <c r="CG14" s="102">
        <v>1</v>
      </c>
      <c r="CH14" s="102">
        <v>1</v>
      </c>
      <c r="CI14" s="102">
        <v>1</v>
      </c>
      <c r="CJ14" s="102">
        <v>1</v>
      </c>
      <c r="CK14" s="102">
        <v>1</v>
      </c>
      <c r="CL14" s="102">
        <v>1</v>
      </c>
      <c r="CM14" s="102">
        <v>1</v>
      </c>
      <c r="CN14" s="102">
        <v>1</v>
      </c>
      <c r="CO14" s="102">
        <v>1</v>
      </c>
      <c r="CP14" s="102">
        <v>1</v>
      </c>
      <c r="CQ14" s="102">
        <v>1</v>
      </c>
      <c r="CR14" s="102">
        <v>1</v>
      </c>
      <c r="CS14" s="103">
        <v>1</v>
      </c>
      <c r="CT14" s="102">
        <v>1</v>
      </c>
      <c r="CU14" s="102">
        <v>1</v>
      </c>
      <c r="CV14" s="102">
        <v>1</v>
      </c>
      <c r="CW14" s="102">
        <v>1</v>
      </c>
      <c r="CX14" s="102">
        <v>1</v>
      </c>
      <c r="CY14" s="102">
        <v>1</v>
      </c>
      <c r="CZ14" s="102">
        <v>1</v>
      </c>
      <c r="DA14" s="102">
        <v>1</v>
      </c>
      <c r="DB14" s="102">
        <v>1</v>
      </c>
      <c r="DC14" s="102">
        <v>1</v>
      </c>
      <c r="DD14" s="102">
        <v>1</v>
      </c>
      <c r="DE14" s="102">
        <v>1</v>
      </c>
      <c r="DF14" s="102">
        <v>1</v>
      </c>
      <c r="DG14" s="102">
        <v>1</v>
      </c>
      <c r="DH14" s="102">
        <v>1</v>
      </c>
      <c r="DI14" s="102">
        <v>1</v>
      </c>
      <c r="DJ14" s="102">
        <v>1</v>
      </c>
      <c r="DK14" s="102">
        <v>1</v>
      </c>
      <c r="DL14" s="102">
        <v>1</v>
      </c>
      <c r="DM14" s="102">
        <v>1</v>
      </c>
      <c r="DN14" s="102">
        <v>1</v>
      </c>
      <c r="DO14" s="102">
        <v>1</v>
      </c>
      <c r="DP14" s="102">
        <v>1</v>
      </c>
      <c r="DQ14" s="102">
        <v>1</v>
      </c>
      <c r="DR14" s="102">
        <v>1</v>
      </c>
      <c r="DS14" s="102">
        <v>1</v>
      </c>
      <c r="DT14" s="102">
        <v>1</v>
      </c>
      <c r="DU14" s="102">
        <v>1</v>
      </c>
      <c r="DV14" s="102">
        <v>1</v>
      </c>
      <c r="DW14" s="102">
        <v>1</v>
      </c>
      <c r="DX14" s="102">
        <v>1</v>
      </c>
      <c r="DY14" s="102">
        <v>1</v>
      </c>
      <c r="DZ14" s="102">
        <v>1</v>
      </c>
      <c r="EA14" s="102">
        <v>1</v>
      </c>
      <c r="EB14" s="102">
        <v>1</v>
      </c>
      <c r="EC14" s="102">
        <v>1</v>
      </c>
      <c r="ED14" s="102">
        <v>1</v>
      </c>
      <c r="EE14" s="102">
        <v>1</v>
      </c>
      <c r="EF14" s="102">
        <v>1</v>
      </c>
      <c r="EG14" s="102">
        <v>1</v>
      </c>
      <c r="EH14" s="102">
        <v>1</v>
      </c>
      <c r="EI14" s="102">
        <v>1</v>
      </c>
      <c r="EJ14" s="102">
        <v>1</v>
      </c>
      <c r="EK14" s="102">
        <v>1</v>
      </c>
      <c r="EL14" s="102">
        <v>1</v>
      </c>
      <c r="EM14" s="102">
        <v>1</v>
      </c>
      <c r="EN14" s="102">
        <v>1</v>
      </c>
      <c r="EO14" s="102">
        <v>1</v>
      </c>
      <c r="EP14" s="102">
        <v>1</v>
      </c>
      <c r="EQ14" s="102">
        <v>1</v>
      </c>
      <c r="ER14" s="102">
        <v>1</v>
      </c>
      <c r="ES14" s="102">
        <v>1</v>
      </c>
      <c r="ET14" s="102">
        <v>1</v>
      </c>
      <c r="EU14" s="102">
        <v>1</v>
      </c>
      <c r="EV14" s="102">
        <v>1</v>
      </c>
      <c r="EW14" s="102">
        <v>1</v>
      </c>
      <c r="EX14" s="102">
        <v>1</v>
      </c>
      <c r="EY14" s="102">
        <v>1</v>
      </c>
      <c r="EZ14" s="102">
        <v>1</v>
      </c>
      <c r="FA14" s="102">
        <v>1</v>
      </c>
      <c r="FB14" s="102">
        <v>1</v>
      </c>
      <c r="FC14" s="102">
        <v>1</v>
      </c>
      <c r="FD14" s="102">
        <v>1</v>
      </c>
      <c r="FE14" s="102">
        <v>1</v>
      </c>
      <c r="FF14" s="102">
        <v>1</v>
      </c>
      <c r="FG14" s="102">
        <v>1</v>
      </c>
      <c r="FH14" s="102">
        <v>1</v>
      </c>
      <c r="FI14" s="102">
        <v>1</v>
      </c>
      <c r="FJ14" s="102">
        <v>1</v>
      </c>
      <c r="FK14" s="102">
        <v>1</v>
      </c>
      <c r="FL14" s="102">
        <v>1</v>
      </c>
      <c r="FM14" s="102">
        <v>1</v>
      </c>
      <c r="FN14" s="102">
        <v>1</v>
      </c>
      <c r="FO14" s="102">
        <v>1</v>
      </c>
      <c r="FP14" s="102">
        <v>1</v>
      </c>
      <c r="FQ14" s="102">
        <v>1</v>
      </c>
      <c r="FR14" s="102">
        <v>1</v>
      </c>
      <c r="FS14" s="102">
        <v>1</v>
      </c>
      <c r="FT14" s="102">
        <v>1</v>
      </c>
      <c r="FU14" s="102">
        <v>1</v>
      </c>
      <c r="FV14" s="102">
        <v>1</v>
      </c>
      <c r="FW14" s="102">
        <v>1</v>
      </c>
      <c r="FX14" s="102">
        <v>1</v>
      </c>
      <c r="FY14" s="102">
        <v>1</v>
      </c>
      <c r="FZ14" s="102">
        <v>1</v>
      </c>
      <c r="GA14" s="102">
        <v>1</v>
      </c>
      <c r="GB14" s="102">
        <v>1</v>
      </c>
      <c r="GC14" s="102">
        <v>1</v>
      </c>
      <c r="GD14" s="102">
        <v>1</v>
      </c>
      <c r="GE14" s="102">
        <v>1</v>
      </c>
      <c r="GF14" s="102">
        <v>1</v>
      </c>
      <c r="GG14" s="102">
        <v>1</v>
      </c>
      <c r="GH14" s="102">
        <v>1</v>
      </c>
      <c r="GI14" s="102">
        <v>1</v>
      </c>
      <c r="GJ14" s="102">
        <v>1</v>
      </c>
      <c r="GK14" s="102">
        <v>1</v>
      </c>
      <c r="GL14" s="102">
        <v>1</v>
      </c>
      <c r="GM14" s="102">
        <v>1</v>
      </c>
      <c r="GN14" s="102">
        <v>1</v>
      </c>
      <c r="GO14" s="102">
        <v>1</v>
      </c>
      <c r="GP14" s="24">
        <f t="shared" si="7"/>
        <v>1</v>
      </c>
    </row>
    <row r="15" spans="1:198" ht="29.15">
      <c r="B15" s="36">
        <v>1</v>
      </c>
      <c r="C15" s="34" t="s">
        <v>16</v>
      </c>
      <c r="D15" s="1">
        <v>16104</v>
      </c>
      <c r="E15" s="1" t="s">
        <v>88</v>
      </c>
      <c r="F15" s="34" t="s">
        <v>78</v>
      </c>
      <c r="G15" s="34" t="s">
        <v>45</v>
      </c>
      <c r="H15" s="1" t="s">
        <v>42</v>
      </c>
      <c r="I15" s="34" t="s">
        <v>89</v>
      </c>
      <c r="J15" s="1" t="s">
        <v>96</v>
      </c>
      <c r="K15" s="1">
        <v>3840</v>
      </c>
      <c r="L15" s="1" t="s">
        <v>22</v>
      </c>
      <c r="M15" s="1" t="s">
        <v>40</v>
      </c>
      <c r="N15" s="1" t="s">
        <v>24</v>
      </c>
      <c r="O15" s="1" t="s">
        <v>33</v>
      </c>
      <c r="P15" s="35">
        <v>57775656</v>
      </c>
      <c r="Q15" s="4" t="s">
        <v>91</v>
      </c>
      <c r="R15" s="1" t="s">
        <v>92</v>
      </c>
      <c r="S15" s="49">
        <v>343593</v>
      </c>
      <c r="T15" s="45">
        <v>1319353032</v>
      </c>
      <c r="U15" s="45">
        <v>4760</v>
      </c>
      <c r="V15" s="45"/>
      <c r="W15" s="51">
        <v>528975066</v>
      </c>
      <c r="X15" s="104">
        <v>75</v>
      </c>
      <c r="Y15" s="104" t="s">
        <v>163</v>
      </c>
      <c r="Z15" s="107">
        <v>9</v>
      </c>
      <c r="AA15" s="107">
        <v>10</v>
      </c>
      <c r="AB15" s="107">
        <v>4</v>
      </c>
      <c r="AC15" s="88">
        <v>1630</v>
      </c>
      <c r="AD15" s="88">
        <v>779.42999999999984</v>
      </c>
      <c r="AE15" s="88">
        <v>2227.4499999999998</v>
      </c>
      <c r="AF15" s="89">
        <f>'Цены,перевалка,аренда'!$C$26*SUM(Уголь_эластика_внутр!Z15+Уголь_эластика_внутр!AA15+Уголь_эластика_внутр!AB15)/Уголь_эластика_внутр!X15</f>
        <v>306.66666666666669</v>
      </c>
      <c r="AG15" s="90"/>
      <c r="AH15" s="47"/>
      <c r="AI15" s="91">
        <v>3876</v>
      </c>
      <c r="AJ15" s="92">
        <f>'Цены,перевалка,аренда'!$D$14</f>
        <v>10200</v>
      </c>
      <c r="AK15" s="47">
        <f>AJ15/'Цены,перевалка,аренда'!$C$1</f>
        <v>133.67319524804898</v>
      </c>
      <c r="AL15" s="47">
        <f t="shared" si="0"/>
        <v>2534.1166666666663</v>
      </c>
      <c r="AM15" s="47">
        <f t="shared" si="1"/>
        <v>7665.8833333333332</v>
      </c>
      <c r="AN15" s="47">
        <f t="shared" si="2"/>
        <v>6410.1166666666668</v>
      </c>
      <c r="AO15" s="93">
        <f t="shared" si="3"/>
        <v>0.37155718954248362</v>
      </c>
      <c r="AP15" s="94">
        <f t="shared" si="4"/>
        <v>0.24844281045751632</v>
      </c>
      <c r="AQ15" s="94">
        <f t="shared" si="5"/>
        <v>0.21837745098039213</v>
      </c>
      <c r="AR15" s="94">
        <f t="shared" si="6"/>
        <v>0.87898478759857157</v>
      </c>
      <c r="AS15" s="95" t="s">
        <v>179</v>
      </c>
      <c r="AT15" s="35"/>
      <c r="AU15" s="102">
        <v>1</v>
      </c>
      <c r="AV15" s="102">
        <v>1</v>
      </c>
      <c r="AW15" s="102">
        <v>1</v>
      </c>
      <c r="AX15" s="102">
        <v>1</v>
      </c>
      <c r="AY15" s="102">
        <v>1</v>
      </c>
      <c r="AZ15" s="102">
        <v>1</v>
      </c>
      <c r="BA15" s="102">
        <v>1</v>
      </c>
      <c r="BB15" s="102">
        <v>1</v>
      </c>
      <c r="BC15" s="102">
        <v>1</v>
      </c>
      <c r="BD15" s="102">
        <v>1</v>
      </c>
      <c r="BE15" s="102">
        <v>1</v>
      </c>
      <c r="BF15" s="102">
        <v>1</v>
      </c>
      <c r="BG15" s="102">
        <v>1</v>
      </c>
      <c r="BH15" s="102">
        <v>1</v>
      </c>
      <c r="BI15" s="102">
        <v>1</v>
      </c>
      <c r="BJ15" s="102">
        <v>1</v>
      </c>
      <c r="BK15" s="102">
        <v>1</v>
      </c>
      <c r="BL15" s="102">
        <v>1</v>
      </c>
      <c r="BM15" s="102">
        <v>1</v>
      </c>
      <c r="BN15" s="102">
        <v>1</v>
      </c>
      <c r="BO15" s="102">
        <v>1</v>
      </c>
      <c r="BP15" s="102">
        <v>1</v>
      </c>
      <c r="BQ15" s="102">
        <v>1</v>
      </c>
      <c r="BR15" s="102">
        <v>1</v>
      </c>
      <c r="BS15" s="102">
        <v>1</v>
      </c>
      <c r="BT15" s="102">
        <v>1</v>
      </c>
      <c r="BU15" s="102">
        <v>1</v>
      </c>
      <c r="BV15" s="102">
        <v>1</v>
      </c>
      <c r="BW15" s="102">
        <v>1</v>
      </c>
      <c r="BX15" s="102">
        <v>1</v>
      </c>
      <c r="BY15" s="102">
        <v>1</v>
      </c>
      <c r="BZ15" s="102">
        <v>1</v>
      </c>
      <c r="CA15" s="102">
        <v>1</v>
      </c>
      <c r="CB15" s="102">
        <v>1</v>
      </c>
      <c r="CC15" s="102">
        <v>1</v>
      </c>
      <c r="CD15" s="102">
        <v>1</v>
      </c>
      <c r="CE15" s="102">
        <v>1</v>
      </c>
      <c r="CF15" s="102">
        <v>1</v>
      </c>
      <c r="CG15" s="102">
        <v>1</v>
      </c>
      <c r="CH15" s="102">
        <v>1</v>
      </c>
      <c r="CI15" s="102">
        <v>1</v>
      </c>
      <c r="CJ15" s="102">
        <v>1</v>
      </c>
      <c r="CK15" s="102">
        <v>1</v>
      </c>
      <c r="CL15" s="102">
        <v>1</v>
      </c>
      <c r="CM15" s="102">
        <v>1</v>
      </c>
      <c r="CN15" s="102">
        <v>1</v>
      </c>
      <c r="CO15" s="102">
        <v>1</v>
      </c>
      <c r="CP15" s="102">
        <v>1</v>
      </c>
      <c r="CQ15" s="102">
        <v>1</v>
      </c>
      <c r="CR15" s="102">
        <v>1</v>
      </c>
      <c r="CS15" s="103">
        <v>1</v>
      </c>
      <c r="CT15" s="102">
        <v>1</v>
      </c>
      <c r="CU15" s="102">
        <v>1</v>
      </c>
      <c r="CV15" s="102">
        <v>1</v>
      </c>
      <c r="CW15" s="102">
        <v>1</v>
      </c>
      <c r="CX15" s="102">
        <v>1</v>
      </c>
      <c r="CY15" s="102">
        <v>1</v>
      </c>
      <c r="CZ15" s="102">
        <v>1</v>
      </c>
      <c r="DA15" s="102">
        <v>1</v>
      </c>
      <c r="DB15" s="102">
        <v>1</v>
      </c>
      <c r="DC15" s="102">
        <v>1</v>
      </c>
      <c r="DD15" s="102">
        <v>1</v>
      </c>
      <c r="DE15" s="102">
        <v>1</v>
      </c>
      <c r="DF15" s="102">
        <v>1</v>
      </c>
      <c r="DG15" s="102">
        <v>1</v>
      </c>
      <c r="DH15" s="102">
        <v>1</v>
      </c>
      <c r="DI15" s="102">
        <v>1</v>
      </c>
      <c r="DJ15" s="102">
        <v>1</v>
      </c>
      <c r="DK15" s="102">
        <v>1</v>
      </c>
      <c r="DL15" s="102">
        <v>1</v>
      </c>
      <c r="DM15" s="102">
        <v>1</v>
      </c>
      <c r="DN15" s="102">
        <v>1</v>
      </c>
      <c r="DO15" s="102">
        <v>1</v>
      </c>
      <c r="DP15" s="102">
        <v>1</v>
      </c>
      <c r="DQ15" s="102">
        <v>1</v>
      </c>
      <c r="DR15" s="102">
        <v>1</v>
      </c>
      <c r="DS15" s="102">
        <v>1</v>
      </c>
      <c r="DT15" s="102">
        <v>1</v>
      </c>
      <c r="DU15" s="102">
        <v>1</v>
      </c>
      <c r="DV15" s="102">
        <v>1</v>
      </c>
      <c r="DW15" s="102">
        <v>1</v>
      </c>
      <c r="DX15" s="102">
        <v>1</v>
      </c>
      <c r="DY15" s="102">
        <v>1</v>
      </c>
      <c r="DZ15" s="102">
        <v>1</v>
      </c>
      <c r="EA15" s="102">
        <v>1</v>
      </c>
      <c r="EB15" s="102">
        <v>1</v>
      </c>
      <c r="EC15" s="102">
        <v>1</v>
      </c>
      <c r="ED15" s="102">
        <v>1</v>
      </c>
      <c r="EE15" s="102">
        <v>1</v>
      </c>
      <c r="EF15" s="102">
        <v>1</v>
      </c>
      <c r="EG15" s="102">
        <v>1</v>
      </c>
      <c r="EH15" s="102">
        <v>1</v>
      </c>
      <c r="EI15" s="102">
        <v>1</v>
      </c>
      <c r="EJ15" s="102">
        <v>1</v>
      </c>
      <c r="EK15" s="102">
        <v>1</v>
      </c>
      <c r="EL15" s="102">
        <v>1</v>
      </c>
      <c r="EM15" s="102">
        <v>1</v>
      </c>
      <c r="EN15" s="102">
        <v>1</v>
      </c>
      <c r="EO15" s="102">
        <v>1</v>
      </c>
      <c r="EP15" s="102">
        <v>1</v>
      </c>
      <c r="EQ15" s="102">
        <v>1</v>
      </c>
      <c r="ER15" s="102">
        <v>1</v>
      </c>
      <c r="ES15" s="102">
        <v>1</v>
      </c>
      <c r="ET15" s="102">
        <v>1</v>
      </c>
      <c r="EU15" s="102">
        <v>1</v>
      </c>
      <c r="EV15" s="102">
        <v>1</v>
      </c>
      <c r="EW15" s="102">
        <v>1</v>
      </c>
      <c r="EX15" s="102">
        <v>1</v>
      </c>
      <c r="EY15" s="102">
        <v>1</v>
      </c>
      <c r="EZ15" s="102">
        <v>1</v>
      </c>
      <c r="FA15" s="102">
        <v>1</v>
      </c>
      <c r="FB15" s="102">
        <v>1</v>
      </c>
      <c r="FC15" s="102">
        <v>1</v>
      </c>
      <c r="FD15" s="102">
        <v>1</v>
      </c>
      <c r="FE15" s="102">
        <v>1</v>
      </c>
      <c r="FF15" s="102">
        <v>1</v>
      </c>
      <c r="FG15" s="102">
        <v>1</v>
      </c>
      <c r="FH15" s="102">
        <v>1</v>
      </c>
      <c r="FI15" s="102">
        <v>1</v>
      </c>
      <c r="FJ15" s="102">
        <v>1</v>
      </c>
      <c r="FK15" s="102">
        <v>1</v>
      </c>
      <c r="FL15" s="102">
        <v>1</v>
      </c>
      <c r="FM15" s="102">
        <v>1</v>
      </c>
      <c r="FN15" s="102">
        <v>1</v>
      </c>
      <c r="FO15" s="102">
        <v>1</v>
      </c>
      <c r="FP15" s="102">
        <v>1</v>
      </c>
      <c r="FQ15" s="102">
        <v>1</v>
      </c>
      <c r="FR15" s="102">
        <v>1</v>
      </c>
      <c r="FS15" s="102">
        <v>1</v>
      </c>
      <c r="FT15" s="102">
        <v>1</v>
      </c>
      <c r="FU15" s="102">
        <v>1</v>
      </c>
      <c r="FV15" s="102">
        <v>1</v>
      </c>
      <c r="FW15" s="102">
        <v>1</v>
      </c>
      <c r="FX15" s="102">
        <v>1</v>
      </c>
      <c r="FY15" s="102">
        <v>1</v>
      </c>
      <c r="FZ15" s="102">
        <v>1</v>
      </c>
      <c r="GA15" s="102">
        <v>1</v>
      </c>
      <c r="GB15" s="102">
        <v>1</v>
      </c>
      <c r="GC15" s="102">
        <v>1</v>
      </c>
      <c r="GD15" s="102">
        <v>1</v>
      </c>
      <c r="GE15" s="102">
        <v>1</v>
      </c>
      <c r="GF15" s="102">
        <v>1</v>
      </c>
      <c r="GG15" s="102">
        <v>1</v>
      </c>
      <c r="GH15" s="102">
        <v>1</v>
      </c>
      <c r="GI15" s="102">
        <v>1</v>
      </c>
      <c r="GJ15" s="102">
        <v>1</v>
      </c>
      <c r="GK15" s="102">
        <v>1</v>
      </c>
      <c r="GL15" s="102">
        <v>1</v>
      </c>
      <c r="GM15" s="102">
        <v>1</v>
      </c>
      <c r="GN15" s="102">
        <v>1</v>
      </c>
      <c r="GO15" s="102">
        <v>1</v>
      </c>
      <c r="GP15" s="24">
        <f t="shared" si="7"/>
        <v>1</v>
      </c>
    </row>
    <row r="16" spans="1:198" ht="29.15" customHeight="1">
      <c r="B16" s="36">
        <v>1</v>
      </c>
      <c r="C16" s="34" t="s">
        <v>16</v>
      </c>
      <c r="D16" s="1">
        <v>16111</v>
      </c>
      <c r="E16" s="1" t="s">
        <v>17</v>
      </c>
      <c r="F16" s="34" t="s">
        <v>18</v>
      </c>
      <c r="G16" s="34" t="s">
        <v>45</v>
      </c>
      <c r="H16" s="1" t="s">
        <v>45</v>
      </c>
      <c r="I16" s="1" t="s">
        <v>72</v>
      </c>
      <c r="J16" s="1" t="s">
        <v>93</v>
      </c>
      <c r="K16" s="1">
        <v>51</v>
      </c>
      <c r="L16" s="1" t="s">
        <v>22</v>
      </c>
      <c r="M16" s="1" t="s">
        <v>40</v>
      </c>
      <c r="N16" s="1" t="s">
        <v>24</v>
      </c>
      <c r="O16" s="1" t="s">
        <v>36</v>
      </c>
      <c r="P16" s="4">
        <v>26635687</v>
      </c>
      <c r="Q16" s="4" t="s">
        <v>97</v>
      </c>
      <c r="R16" s="1" t="s">
        <v>92</v>
      </c>
      <c r="S16" s="49">
        <v>1213340</v>
      </c>
      <c r="T16" s="45">
        <v>61880791</v>
      </c>
      <c r="U16" s="45">
        <v>16744</v>
      </c>
      <c r="V16" s="45"/>
      <c r="W16" s="51">
        <v>179351928</v>
      </c>
      <c r="X16" s="104">
        <v>75</v>
      </c>
      <c r="Y16" s="104" t="s">
        <v>163</v>
      </c>
      <c r="Z16" s="107">
        <v>3</v>
      </c>
      <c r="AA16" s="107">
        <v>4</v>
      </c>
      <c r="AB16" s="107">
        <v>4</v>
      </c>
      <c r="AC16" s="88">
        <v>155.57</v>
      </c>
      <c r="AD16" s="88">
        <v>23.590000000000003</v>
      </c>
      <c r="AE16" s="88">
        <v>185.73</v>
      </c>
      <c r="AF16" s="89">
        <f>'Цены,перевалка,аренда'!$C$26*SUM(Уголь_эластика_внутр!Z16+Уголь_эластика_внутр!AA16+Уголь_эластика_внутр!AB16)/Уголь_эластика_внутр!X16</f>
        <v>146.66666666666666</v>
      </c>
      <c r="AG16" s="90"/>
      <c r="AH16" s="47"/>
      <c r="AI16" s="91">
        <v>3876</v>
      </c>
      <c r="AJ16" s="92">
        <f>'Цены,перевалка,аренда'!$D$8</f>
        <v>3300</v>
      </c>
      <c r="AK16" s="47">
        <f>AJ16/'Цены,перевалка,аренда'!$C$1</f>
        <v>43.247210227309964</v>
      </c>
      <c r="AL16" s="47">
        <f t="shared" si="0"/>
        <v>332.39666666666665</v>
      </c>
      <c r="AM16" s="47">
        <f t="shared" si="1"/>
        <v>2967.6033333333335</v>
      </c>
      <c r="AN16" s="47">
        <f t="shared" si="2"/>
        <v>4208.3966666666665</v>
      </c>
      <c r="AO16" s="93">
        <f t="shared" si="3"/>
        <v>-0.27527171717171711</v>
      </c>
      <c r="AP16" s="94">
        <f t="shared" si="4"/>
        <v>0.10072626262626262</v>
      </c>
      <c r="AQ16" s="94">
        <f t="shared" si="5"/>
        <v>5.6281818181818176E-2</v>
      </c>
      <c r="AR16" s="94">
        <f t="shared" si="6"/>
        <v>0.55876011592575137</v>
      </c>
      <c r="AS16" s="95" t="s">
        <v>200</v>
      </c>
      <c r="AT16" s="35"/>
      <c r="AU16" s="102">
        <v>1</v>
      </c>
      <c r="AV16" s="102">
        <v>1</v>
      </c>
      <c r="AW16" s="102">
        <v>1</v>
      </c>
      <c r="AX16" s="102">
        <v>1</v>
      </c>
      <c r="AY16" s="102">
        <v>1</v>
      </c>
      <c r="AZ16" s="102">
        <v>1</v>
      </c>
      <c r="BA16" s="102">
        <v>1</v>
      </c>
      <c r="BB16" s="102">
        <v>1</v>
      </c>
      <c r="BC16" s="102">
        <v>1</v>
      </c>
      <c r="BD16" s="102">
        <v>1</v>
      </c>
      <c r="BE16" s="102">
        <v>1</v>
      </c>
      <c r="BF16" s="102">
        <v>1</v>
      </c>
      <c r="BG16" s="102">
        <v>1</v>
      </c>
      <c r="BH16" s="102">
        <v>1</v>
      </c>
      <c r="BI16" s="102">
        <v>1</v>
      </c>
      <c r="BJ16" s="102">
        <v>1</v>
      </c>
      <c r="BK16" s="102">
        <v>1</v>
      </c>
      <c r="BL16" s="102">
        <v>1</v>
      </c>
      <c r="BM16" s="102">
        <v>1</v>
      </c>
      <c r="BN16" s="102">
        <v>1</v>
      </c>
      <c r="BO16" s="102">
        <v>1</v>
      </c>
      <c r="BP16" s="102">
        <v>1</v>
      </c>
      <c r="BQ16" s="102">
        <v>1</v>
      </c>
      <c r="BR16" s="102">
        <v>1</v>
      </c>
      <c r="BS16" s="102">
        <v>1</v>
      </c>
      <c r="BT16" s="102">
        <v>1</v>
      </c>
      <c r="BU16" s="102">
        <v>1</v>
      </c>
      <c r="BV16" s="102">
        <v>1</v>
      </c>
      <c r="BW16" s="102">
        <v>1</v>
      </c>
      <c r="BX16" s="102">
        <v>1</v>
      </c>
      <c r="BY16" s="102">
        <v>1</v>
      </c>
      <c r="BZ16" s="102">
        <v>1</v>
      </c>
      <c r="CA16" s="102">
        <v>1</v>
      </c>
      <c r="CB16" s="102">
        <v>1</v>
      </c>
      <c r="CC16" s="102">
        <v>1</v>
      </c>
      <c r="CD16" s="102">
        <v>1</v>
      </c>
      <c r="CE16" s="102">
        <v>1</v>
      </c>
      <c r="CF16" s="102">
        <v>1</v>
      </c>
      <c r="CG16" s="102">
        <v>1</v>
      </c>
      <c r="CH16" s="102">
        <v>1</v>
      </c>
      <c r="CI16" s="102">
        <v>1</v>
      </c>
      <c r="CJ16" s="102">
        <v>1</v>
      </c>
      <c r="CK16" s="102">
        <v>1</v>
      </c>
      <c r="CL16" s="102">
        <v>1</v>
      </c>
      <c r="CM16" s="102">
        <v>1</v>
      </c>
      <c r="CN16" s="102">
        <v>1</v>
      </c>
      <c r="CO16" s="102">
        <v>1</v>
      </c>
      <c r="CP16" s="102">
        <v>1</v>
      </c>
      <c r="CQ16" s="102">
        <v>1</v>
      </c>
      <c r="CR16" s="102">
        <v>1</v>
      </c>
      <c r="CS16" s="103">
        <v>1</v>
      </c>
      <c r="CT16" s="102">
        <v>1</v>
      </c>
      <c r="CU16" s="102">
        <v>1</v>
      </c>
      <c r="CV16" s="102">
        <v>1</v>
      </c>
      <c r="CW16" s="102">
        <v>1</v>
      </c>
      <c r="CX16" s="102">
        <v>1</v>
      </c>
      <c r="CY16" s="102">
        <v>1</v>
      </c>
      <c r="CZ16" s="102">
        <v>1</v>
      </c>
      <c r="DA16" s="102">
        <v>1</v>
      </c>
      <c r="DB16" s="102">
        <v>1</v>
      </c>
      <c r="DC16" s="102">
        <v>1</v>
      </c>
      <c r="DD16" s="102">
        <v>1</v>
      </c>
      <c r="DE16" s="102">
        <v>1</v>
      </c>
      <c r="DF16" s="102">
        <v>1</v>
      </c>
      <c r="DG16" s="102">
        <v>1</v>
      </c>
      <c r="DH16" s="102">
        <v>1</v>
      </c>
      <c r="DI16" s="102">
        <v>1</v>
      </c>
      <c r="DJ16" s="102">
        <v>1</v>
      </c>
      <c r="DK16" s="102">
        <v>1</v>
      </c>
      <c r="DL16" s="102">
        <v>1</v>
      </c>
      <c r="DM16" s="102">
        <v>1</v>
      </c>
      <c r="DN16" s="102">
        <v>1</v>
      </c>
      <c r="DO16" s="102">
        <v>1</v>
      </c>
      <c r="DP16" s="102">
        <v>1</v>
      </c>
      <c r="DQ16" s="102">
        <v>1</v>
      </c>
      <c r="DR16" s="102">
        <v>1</v>
      </c>
      <c r="DS16" s="102">
        <v>1</v>
      </c>
      <c r="DT16" s="102">
        <v>1</v>
      </c>
      <c r="DU16" s="102">
        <v>1</v>
      </c>
      <c r="DV16" s="102">
        <v>1</v>
      </c>
      <c r="DW16" s="102">
        <v>1</v>
      </c>
      <c r="DX16" s="102">
        <v>1</v>
      </c>
      <c r="DY16" s="102">
        <v>1</v>
      </c>
      <c r="DZ16" s="102">
        <v>1</v>
      </c>
      <c r="EA16" s="102">
        <v>1</v>
      </c>
      <c r="EB16" s="102">
        <v>1</v>
      </c>
      <c r="EC16" s="102">
        <v>1</v>
      </c>
      <c r="ED16" s="102">
        <v>1</v>
      </c>
      <c r="EE16" s="102">
        <v>1</v>
      </c>
      <c r="EF16" s="102">
        <v>1</v>
      </c>
      <c r="EG16" s="102">
        <v>1</v>
      </c>
      <c r="EH16" s="102">
        <v>1</v>
      </c>
      <c r="EI16" s="102">
        <v>1</v>
      </c>
      <c r="EJ16" s="102">
        <v>1</v>
      </c>
      <c r="EK16" s="102">
        <v>1</v>
      </c>
      <c r="EL16" s="102">
        <v>1</v>
      </c>
      <c r="EM16" s="102">
        <v>1</v>
      </c>
      <c r="EN16" s="102">
        <v>1</v>
      </c>
      <c r="EO16" s="102">
        <v>1</v>
      </c>
      <c r="EP16" s="102">
        <v>1</v>
      </c>
      <c r="EQ16" s="102">
        <v>1</v>
      </c>
      <c r="ER16" s="102">
        <v>1</v>
      </c>
      <c r="ES16" s="102">
        <v>1</v>
      </c>
      <c r="ET16" s="102">
        <v>1</v>
      </c>
      <c r="EU16" s="102">
        <v>1</v>
      </c>
      <c r="EV16" s="102">
        <v>1</v>
      </c>
      <c r="EW16" s="102">
        <v>1</v>
      </c>
      <c r="EX16" s="102">
        <v>1</v>
      </c>
      <c r="EY16" s="102">
        <v>1</v>
      </c>
      <c r="EZ16" s="102">
        <v>1</v>
      </c>
      <c r="FA16" s="102">
        <v>1</v>
      </c>
      <c r="FB16" s="102">
        <v>1</v>
      </c>
      <c r="FC16" s="102">
        <v>1</v>
      </c>
      <c r="FD16" s="102">
        <v>1</v>
      </c>
      <c r="FE16" s="102">
        <v>1</v>
      </c>
      <c r="FF16" s="102">
        <v>1</v>
      </c>
      <c r="FG16" s="102">
        <v>1</v>
      </c>
      <c r="FH16" s="102">
        <v>1</v>
      </c>
      <c r="FI16" s="102">
        <v>1</v>
      </c>
      <c r="FJ16" s="102">
        <v>1</v>
      </c>
      <c r="FK16" s="102">
        <v>1</v>
      </c>
      <c r="FL16" s="102">
        <v>1</v>
      </c>
      <c r="FM16" s="102">
        <v>1</v>
      </c>
      <c r="FN16" s="102">
        <v>1</v>
      </c>
      <c r="FO16" s="102">
        <v>1</v>
      </c>
      <c r="FP16" s="102">
        <v>1</v>
      </c>
      <c r="FQ16" s="102">
        <v>1</v>
      </c>
      <c r="FR16" s="102">
        <v>1</v>
      </c>
      <c r="FS16" s="102">
        <v>1</v>
      </c>
      <c r="FT16" s="102">
        <v>1</v>
      </c>
      <c r="FU16" s="102">
        <v>1</v>
      </c>
      <c r="FV16" s="102">
        <v>1</v>
      </c>
      <c r="FW16" s="102">
        <v>1</v>
      </c>
      <c r="FX16" s="102">
        <v>1</v>
      </c>
      <c r="FY16" s="102">
        <v>1</v>
      </c>
      <c r="FZ16" s="102">
        <v>1</v>
      </c>
      <c r="GA16" s="102">
        <v>1</v>
      </c>
      <c r="GB16" s="102">
        <v>1</v>
      </c>
      <c r="GC16" s="102">
        <v>1</v>
      </c>
      <c r="GD16" s="102">
        <v>1</v>
      </c>
      <c r="GE16" s="102">
        <v>1</v>
      </c>
      <c r="GF16" s="102">
        <v>1</v>
      </c>
      <c r="GG16" s="102">
        <v>1</v>
      </c>
      <c r="GH16" s="102">
        <v>1</v>
      </c>
      <c r="GI16" s="102">
        <v>1</v>
      </c>
      <c r="GJ16" s="102">
        <v>1</v>
      </c>
      <c r="GK16" s="102">
        <v>1</v>
      </c>
      <c r="GL16" s="102">
        <v>1</v>
      </c>
      <c r="GM16" s="102">
        <v>1</v>
      </c>
      <c r="GN16" s="102">
        <v>1</v>
      </c>
      <c r="GO16" s="102">
        <v>1</v>
      </c>
      <c r="GP16" s="24">
        <f t="shared" si="7"/>
        <v>1</v>
      </c>
    </row>
    <row r="17" spans="1:198" ht="29.15" customHeight="1">
      <c r="B17" s="36">
        <v>1</v>
      </c>
      <c r="C17" s="34" t="s">
        <v>16</v>
      </c>
      <c r="D17" s="1">
        <v>16118</v>
      </c>
      <c r="E17" s="1" t="s">
        <v>65</v>
      </c>
      <c r="F17" s="34" t="s">
        <v>18</v>
      </c>
      <c r="G17" s="34" t="s">
        <v>45</v>
      </c>
      <c r="H17" s="1" t="s">
        <v>19</v>
      </c>
      <c r="I17" s="34" t="s">
        <v>104</v>
      </c>
      <c r="J17" s="1" t="s">
        <v>95</v>
      </c>
      <c r="K17" s="1">
        <v>4937</v>
      </c>
      <c r="L17" s="1" t="s">
        <v>22</v>
      </c>
      <c r="M17" s="1" t="s">
        <v>40</v>
      </c>
      <c r="N17" s="1" t="s">
        <v>24</v>
      </c>
      <c r="O17" s="1" t="s">
        <v>25</v>
      </c>
      <c r="P17" s="35">
        <v>53037061</v>
      </c>
      <c r="Q17" s="4" t="s">
        <v>102</v>
      </c>
      <c r="R17" s="1" t="s">
        <v>103</v>
      </c>
      <c r="S17" s="49">
        <v>544270</v>
      </c>
      <c r="T17" s="45">
        <v>2687057959</v>
      </c>
      <c r="U17" s="45">
        <v>7611</v>
      </c>
      <c r="V17" s="45"/>
      <c r="W17" s="51">
        <v>723163929</v>
      </c>
      <c r="X17" s="104">
        <v>69</v>
      </c>
      <c r="Y17" s="104" t="s">
        <v>163</v>
      </c>
      <c r="Z17" s="107">
        <v>12</v>
      </c>
      <c r="AA17" s="107">
        <v>13</v>
      </c>
      <c r="AB17" s="107">
        <v>4</v>
      </c>
      <c r="AC17" s="88">
        <v>1531.42</v>
      </c>
      <c r="AD17" s="88">
        <v>1055.3899999999999</v>
      </c>
      <c r="AE17" s="88">
        <v>2629.96</v>
      </c>
      <c r="AF17" s="89">
        <f>'Цены,перевалка,аренда'!$C$27*SUM(Уголь_эластика_внутр!Z17+Уголь_эластика_внутр!AA17+Уголь_эластика_внутр!AB17)/Уголь_эластика_внутр!X17</f>
        <v>294.20289855072463</v>
      </c>
      <c r="AG17" s="90"/>
      <c r="AH17" s="47"/>
      <c r="AI17" s="91">
        <v>2800</v>
      </c>
      <c r="AJ17" s="92">
        <f>'Цены,перевалка,аренда'!$D$8</f>
        <v>3300</v>
      </c>
      <c r="AK17" s="47">
        <f>AJ17/'Цены,перевалка,аренда'!$C$1</f>
        <v>43.247210227309964</v>
      </c>
      <c r="AL17" s="47">
        <f t="shared" si="0"/>
        <v>2924.1628985507245</v>
      </c>
      <c r="AM17" s="47">
        <f t="shared" si="1"/>
        <v>375.83710144927545</v>
      </c>
      <c r="AN17" s="47">
        <f t="shared" si="2"/>
        <v>5724.162898550725</v>
      </c>
      <c r="AO17" s="93">
        <f t="shared" si="3"/>
        <v>-0.7345948177426439</v>
      </c>
      <c r="AP17" s="94">
        <f t="shared" si="4"/>
        <v>0.88610996925779528</v>
      </c>
      <c r="AQ17" s="94">
        <f t="shared" si="5"/>
        <v>0.79695757575757575</v>
      </c>
      <c r="AR17" s="94">
        <f t="shared" si="6"/>
        <v>0.89938901875249921</v>
      </c>
      <c r="AS17" s="95" t="s">
        <v>178</v>
      </c>
      <c r="AT17" s="35"/>
      <c r="AU17" s="102">
        <v>1</v>
      </c>
      <c r="AV17" s="102">
        <v>1</v>
      </c>
      <c r="AW17" s="102">
        <v>1</v>
      </c>
      <c r="AX17" s="102">
        <v>1</v>
      </c>
      <c r="AY17" s="102">
        <v>1</v>
      </c>
      <c r="AZ17" s="102">
        <v>1</v>
      </c>
      <c r="BA17" s="102">
        <v>1</v>
      </c>
      <c r="BB17" s="102">
        <v>1</v>
      </c>
      <c r="BC17" s="102">
        <v>1</v>
      </c>
      <c r="BD17" s="102">
        <v>1</v>
      </c>
      <c r="BE17" s="102">
        <v>1</v>
      </c>
      <c r="BF17" s="102">
        <v>1</v>
      </c>
      <c r="BG17" s="102">
        <v>1</v>
      </c>
      <c r="BH17" s="102">
        <v>1</v>
      </c>
      <c r="BI17" s="102">
        <v>1</v>
      </c>
      <c r="BJ17" s="102">
        <v>1</v>
      </c>
      <c r="BK17" s="102">
        <v>1</v>
      </c>
      <c r="BL17" s="102">
        <v>1</v>
      </c>
      <c r="BM17" s="102">
        <v>1</v>
      </c>
      <c r="BN17" s="102">
        <v>1</v>
      </c>
      <c r="BO17" s="102">
        <v>1</v>
      </c>
      <c r="BP17" s="102">
        <v>1</v>
      </c>
      <c r="BQ17" s="102">
        <v>1</v>
      </c>
      <c r="BR17" s="102">
        <v>1</v>
      </c>
      <c r="BS17" s="102">
        <v>1</v>
      </c>
      <c r="BT17" s="102">
        <v>1</v>
      </c>
      <c r="BU17" s="102">
        <v>1</v>
      </c>
      <c r="BV17" s="102">
        <v>1</v>
      </c>
      <c r="BW17" s="102">
        <v>1</v>
      </c>
      <c r="BX17" s="102">
        <v>1</v>
      </c>
      <c r="BY17" s="102">
        <v>1</v>
      </c>
      <c r="BZ17" s="102">
        <v>1</v>
      </c>
      <c r="CA17" s="102">
        <v>1</v>
      </c>
      <c r="CB17" s="102">
        <v>1</v>
      </c>
      <c r="CC17" s="102">
        <v>1</v>
      </c>
      <c r="CD17" s="102">
        <v>1</v>
      </c>
      <c r="CE17" s="102">
        <v>1</v>
      </c>
      <c r="CF17" s="102">
        <v>1</v>
      </c>
      <c r="CG17" s="102">
        <v>1</v>
      </c>
      <c r="CH17" s="102">
        <v>1</v>
      </c>
      <c r="CI17" s="102">
        <v>1</v>
      </c>
      <c r="CJ17" s="102">
        <v>1</v>
      </c>
      <c r="CK17" s="102">
        <v>1</v>
      </c>
      <c r="CL17" s="102">
        <v>1</v>
      </c>
      <c r="CM17" s="102">
        <v>1</v>
      </c>
      <c r="CN17" s="102">
        <v>1</v>
      </c>
      <c r="CO17" s="102">
        <v>1</v>
      </c>
      <c r="CP17" s="102">
        <v>1</v>
      </c>
      <c r="CQ17" s="102">
        <v>1</v>
      </c>
      <c r="CR17" s="102">
        <v>1</v>
      </c>
      <c r="CS17" s="103">
        <v>1</v>
      </c>
      <c r="CT17" s="102">
        <v>1</v>
      </c>
      <c r="CU17" s="102">
        <v>1</v>
      </c>
      <c r="CV17" s="102">
        <v>1</v>
      </c>
      <c r="CW17" s="102">
        <v>1</v>
      </c>
      <c r="CX17" s="102">
        <v>1</v>
      </c>
      <c r="CY17" s="102">
        <v>1</v>
      </c>
      <c r="CZ17" s="102">
        <v>1</v>
      </c>
      <c r="DA17" s="102">
        <v>1</v>
      </c>
      <c r="DB17" s="102">
        <v>1</v>
      </c>
      <c r="DC17" s="102">
        <v>1</v>
      </c>
      <c r="DD17" s="102">
        <v>1</v>
      </c>
      <c r="DE17" s="102">
        <v>1</v>
      </c>
      <c r="DF17" s="102">
        <v>1</v>
      </c>
      <c r="DG17" s="102">
        <v>1</v>
      </c>
      <c r="DH17" s="102">
        <v>1</v>
      </c>
      <c r="DI17" s="102">
        <v>1</v>
      </c>
      <c r="DJ17" s="102">
        <v>1</v>
      </c>
      <c r="DK17" s="102">
        <v>1</v>
      </c>
      <c r="DL17" s="102">
        <v>1</v>
      </c>
      <c r="DM17" s="102">
        <v>1</v>
      </c>
      <c r="DN17" s="102">
        <v>1</v>
      </c>
      <c r="DO17" s="102">
        <v>1</v>
      </c>
      <c r="DP17" s="102">
        <v>1</v>
      </c>
      <c r="DQ17" s="102">
        <v>1</v>
      </c>
      <c r="DR17" s="102">
        <v>1</v>
      </c>
      <c r="DS17" s="102">
        <v>1</v>
      </c>
      <c r="DT17" s="102">
        <v>1</v>
      </c>
      <c r="DU17" s="102">
        <v>1</v>
      </c>
      <c r="DV17" s="102">
        <v>1</v>
      </c>
      <c r="DW17" s="102">
        <v>1</v>
      </c>
      <c r="DX17" s="102">
        <v>1</v>
      </c>
      <c r="DY17" s="102">
        <v>1</v>
      </c>
      <c r="DZ17" s="102">
        <v>1</v>
      </c>
      <c r="EA17" s="102">
        <v>1</v>
      </c>
      <c r="EB17" s="102">
        <v>1</v>
      </c>
      <c r="EC17" s="102">
        <v>1</v>
      </c>
      <c r="ED17" s="102">
        <v>1</v>
      </c>
      <c r="EE17" s="102">
        <v>1</v>
      </c>
      <c r="EF17" s="102">
        <v>1</v>
      </c>
      <c r="EG17" s="102">
        <v>1</v>
      </c>
      <c r="EH17" s="102">
        <v>1</v>
      </c>
      <c r="EI17" s="102">
        <v>1</v>
      </c>
      <c r="EJ17" s="102">
        <v>1</v>
      </c>
      <c r="EK17" s="102">
        <v>1</v>
      </c>
      <c r="EL17" s="102">
        <v>1</v>
      </c>
      <c r="EM17" s="102">
        <v>1</v>
      </c>
      <c r="EN17" s="102">
        <v>1</v>
      </c>
      <c r="EO17" s="102">
        <v>1</v>
      </c>
      <c r="EP17" s="102">
        <v>1</v>
      </c>
      <c r="EQ17" s="102">
        <v>1</v>
      </c>
      <c r="ER17" s="102">
        <v>1</v>
      </c>
      <c r="ES17" s="102">
        <v>1</v>
      </c>
      <c r="ET17" s="102">
        <v>1</v>
      </c>
      <c r="EU17" s="102">
        <v>1</v>
      </c>
      <c r="EV17" s="102">
        <v>1</v>
      </c>
      <c r="EW17" s="102">
        <v>1</v>
      </c>
      <c r="EX17" s="102">
        <v>1</v>
      </c>
      <c r="EY17" s="102">
        <v>1</v>
      </c>
      <c r="EZ17" s="102">
        <v>1</v>
      </c>
      <c r="FA17" s="102">
        <v>1</v>
      </c>
      <c r="FB17" s="102">
        <v>1</v>
      </c>
      <c r="FC17" s="102">
        <v>1</v>
      </c>
      <c r="FD17" s="102">
        <v>1</v>
      </c>
      <c r="FE17" s="102">
        <v>1</v>
      </c>
      <c r="FF17" s="102">
        <v>1</v>
      </c>
      <c r="FG17" s="102">
        <v>1</v>
      </c>
      <c r="FH17" s="102">
        <v>1</v>
      </c>
      <c r="FI17" s="102">
        <v>1</v>
      </c>
      <c r="FJ17" s="102">
        <v>1</v>
      </c>
      <c r="FK17" s="102">
        <v>1</v>
      </c>
      <c r="FL17" s="102">
        <v>1</v>
      </c>
      <c r="FM17" s="102">
        <v>1</v>
      </c>
      <c r="FN17" s="102">
        <v>1</v>
      </c>
      <c r="FO17" s="102">
        <v>1</v>
      </c>
      <c r="FP17" s="102">
        <v>1</v>
      </c>
      <c r="FQ17" s="102">
        <v>1</v>
      </c>
      <c r="FR17" s="102">
        <v>1</v>
      </c>
      <c r="FS17" s="102">
        <v>1</v>
      </c>
      <c r="FT17" s="102">
        <v>1</v>
      </c>
      <c r="FU17" s="102">
        <v>1</v>
      </c>
      <c r="FV17" s="102">
        <v>1</v>
      </c>
      <c r="FW17" s="102">
        <v>1</v>
      </c>
      <c r="FX17" s="102">
        <v>1</v>
      </c>
      <c r="FY17" s="102">
        <v>1</v>
      </c>
      <c r="FZ17" s="102">
        <v>1</v>
      </c>
      <c r="GA17" s="102">
        <v>1</v>
      </c>
      <c r="GB17" s="102">
        <v>1</v>
      </c>
      <c r="GC17" s="102">
        <v>1</v>
      </c>
      <c r="GD17" s="102">
        <v>1</v>
      </c>
      <c r="GE17" s="102">
        <v>1</v>
      </c>
      <c r="GF17" s="102">
        <v>1</v>
      </c>
      <c r="GG17" s="102">
        <v>1</v>
      </c>
      <c r="GH17" s="102">
        <v>1</v>
      </c>
      <c r="GI17" s="102">
        <v>1</v>
      </c>
      <c r="GJ17" s="102">
        <v>1</v>
      </c>
      <c r="GK17" s="102">
        <v>1</v>
      </c>
      <c r="GL17" s="102">
        <v>1</v>
      </c>
      <c r="GM17" s="102">
        <v>1</v>
      </c>
      <c r="GN17" s="102">
        <v>1</v>
      </c>
      <c r="GO17" s="102">
        <v>1</v>
      </c>
      <c r="GP17" s="24">
        <f t="shared" si="7"/>
        <v>1</v>
      </c>
    </row>
    <row r="18" spans="1:198" ht="29.15" customHeight="1">
      <c r="B18" s="36">
        <v>1</v>
      </c>
      <c r="C18" s="34" t="s">
        <v>16</v>
      </c>
      <c r="D18" s="1">
        <v>16101</v>
      </c>
      <c r="E18" s="1" t="s">
        <v>98</v>
      </c>
      <c r="F18" s="34" t="s">
        <v>99</v>
      </c>
      <c r="G18" s="34" t="s">
        <v>45</v>
      </c>
      <c r="H18" s="1" t="s">
        <v>45</v>
      </c>
      <c r="I18" s="1" t="s">
        <v>100</v>
      </c>
      <c r="J18" s="1" t="s">
        <v>106</v>
      </c>
      <c r="K18" s="1">
        <v>393</v>
      </c>
      <c r="L18" s="1" t="s">
        <v>22</v>
      </c>
      <c r="M18" s="1" t="s">
        <v>40</v>
      </c>
      <c r="N18" s="1" t="s">
        <v>24</v>
      </c>
      <c r="O18" s="1" t="s">
        <v>36</v>
      </c>
      <c r="P18" s="35">
        <v>53037061</v>
      </c>
      <c r="Q18" s="4" t="s">
        <v>102</v>
      </c>
      <c r="R18" s="1" t="s">
        <v>103</v>
      </c>
      <c r="S18" s="49">
        <v>383157</v>
      </c>
      <c r="T18" s="45">
        <v>150580806</v>
      </c>
      <c r="U18" s="45">
        <v>5460</v>
      </c>
      <c r="V18" s="45"/>
      <c r="W18" s="51">
        <v>146362098</v>
      </c>
      <c r="X18" s="104">
        <v>75</v>
      </c>
      <c r="Y18" s="104" t="s">
        <v>163</v>
      </c>
      <c r="Z18" s="107">
        <v>3</v>
      </c>
      <c r="AA18" s="107">
        <v>3</v>
      </c>
      <c r="AB18" s="107">
        <v>4</v>
      </c>
      <c r="AC18" s="88">
        <v>379.47</v>
      </c>
      <c r="AD18" s="88">
        <v>154</v>
      </c>
      <c r="AE18" s="88">
        <v>491.11</v>
      </c>
      <c r="AF18" s="89">
        <f>'Цены,перевалка,аренда'!$C$26*SUM(Уголь_эластика_внутр!Z18+Уголь_эластика_внутр!AA18+Уголь_эластика_внутр!AB18)/Уголь_эластика_внутр!X18</f>
        <v>133.33333333333334</v>
      </c>
      <c r="AG18" s="90"/>
      <c r="AH18" s="47"/>
      <c r="AI18" s="91">
        <v>2771</v>
      </c>
      <c r="AJ18" s="92">
        <f>'Цены,перевалка,аренда'!$D$18</f>
        <v>6000</v>
      </c>
      <c r="AK18" s="47">
        <f>AJ18/'Цены,перевалка,аренда'!$C$1</f>
        <v>78.631291322381742</v>
      </c>
      <c r="AL18" s="47">
        <f t="shared" si="0"/>
        <v>624.44333333333338</v>
      </c>
      <c r="AM18" s="47">
        <f t="shared" si="1"/>
        <v>5375.5566666666664</v>
      </c>
      <c r="AN18" s="47">
        <f t="shared" si="2"/>
        <v>3395.4433333333336</v>
      </c>
      <c r="AO18" s="93">
        <f t="shared" si="3"/>
        <v>0.43409277777777772</v>
      </c>
      <c r="AP18" s="94">
        <f t="shared" si="4"/>
        <v>0.1040738888888889</v>
      </c>
      <c r="AQ18" s="94">
        <f t="shared" si="5"/>
        <v>8.185166666666667E-2</v>
      </c>
      <c r="AR18" s="94">
        <f t="shared" si="6"/>
        <v>0.78647648839232809</v>
      </c>
      <c r="AS18" s="95" t="s">
        <v>194</v>
      </c>
      <c r="AT18" s="35"/>
      <c r="AU18" s="102">
        <v>1</v>
      </c>
      <c r="AV18" s="102">
        <v>1</v>
      </c>
      <c r="AW18" s="102">
        <v>1</v>
      </c>
      <c r="AX18" s="102">
        <v>1</v>
      </c>
      <c r="AY18" s="102">
        <v>1</v>
      </c>
      <c r="AZ18" s="102">
        <v>1</v>
      </c>
      <c r="BA18" s="102">
        <v>1</v>
      </c>
      <c r="BB18" s="102">
        <v>1</v>
      </c>
      <c r="BC18" s="102">
        <v>1</v>
      </c>
      <c r="BD18" s="102">
        <v>1</v>
      </c>
      <c r="BE18" s="102">
        <v>1</v>
      </c>
      <c r="BF18" s="102">
        <v>1</v>
      </c>
      <c r="BG18" s="102">
        <v>1</v>
      </c>
      <c r="BH18" s="102">
        <v>1</v>
      </c>
      <c r="BI18" s="102">
        <v>1</v>
      </c>
      <c r="BJ18" s="102">
        <v>1</v>
      </c>
      <c r="BK18" s="102">
        <v>1</v>
      </c>
      <c r="BL18" s="102">
        <v>1</v>
      </c>
      <c r="BM18" s="102">
        <v>1</v>
      </c>
      <c r="BN18" s="102">
        <v>1</v>
      </c>
      <c r="BO18" s="102">
        <v>1</v>
      </c>
      <c r="BP18" s="102">
        <v>1</v>
      </c>
      <c r="BQ18" s="102">
        <v>1</v>
      </c>
      <c r="BR18" s="102">
        <v>1</v>
      </c>
      <c r="BS18" s="102">
        <v>1</v>
      </c>
      <c r="BT18" s="102">
        <v>1</v>
      </c>
      <c r="BU18" s="102">
        <v>1</v>
      </c>
      <c r="BV18" s="102">
        <v>1</v>
      </c>
      <c r="BW18" s="102">
        <v>1</v>
      </c>
      <c r="BX18" s="102">
        <v>1</v>
      </c>
      <c r="BY18" s="102">
        <v>1</v>
      </c>
      <c r="BZ18" s="102">
        <v>1</v>
      </c>
      <c r="CA18" s="102">
        <v>1</v>
      </c>
      <c r="CB18" s="102">
        <v>1</v>
      </c>
      <c r="CC18" s="102">
        <v>1</v>
      </c>
      <c r="CD18" s="102">
        <v>1</v>
      </c>
      <c r="CE18" s="102">
        <v>1</v>
      </c>
      <c r="CF18" s="102">
        <v>1</v>
      </c>
      <c r="CG18" s="102">
        <v>1</v>
      </c>
      <c r="CH18" s="102">
        <v>1</v>
      </c>
      <c r="CI18" s="102">
        <v>1</v>
      </c>
      <c r="CJ18" s="102">
        <v>1</v>
      </c>
      <c r="CK18" s="102">
        <v>1</v>
      </c>
      <c r="CL18" s="102">
        <v>1</v>
      </c>
      <c r="CM18" s="102">
        <v>1</v>
      </c>
      <c r="CN18" s="102">
        <v>1</v>
      </c>
      <c r="CO18" s="102">
        <v>1</v>
      </c>
      <c r="CP18" s="102">
        <v>1</v>
      </c>
      <c r="CQ18" s="102">
        <v>1</v>
      </c>
      <c r="CR18" s="102">
        <v>1</v>
      </c>
      <c r="CS18" s="103">
        <v>1</v>
      </c>
      <c r="CT18" s="102">
        <v>1</v>
      </c>
      <c r="CU18" s="102">
        <v>1</v>
      </c>
      <c r="CV18" s="102">
        <v>1</v>
      </c>
      <c r="CW18" s="102">
        <v>1</v>
      </c>
      <c r="CX18" s="102">
        <v>1</v>
      </c>
      <c r="CY18" s="102">
        <v>1</v>
      </c>
      <c r="CZ18" s="102">
        <v>1</v>
      </c>
      <c r="DA18" s="102">
        <v>1</v>
      </c>
      <c r="DB18" s="102">
        <v>1</v>
      </c>
      <c r="DC18" s="102">
        <v>1</v>
      </c>
      <c r="DD18" s="102">
        <v>1</v>
      </c>
      <c r="DE18" s="102">
        <v>1</v>
      </c>
      <c r="DF18" s="102">
        <v>1</v>
      </c>
      <c r="DG18" s="102">
        <v>1</v>
      </c>
      <c r="DH18" s="102">
        <v>1</v>
      </c>
      <c r="DI18" s="102">
        <v>1</v>
      </c>
      <c r="DJ18" s="102">
        <v>1</v>
      </c>
      <c r="DK18" s="102">
        <v>1</v>
      </c>
      <c r="DL18" s="102">
        <v>1</v>
      </c>
      <c r="DM18" s="102">
        <v>1</v>
      </c>
      <c r="DN18" s="102">
        <v>1</v>
      </c>
      <c r="DO18" s="102">
        <v>1</v>
      </c>
      <c r="DP18" s="102">
        <v>1</v>
      </c>
      <c r="DQ18" s="102">
        <v>1</v>
      </c>
      <c r="DR18" s="102">
        <v>1</v>
      </c>
      <c r="DS18" s="102">
        <v>1</v>
      </c>
      <c r="DT18" s="102">
        <v>1</v>
      </c>
      <c r="DU18" s="102">
        <v>1</v>
      </c>
      <c r="DV18" s="102">
        <v>1</v>
      </c>
      <c r="DW18" s="102">
        <v>1</v>
      </c>
      <c r="DX18" s="102">
        <v>1</v>
      </c>
      <c r="DY18" s="102">
        <v>1</v>
      </c>
      <c r="DZ18" s="102">
        <v>1</v>
      </c>
      <c r="EA18" s="102">
        <v>1</v>
      </c>
      <c r="EB18" s="102">
        <v>1</v>
      </c>
      <c r="EC18" s="102">
        <v>1</v>
      </c>
      <c r="ED18" s="102">
        <v>1</v>
      </c>
      <c r="EE18" s="102">
        <v>1</v>
      </c>
      <c r="EF18" s="102">
        <v>1</v>
      </c>
      <c r="EG18" s="102">
        <v>1</v>
      </c>
      <c r="EH18" s="102">
        <v>1</v>
      </c>
      <c r="EI18" s="102">
        <v>1</v>
      </c>
      <c r="EJ18" s="102">
        <v>1</v>
      </c>
      <c r="EK18" s="102">
        <v>1</v>
      </c>
      <c r="EL18" s="102">
        <v>1</v>
      </c>
      <c r="EM18" s="102">
        <v>1</v>
      </c>
      <c r="EN18" s="102">
        <v>1</v>
      </c>
      <c r="EO18" s="102">
        <v>1</v>
      </c>
      <c r="EP18" s="102">
        <v>1</v>
      </c>
      <c r="EQ18" s="102">
        <v>1</v>
      </c>
      <c r="ER18" s="102">
        <v>1</v>
      </c>
      <c r="ES18" s="102">
        <v>1</v>
      </c>
      <c r="ET18" s="102">
        <v>1</v>
      </c>
      <c r="EU18" s="102">
        <v>1</v>
      </c>
      <c r="EV18" s="102">
        <v>1</v>
      </c>
      <c r="EW18" s="102">
        <v>1</v>
      </c>
      <c r="EX18" s="102">
        <v>1</v>
      </c>
      <c r="EY18" s="102">
        <v>1</v>
      </c>
      <c r="EZ18" s="102">
        <v>1</v>
      </c>
      <c r="FA18" s="102">
        <v>1</v>
      </c>
      <c r="FB18" s="102">
        <v>1</v>
      </c>
      <c r="FC18" s="102">
        <v>1</v>
      </c>
      <c r="FD18" s="102">
        <v>1</v>
      </c>
      <c r="FE18" s="102">
        <v>1</v>
      </c>
      <c r="FF18" s="102">
        <v>1</v>
      </c>
      <c r="FG18" s="102">
        <v>1</v>
      </c>
      <c r="FH18" s="102">
        <v>1</v>
      </c>
      <c r="FI18" s="102">
        <v>1</v>
      </c>
      <c r="FJ18" s="102">
        <v>1</v>
      </c>
      <c r="FK18" s="102">
        <v>1</v>
      </c>
      <c r="FL18" s="102">
        <v>1</v>
      </c>
      <c r="FM18" s="102">
        <v>1</v>
      </c>
      <c r="FN18" s="102">
        <v>1</v>
      </c>
      <c r="FO18" s="102">
        <v>1</v>
      </c>
      <c r="FP18" s="102">
        <v>1</v>
      </c>
      <c r="FQ18" s="102">
        <v>1</v>
      </c>
      <c r="FR18" s="102">
        <v>1</v>
      </c>
      <c r="FS18" s="102">
        <v>1</v>
      </c>
      <c r="FT18" s="102">
        <v>1</v>
      </c>
      <c r="FU18" s="102">
        <v>1</v>
      </c>
      <c r="FV18" s="102">
        <v>1</v>
      </c>
      <c r="FW18" s="102">
        <v>1</v>
      </c>
      <c r="FX18" s="102">
        <v>1</v>
      </c>
      <c r="FY18" s="102">
        <v>1</v>
      </c>
      <c r="FZ18" s="102">
        <v>1</v>
      </c>
      <c r="GA18" s="102">
        <v>1</v>
      </c>
      <c r="GB18" s="102">
        <v>1</v>
      </c>
      <c r="GC18" s="102">
        <v>1</v>
      </c>
      <c r="GD18" s="102">
        <v>1</v>
      </c>
      <c r="GE18" s="102">
        <v>1</v>
      </c>
      <c r="GF18" s="102">
        <v>1</v>
      </c>
      <c r="GG18" s="102">
        <v>1</v>
      </c>
      <c r="GH18" s="102">
        <v>1</v>
      </c>
      <c r="GI18" s="102">
        <v>1</v>
      </c>
      <c r="GJ18" s="102">
        <v>1</v>
      </c>
      <c r="GK18" s="102">
        <v>1</v>
      </c>
      <c r="GL18" s="102">
        <v>1</v>
      </c>
      <c r="GM18" s="102">
        <v>1</v>
      </c>
      <c r="GN18" s="102">
        <v>1</v>
      </c>
      <c r="GO18" s="102">
        <v>1</v>
      </c>
      <c r="GP18" s="24">
        <f t="shared" si="7"/>
        <v>1</v>
      </c>
    </row>
    <row r="19" spans="1:198" ht="29.15" customHeight="1">
      <c r="B19" s="36">
        <v>1</v>
      </c>
      <c r="C19" s="34" t="s">
        <v>16</v>
      </c>
      <c r="D19" s="1">
        <v>16112</v>
      </c>
      <c r="E19" s="1" t="s">
        <v>28</v>
      </c>
      <c r="F19" s="34" t="s">
        <v>18</v>
      </c>
      <c r="G19" s="34" t="s">
        <v>107</v>
      </c>
      <c r="H19" s="1" t="s">
        <v>107</v>
      </c>
      <c r="I19" s="1" t="s">
        <v>111</v>
      </c>
      <c r="J19" s="1" t="s">
        <v>108</v>
      </c>
      <c r="K19" s="1">
        <v>12</v>
      </c>
      <c r="L19" s="1" t="s">
        <v>22</v>
      </c>
      <c r="M19" s="1" t="s">
        <v>40</v>
      </c>
      <c r="N19" s="1" t="s">
        <v>24</v>
      </c>
      <c r="O19" s="34" t="s">
        <v>25</v>
      </c>
      <c r="P19" s="4">
        <v>67680731</v>
      </c>
      <c r="Q19" s="4" t="s">
        <v>112</v>
      </c>
      <c r="R19" s="1" t="s">
        <v>110</v>
      </c>
      <c r="S19" s="49">
        <v>1886760</v>
      </c>
      <c r="T19" s="45">
        <v>22641290</v>
      </c>
      <c r="U19" s="45">
        <v>27043</v>
      </c>
      <c r="V19" s="45"/>
      <c r="W19" s="51">
        <v>43313654</v>
      </c>
      <c r="X19" s="104">
        <v>69</v>
      </c>
      <c r="Y19" s="104" t="s">
        <v>161</v>
      </c>
      <c r="Z19" s="107">
        <v>12</v>
      </c>
      <c r="AA19" s="107">
        <v>12</v>
      </c>
      <c r="AB19" s="107">
        <v>4</v>
      </c>
      <c r="AC19" s="88">
        <v>176.16</v>
      </c>
      <c r="AD19" s="88">
        <v>7.1299999999999955</v>
      </c>
      <c r="AE19" s="88">
        <v>177.81</v>
      </c>
      <c r="AF19" s="89">
        <f>'Цены,перевалка,аренда'!$C$27*SUM(Уголь_эластика_внутр!Z19+Уголь_эластика_внутр!AA19+Уголь_эластика_внутр!AB19)/Уголь_эластика_внутр!X19</f>
        <v>284.05797101449275</v>
      </c>
      <c r="AG19" s="90"/>
      <c r="AH19" s="47"/>
      <c r="AI19" s="91">
        <v>1637</v>
      </c>
      <c r="AJ19" s="92">
        <f>'Цены,перевалка,аренда'!$D$8</f>
        <v>3300</v>
      </c>
      <c r="AK19" s="47">
        <f>AJ19/'Цены,перевалка,аренда'!$C$1</f>
        <v>43.247210227309964</v>
      </c>
      <c r="AL19" s="47">
        <f t="shared" si="0"/>
        <v>461.86797101449275</v>
      </c>
      <c r="AM19" s="47">
        <f t="shared" si="1"/>
        <v>2838.1320289855071</v>
      </c>
      <c r="AN19" s="47">
        <f t="shared" ref="AN19:AN27" si="8">AI19+AH19+AG19+AF19+AE19</f>
        <v>2098.8679710144929</v>
      </c>
      <c r="AO19" s="93">
        <f t="shared" si="3"/>
        <v>0.36397940272288093</v>
      </c>
      <c r="AP19" s="94">
        <f t="shared" si="4"/>
        <v>0.13995999121651295</v>
      </c>
      <c r="AQ19" s="94">
        <f t="shared" si="5"/>
        <v>5.3881818181818183E-2</v>
      </c>
      <c r="AR19" s="94">
        <f t="shared" si="6"/>
        <v>0.38498014835157424</v>
      </c>
      <c r="AS19" s="95" t="s">
        <v>195</v>
      </c>
      <c r="AT19" s="35"/>
      <c r="AU19" s="102">
        <v>1</v>
      </c>
      <c r="AV19" s="102">
        <v>1</v>
      </c>
      <c r="AW19" s="102">
        <v>1</v>
      </c>
      <c r="AX19" s="102">
        <v>1</v>
      </c>
      <c r="AY19" s="102">
        <v>1</v>
      </c>
      <c r="AZ19" s="102">
        <v>1</v>
      </c>
      <c r="BA19" s="102">
        <v>1</v>
      </c>
      <c r="BB19" s="102">
        <v>1</v>
      </c>
      <c r="BC19" s="102">
        <v>1</v>
      </c>
      <c r="BD19" s="102">
        <v>1</v>
      </c>
      <c r="BE19" s="102">
        <v>1</v>
      </c>
      <c r="BF19" s="102">
        <v>1</v>
      </c>
      <c r="BG19" s="102">
        <v>1</v>
      </c>
      <c r="BH19" s="102">
        <v>1</v>
      </c>
      <c r="BI19" s="102">
        <v>1</v>
      </c>
      <c r="BJ19" s="102">
        <v>1</v>
      </c>
      <c r="BK19" s="102">
        <v>1</v>
      </c>
      <c r="BL19" s="102">
        <v>1</v>
      </c>
      <c r="BM19" s="102">
        <v>1</v>
      </c>
      <c r="BN19" s="102">
        <v>1</v>
      </c>
      <c r="BO19" s="102">
        <v>1</v>
      </c>
      <c r="BP19" s="102">
        <v>1</v>
      </c>
      <c r="BQ19" s="102">
        <v>1</v>
      </c>
      <c r="BR19" s="102">
        <v>1</v>
      </c>
      <c r="BS19" s="102">
        <v>1</v>
      </c>
      <c r="BT19" s="102">
        <v>1</v>
      </c>
      <c r="BU19" s="102">
        <v>1</v>
      </c>
      <c r="BV19" s="102">
        <v>1</v>
      </c>
      <c r="BW19" s="102">
        <v>1</v>
      </c>
      <c r="BX19" s="102">
        <v>1</v>
      </c>
      <c r="BY19" s="102">
        <v>1</v>
      </c>
      <c r="BZ19" s="102">
        <v>1</v>
      </c>
      <c r="CA19" s="102">
        <v>1</v>
      </c>
      <c r="CB19" s="102">
        <v>1</v>
      </c>
      <c r="CC19" s="102">
        <v>1</v>
      </c>
      <c r="CD19" s="102">
        <v>1</v>
      </c>
      <c r="CE19" s="102">
        <v>1</v>
      </c>
      <c r="CF19" s="102">
        <v>1</v>
      </c>
      <c r="CG19" s="102">
        <v>1</v>
      </c>
      <c r="CH19" s="102">
        <v>1</v>
      </c>
      <c r="CI19" s="102">
        <v>1</v>
      </c>
      <c r="CJ19" s="102">
        <v>1</v>
      </c>
      <c r="CK19" s="102">
        <v>1</v>
      </c>
      <c r="CL19" s="102">
        <v>1</v>
      </c>
      <c r="CM19" s="102">
        <v>1</v>
      </c>
      <c r="CN19" s="102">
        <v>1</v>
      </c>
      <c r="CO19" s="102">
        <v>1</v>
      </c>
      <c r="CP19" s="102">
        <v>1</v>
      </c>
      <c r="CQ19" s="102">
        <v>1</v>
      </c>
      <c r="CR19" s="102">
        <v>1</v>
      </c>
      <c r="CS19" s="103">
        <v>1</v>
      </c>
      <c r="CT19" s="102">
        <v>1</v>
      </c>
      <c r="CU19" s="102">
        <v>1</v>
      </c>
      <c r="CV19" s="102">
        <v>1</v>
      </c>
      <c r="CW19" s="102">
        <v>1</v>
      </c>
      <c r="CX19" s="102">
        <v>1</v>
      </c>
      <c r="CY19" s="102">
        <v>1</v>
      </c>
      <c r="CZ19" s="102">
        <v>1</v>
      </c>
      <c r="DA19" s="102">
        <v>1</v>
      </c>
      <c r="DB19" s="102">
        <v>1</v>
      </c>
      <c r="DC19" s="102">
        <v>1</v>
      </c>
      <c r="DD19" s="102">
        <v>1</v>
      </c>
      <c r="DE19" s="102">
        <v>1</v>
      </c>
      <c r="DF19" s="102">
        <v>1</v>
      </c>
      <c r="DG19" s="102">
        <v>1</v>
      </c>
      <c r="DH19" s="102">
        <v>1</v>
      </c>
      <c r="DI19" s="102">
        <v>1</v>
      </c>
      <c r="DJ19" s="102">
        <v>1</v>
      </c>
      <c r="DK19" s="102">
        <v>1</v>
      </c>
      <c r="DL19" s="102">
        <v>1</v>
      </c>
      <c r="DM19" s="102">
        <v>1</v>
      </c>
      <c r="DN19" s="102">
        <v>1</v>
      </c>
      <c r="DO19" s="102">
        <v>1</v>
      </c>
      <c r="DP19" s="102">
        <v>1</v>
      </c>
      <c r="DQ19" s="102">
        <v>1</v>
      </c>
      <c r="DR19" s="102">
        <v>1</v>
      </c>
      <c r="DS19" s="102">
        <v>1</v>
      </c>
      <c r="DT19" s="102">
        <v>1</v>
      </c>
      <c r="DU19" s="102">
        <v>1</v>
      </c>
      <c r="DV19" s="102">
        <v>1</v>
      </c>
      <c r="DW19" s="102">
        <v>1</v>
      </c>
      <c r="DX19" s="102">
        <v>1</v>
      </c>
      <c r="DY19" s="102">
        <v>1</v>
      </c>
      <c r="DZ19" s="102">
        <v>1</v>
      </c>
      <c r="EA19" s="102">
        <v>1</v>
      </c>
      <c r="EB19" s="102">
        <v>1</v>
      </c>
      <c r="EC19" s="102">
        <v>1</v>
      </c>
      <c r="ED19" s="102">
        <v>1</v>
      </c>
      <c r="EE19" s="102">
        <v>1</v>
      </c>
      <c r="EF19" s="102">
        <v>1</v>
      </c>
      <c r="EG19" s="102">
        <v>1</v>
      </c>
      <c r="EH19" s="102">
        <v>1</v>
      </c>
      <c r="EI19" s="102">
        <v>1</v>
      </c>
      <c r="EJ19" s="102">
        <v>1</v>
      </c>
      <c r="EK19" s="102">
        <v>1</v>
      </c>
      <c r="EL19" s="102">
        <v>1</v>
      </c>
      <c r="EM19" s="102">
        <v>1</v>
      </c>
      <c r="EN19" s="102">
        <v>1</v>
      </c>
      <c r="EO19" s="102">
        <v>1</v>
      </c>
      <c r="EP19" s="102">
        <v>1</v>
      </c>
      <c r="EQ19" s="102">
        <v>1</v>
      </c>
      <c r="ER19" s="102">
        <v>1</v>
      </c>
      <c r="ES19" s="102">
        <v>1</v>
      </c>
      <c r="ET19" s="102">
        <v>1</v>
      </c>
      <c r="EU19" s="102">
        <v>1</v>
      </c>
      <c r="EV19" s="102">
        <v>1</v>
      </c>
      <c r="EW19" s="102">
        <v>1</v>
      </c>
      <c r="EX19" s="102">
        <v>1</v>
      </c>
      <c r="EY19" s="102">
        <v>1</v>
      </c>
      <c r="EZ19" s="102">
        <v>1</v>
      </c>
      <c r="FA19" s="102">
        <v>1</v>
      </c>
      <c r="FB19" s="102">
        <v>1</v>
      </c>
      <c r="FC19" s="102">
        <v>1</v>
      </c>
      <c r="FD19" s="102">
        <v>1</v>
      </c>
      <c r="FE19" s="102">
        <v>1</v>
      </c>
      <c r="FF19" s="102">
        <v>1</v>
      </c>
      <c r="FG19" s="102">
        <v>1</v>
      </c>
      <c r="FH19" s="102">
        <v>1</v>
      </c>
      <c r="FI19" s="102">
        <v>1</v>
      </c>
      <c r="FJ19" s="102">
        <v>1</v>
      </c>
      <c r="FK19" s="102">
        <v>1</v>
      </c>
      <c r="FL19" s="102">
        <v>1</v>
      </c>
      <c r="FM19" s="102">
        <v>1</v>
      </c>
      <c r="FN19" s="102">
        <v>1</v>
      </c>
      <c r="FO19" s="102">
        <v>1</v>
      </c>
      <c r="FP19" s="102">
        <v>1</v>
      </c>
      <c r="FQ19" s="102">
        <v>1</v>
      </c>
      <c r="FR19" s="102">
        <v>1</v>
      </c>
      <c r="FS19" s="102">
        <v>1</v>
      </c>
      <c r="FT19" s="102">
        <v>1</v>
      </c>
      <c r="FU19" s="102">
        <v>1</v>
      </c>
      <c r="FV19" s="102">
        <v>1</v>
      </c>
      <c r="FW19" s="102">
        <v>1</v>
      </c>
      <c r="FX19" s="102">
        <v>1</v>
      </c>
      <c r="FY19" s="102">
        <v>1</v>
      </c>
      <c r="FZ19" s="102">
        <v>1</v>
      </c>
      <c r="GA19" s="102">
        <v>1</v>
      </c>
      <c r="GB19" s="102">
        <v>1</v>
      </c>
      <c r="GC19" s="102">
        <v>1</v>
      </c>
      <c r="GD19" s="102">
        <v>1</v>
      </c>
      <c r="GE19" s="102">
        <v>1</v>
      </c>
      <c r="GF19" s="102">
        <v>1</v>
      </c>
      <c r="GG19" s="102">
        <v>1</v>
      </c>
      <c r="GH19" s="102">
        <v>1</v>
      </c>
      <c r="GI19" s="102">
        <v>1</v>
      </c>
      <c r="GJ19" s="102">
        <v>1</v>
      </c>
      <c r="GK19" s="102">
        <v>1</v>
      </c>
      <c r="GL19" s="102">
        <v>1</v>
      </c>
      <c r="GM19" s="102">
        <v>1</v>
      </c>
      <c r="GN19" s="102">
        <v>1</v>
      </c>
      <c r="GO19" s="102">
        <v>1</v>
      </c>
      <c r="GP19" s="24">
        <f t="shared" si="7"/>
        <v>1</v>
      </c>
    </row>
    <row r="20" spans="1:198" ht="29.15" customHeight="1">
      <c r="B20" s="36">
        <v>1</v>
      </c>
      <c r="C20" s="34" t="s">
        <v>16</v>
      </c>
      <c r="D20" s="1">
        <v>16112</v>
      </c>
      <c r="E20" s="1" t="s">
        <v>28</v>
      </c>
      <c r="F20" s="34" t="s">
        <v>18</v>
      </c>
      <c r="G20" s="34" t="s">
        <v>45</v>
      </c>
      <c r="H20" s="1" t="s">
        <v>107</v>
      </c>
      <c r="I20" s="1" t="s">
        <v>118</v>
      </c>
      <c r="J20" s="1" t="s">
        <v>119</v>
      </c>
      <c r="K20" s="1">
        <v>1491</v>
      </c>
      <c r="L20" s="1" t="s">
        <v>22</v>
      </c>
      <c r="M20" s="1" t="s">
        <v>40</v>
      </c>
      <c r="N20" s="1" t="s">
        <v>24</v>
      </c>
      <c r="O20" s="1" t="s">
        <v>25</v>
      </c>
      <c r="P20" s="4">
        <v>32214406</v>
      </c>
      <c r="Q20" s="4" t="s">
        <v>120</v>
      </c>
      <c r="R20" s="1" t="s">
        <v>116</v>
      </c>
      <c r="S20" s="49">
        <v>24205</v>
      </c>
      <c r="T20" s="45">
        <v>36089536</v>
      </c>
      <c r="U20" s="45">
        <v>350</v>
      </c>
      <c r="V20" s="45"/>
      <c r="W20" s="51">
        <v>21334601</v>
      </c>
      <c r="X20" s="104">
        <v>69</v>
      </c>
      <c r="Y20" s="104" t="s">
        <v>161</v>
      </c>
      <c r="Z20" s="107">
        <v>7</v>
      </c>
      <c r="AA20" s="107">
        <v>8</v>
      </c>
      <c r="AB20" s="107">
        <v>4</v>
      </c>
      <c r="AC20" s="88">
        <v>973.78</v>
      </c>
      <c r="AD20" s="88">
        <v>572.10000000000014</v>
      </c>
      <c r="AE20" s="88">
        <v>1522.58</v>
      </c>
      <c r="AF20" s="89">
        <f>'Цены,перевалка,аренда'!$C$27*SUM(Уголь_эластика_внутр!Z20+Уголь_эластика_внутр!AA20+Уголь_эластика_внутр!AB20)/Уголь_эластика_внутр!X20</f>
        <v>192.75362318840581</v>
      </c>
      <c r="AG20" s="90"/>
      <c r="AH20" s="47"/>
      <c r="AI20" s="91">
        <v>2600</v>
      </c>
      <c r="AJ20" s="92">
        <f>'Цены,перевалка,аренда'!$D$8</f>
        <v>3300</v>
      </c>
      <c r="AK20" s="47">
        <f>AJ20/'Цены,перевалка,аренда'!$C$1</f>
        <v>43.247210227309964</v>
      </c>
      <c r="AL20" s="47">
        <f t="shared" si="0"/>
        <v>1715.3336231884057</v>
      </c>
      <c r="AM20" s="47">
        <f t="shared" si="1"/>
        <v>1584.6663768115943</v>
      </c>
      <c r="AN20" s="47">
        <f t="shared" si="8"/>
        <v>4315.3336231884059</v>
      </c>
      <c r="AO20" s="93">
        <f t="shared" si="3"/>
        <v>-0.30767685551163815</v>
      </c>
      <c r="AP20" s="94">
        <f t="shared" si="4"/>
        <v>0.51979806763285019</v>
      </c>
      <c r="AQ20" s="94">
        <f t="shared" si="5"/>
        <v>0.46138787878787879</v>
      </c>
      <c r="AR20" s="94">
        <f t="shared" si="6"/>
        <v>0.88762907659320422</v>
      </c>
      <c r="AS20" s="95" t="s">
        <v>187</v>
      </c>
      <c r="AT20" s="35"/>
      <c r="AU20" s="102">
        <v>1</v>
      </c>
      <c r="AV20" s="102">
        <v>1</v>
      </c>
      <c r="AW20" s="102">
        <v>1</v>
      </c>
      <c r="AX20" s="102">
        <v>1</v>
      </c>
      <c r="AY20" s="102">
        <v>1</v>
      </c>
      <c r="AZ20" s="102">
        <v>1</v>
      </c>
      <c r="BA20" s="102">
        <v>1</v>
      </c>
      <c r="BB20" s="102">
        <v>1</v>
      </c>
      <c r="BC20" s="102">
        <v>1</v>
      </c>
      <c r="BD20" s="102">
        <v>1</v>
      </c>
      <c r="BE20" s="102">
        <v>1</v>
      </c>
      <c r="BF20" s="102">
        <v>1</v>
      </c>
      <c r="BG20" s="102">
        <v>1</v>
      </c>
      <c r="BH20" s="102">
        <v>1</v>
      </c>
      <c r="BI20" s="102">
        <v>1</v>
      </c>
      <c r="BJ20" s="102">
        <v>1</v>
      </c>
      <c r="BK20" s="102">
        <v>1</v>
      </c>
      <c r="BL20" s="102">
        <v>1</v>
      </c>
      <c r="BM20" s="102">
        <v>1</v>
      </c>
      <c r="BN20" s="102">
        <v>1</v>
      </c>
      <c r="BO20" s="102">
        <v>1</v>
      </c>
      <c r="BP20" s="102">
        <v>1</v>
      </c>
      <c r="BQ20" s="102">
        <v>1</v>
      </c>
      <c r="BR20" s="102">
        <v>1</v>
      </c>
      <c r="BS20" s="102">
        <v>1</v>
      </c>
      <c r="BT20" s="102">
        <v>1</v>
      </c>
      <c r="BU20" s="102">
        <v>1</v>
      </c>
      <c r="BV20" s="102">
        <v>1</v>
      </c>
      <c r="BW20" s="102">
        <v>1</v>
      </c>
      <c r="BX20" s="102">
        <v>1</v>
      </c>
      <c r="BY20" s="102">
        <v>1</v>
      </c>
      <c r="BZ20" s="102">
        <v>1</v>
      </c>
      <c r="CA20" s="102">
        <v>1</v>
      </c>
      <c r="CB20" s="102">
        <v>1</v>
      </c>
      <c r="CC20" s="102">
        <v>1</v>
      </c>
      <c r="CD20" s="102">
        <v>1</v>
      </c>
      <c r="CE20" s="102">
        <v>1</v>
      </c>
      <c r="CF20" s="102">
        <v>1</v>
      </c>
      <c r="CG20" s="102">
        <v>1</v>
      </c>
      <c r="CH20" s="102">
        <v>1</v>
      </c>
      <c r="CI20" s="102">
        <v>1</v>
      </c>
      <c r="CJ20" s="102">
        <v>1</v>
      </c>
      <c r="CK20" s="102">
        <v>1</v>
      </c>
      <c r="CL20" s="102">
        <v>1</v>
      </c>
      <c r="CM20" s="102">
        <v>1</v>
      </c>
      <c r="CN20" s="102">
        <v>1</v>
      </c>
      <c r="CO20" s="102">
        <v>1</v>
      </c>
      <c r="CP20" s="102">
        <v>1</v>
      </c>
      <c r="CQ20" s="102">
        <v>1</v>
      </c>
      <c r="CR20" s="102">
        <v>1</v>
      </c>
      <c r="CS20" s="103">
        <v>1</v>
      </c>
      <c r="CT20" s="102">
        <v>1</v>
      </c>
      <c r="CU20" s="102">
        <v>1</v>
      </c>
      <c r="CV20" s="102">
        <v>1</v>
      </c>
      <c r="CW20" s="102">
        <v>1</v>
      </c>
      <c r="CX20" s="102">
        <v>1</v>
      </c>
      <c r="CY20" s="102">
        <v>1</v>
      </c>
      <c r="CZ20" s="102">
        <v>1</v>
      </c>
      <c r="DA20" s="102">
        <v>1</v>
      </c>
      <c r="DB20" s="102">
        <v>1</v>
      </c>
      <c r="DC20" s="102">
        <v>1</v>
      </c>
      <c r="DD20" s="102">
        <v>1</v>
      </c>
      <c r="DE20" s="102">
        <v>1</v>
      </c>
      <c r="DF20" s="102">
        <v>1</v>
      </c>
      <c r="DG20" s="102">
        <v>1</v>
      </c>
      <c r="DH20" s="102">
        <v>1</v>
      </c>
      <c r="DI20" s="102">
        <v>1</v>
      </c>
      <c r="DJ20" s="102">
        <v>1</v>
      </c>
      <c r="DK20" s="102">
        <v>1</v>
      </c>
      <c r="DL20" s="102">
        <v>1</v>
      </c>
      <c r="DM20" s="102">
        <v>1</v>
      </c>
      <c r="DN20" s="102">
        <v>1</v>
      </c>
      <c r="DO20" s="102">
        <v>1</v>
      </c>
      <c r="DP20" s="102">
        <v>1</v>
      </c>
      <c r="DQ20" s="102">
        <v>1</v>
      </c>
      <c r="DR20" s="102">
        <v>1</v>
      </c>
      <c r="DS20" s="102">
        <v>1</v>
      </c>
      <c r="DT20" s="102">
        <v>1</v>
      </c>
      <c r="DU20" s="102">
        <v>1</v>
      </c>
      <c r="DV20" s="102">
        <v>1</v>
      </c>
      <c r="DW20" s="102">
        <v>1</v>
      </c>
      <c r="DX20" s="102">
        <v>1</v>
      </c>
      <c r="DY20" s="102">
        <v>1</v>
      </c>
      <c r="DZ20" s="102">
        <v>1</v>
      </c>
      <c r="EA20" s="102">
        <v>1</v>
      </c>
      <c r="EB20" s="102">
        <v>1</v>
      </c>
      <c r="EC20" s="102">
        <v>1</v>
      </c>
      <c r="ED20" s="102">
        <v>1</v>
      </c>
      <c r="EE20" s="102">
        <v>1</v>
      </c>
      <c r="EF20" s="102">
        <v>1</v>
      </c>
      <c r="EG20" s="102">
        <v>1</v>
      </c>
      <c r="EH20" s="102">
        <v>1</v>
      </c>
      <c r="EI20" s="102">
        <v>1</v>
      </c>
      <c r="EJ20" s="102">
        <v>1</v>
      </c>
      <c r="EK20" s="102">
        <v>1</v>
      </c>
      <c r="EL20" s="102">
        <v>1</v>
      </c>
      <c r="EM20" s="102">
        <v>1</v>
      </c>
      <c r="EN20" s="102">
        <v>1</v>
      </c>
      <c r="EO20" s="102">
        <v>1</v>
      </c>
      <c r="EP20" s="102">
        <v>1</v>
      </c>
      <c r="EQ20" s="102">
        <v>1</v>
      </c>
      <c r="ER20" s="102">
        <v>1</v>
      </c>
      <c r="ES20" s="102">
        <v>1</v>
      </c>
      <c r="ET20" s="102">
        <v>1</v>
      </c>
      <c r="EU20" s="102">
        <v>1</v>
      </c>
      <c r="EV20" s="102">
        <v>1</v>
      </c>
      <c r="EW20" s="102">
        <v>1</v>
      </c>
      <c r="EX20" s="102">
        <v>1</v>
      </c>
      <c r="EY20" s="102">
        <v>1</v>
      </c>
      <c r="EZ20" s="102">
        <v>1</v>
      </c>
      <c r="FA20" s="102">
        <v>1</v>
      </c>
      <c r="FB20" s="102">
        <v>1</v>
      </c>
      <c r="FC20" s="102">
        <v>1</v>
      </c>
      <c r="FD20" s="102">
        <v>1</v>
      </c>
      <c r="FE20" s="102">
        <v>1</v>
      </c>
      <c r="FF20" s="102">
        <v>1</v>
      </c>
      <c r="FG20" s="102">
        <v>1</v>
      </c>
      <c r="FH20" s="102">
        <v>1</v>
      </c>
      <c r="FI20" s="102">
        <v>1</v>
      </c>
      <c r="FJ20" s="102">
        <v>1</v>
      </c>
      <c r="FK20" s="102">
        <v>1</v>
      </c>
      <c r="FL20" s="102">
        <v>1</v>
      </c>
      <c r="FM20" s="102">
        <v>1</v>
      </c>
      <c r="FN20" s="102">
        <v>1</v>
      </c>
      <c r="FO20" s="102">
        <v>1</v>
      </c>
      <c r="FP20" s="102">
        <v>1</v>
      </c>
      <c r="FQ20" s="102">
        <v>1</v>
      </c>
      <c r="FR20" s="102">
        <v>1</v>
      </c>
      <c r="FS20" s="102">
        <v>1</v>
      </c>
      <c r="FT20" s="102">
        <v>1</v>
      </c>
      <c r="FU20" s="102">
        <v>1</v>
      </c>
      <c r="FV20" s="102">
        <v>1</v>
      </c>
      <c r="FW20" s="102">
        <v>1</v>
      </c>
      <c r="FX20" s="102">
        <v>1</v>
      </c>
      <c r="FY20" s="102">
        <v>1</v>
      </c>
      <c r="FZ20" s="102">
        <v>1</v>
      </c>
      <c r="GA20" s="102">
        <v>1</v>
      </c>
      <c r="GB20" s="102">
        <v>1</v>
      </c>
      <c r="GC20" s="102">
        <v>1</v>
      </c>
      <c r="GD20" s="102">
        <v>1</v>
      </c>
      <c r="GE20" s="102">
        <v>1</v>
      </c>
      <c r="GF20" s="102">
        <v>1</v>
      </c>
      <c r="GG20" s="102">
        <v>1</v>
      </c>
      <c r="GH20" s="102">
        <v>1</v>
      </c>
      <c r="GI20" s="102">
        <v>1</v>
      </c>
      <c r="GJ20" s="102">
        <v>1</v>
      </c>
      <c r="GK20" s="102">
        <v>1</v>
      </c>
      <c r="GL20" s="102">
        <v>1</v>
      </c>
      <c r="GM20" s="102">
        <v>1</v>
      </c>
      <c r="GN20" s="102">
        <v>1</v>
      </c>
      <c r="GO20" s="102">
        <v>1</v>
      </c>
      <c r="GP20" s="24">
        <f t="shared" si="7"/>
        <v>1</v>
      </c>
    </row>
    <row r="21" spans="1:198" ht="29.15">
      <c r="B21" s="36">
        <v>1</v>
      </c>
      <c r="C21" s="34" t="s">
        <v>16</v>
      </c>
      <c r="D21" s="1">
        <v>16104</v>
      </c>
      <c r="E21" s="1" t="s">
        <v>88</v>
      </c>
      <c r="F21" s="34" t="s">
        <v>78</v>
      </c>
      <c r="G21" s="34" t="s">
        <v>45</v>
      </c>
      <c r="H21" s="1" t="s">
        <v>42</v>
      </c>
      <c r="I21" s="1" t="s">
        <v>113</v>
      </c>
      <c r="J21" s="1" t="s">
        <v>96</v>
      </c>
      <c r="K21" s="1">
        <v>3713</v>
      </c>
      <c r="L21" s="1" t="s">
        <v>22</v>
      </c>
      <c r="M21" s="1" t="s">
        <v>40</v>
      </c>
      <c r="N21" s="1" t="s">
        <v>24</v>
      </c>
      <c r="O21" s="1" t="s">
        <v>33</v>
      </c>
      <c r="P21" s="35">
        <v>32214406</v>
      </c>
      <c r="Q21" s="4" t="s">
        <v>120</v>
      </c>
      <c r="R21" s="1" t="s">
        <v>116</v>
      </c>
      <c r="S21" s="49">
        <v>220924</v>
      </c>
      <c r="T21" s="45">
        <v>820352901</v>
      </c>
      <c r="U21" s="45">
        <v>3156</v>
      </c>
      <c r="V21" s="45"/>
      <c r="W21" s="51">
        <v>363417651</v>
      </c>
      <c r="X21" s="104">
        <v>75</v>
      </c>
      <c r="Y21" s="104" t="s">
        <v>163</v>
      </c>
      <c r="Z21" s="107">
        <v>9</v>
      </c>
      <c r="AA21" s="107">
        <v>10</v>
      </c>
      <c r="AB21" s="107">
        <v>4</v>
      </c>
      <c r="AC21" s="88">
        <v>1638.16</v>
      </c>
      <c r="AD21" s="88">
        <v>764.47</v>
      </c>
      <c r="AE21" s="88">
        <v>2219.75</v>
      </c>
      <c r="AF21" s="89">
        <f>'Цены,перевалка,аренда'!$C$26*SUM(Уголь_эластика_внутр!Z21+Уголь_эластика_внутр!AA21+Уголь_эластика_внутр!AB21)/Уголь_эластика_внутр!X21</f>
        <v>306.66666666666669</v>
      </c>
      <c r="AG21" s="90"/>
      <c r="AH21" s="47"/>
      <c r="AI21" s="91">
        <v>4817</v>
      </c>
      <c r="AJ21" s="92">
        <f>'Цены,перевалка,аренда'!$D$14</f>
        <v>10200</v>
      </c>
      <c r="AK21" s="47">
        <f>AJ21/'Цены,перевалка,аренда'!$C$1</f>
        <v>133.67319524804898</v>
      </c>
      <c r="AL21" s="47">
        <f t="shared" si="0"/>
        <v>2526.4166666666665</v>
      </c>
      <c r="AM21" s="47">
        <f t="shared" si="1"/>
        <v>7673.5833333333339</v>
      </c>
      <c r="AN21" s="47">
        <f t="shared" si="8"/>
        <v>7343.416666666667</v>
      </c>
      <c r="AO21" s="93">
        <f t="shared" si="3"/>
        <v>0.28005718954248365</v>
      </c>
      <c r="AP21" s="94">
        <f t="shared" si="4"/>
        <v>0.247687908496732</v>
      </c>
      <c r="AQ21" s="94">
        <f t="shared" si="5"/>
        <v>0.21762254901960784</v>
      </c>
      <c r="AR21" s="94">
        <f t="shared" si="6"/>
        <v>0.87861595804334203</v>
      </c>
      <c r="AS21" s="95" t="s">
        <v>179</v>
      </c>
      <c r="AT21" s="35"/>
      <c r="AU21" s="102">
        <v>1</v>
      </c>
      <c r="AV21" s="102">
        <v>1</v>
      </c>
      <c r="AW21" s="102">
        <v>1</v>
      </c>
      <c r="AX21" s="102">
        <v>1</v>
      </c>
      <c r="AY21" s="102">
        <v>1</v>
      </c>
      <c r="AZ21" s="102">
        <v>1</v>
      </c>
      <c r="BA21" s="102">
        <v>1</v>
      </c>
      <c r="BB21" s="102">
        <v>1</v>
      </c>
      <c r="BC21" s="102">
        <v>1</v>
      </c>
      <c r="BD21" s="102">
        <v>1</v>
      </c>
      <c r="BE21" s="102">
        <v>1</v>
      </c>
      <c r="BF21" s="102">
        <v>1</v>
      </c>
      <c r="BG21" s="102">
        <v>1</v>
      </c>
      <c r="BH21" s="102">
        <v>1</v>
      </c>
      <c r="BI21" s="102">
        <v>1</v>
      </c>
      <c r="BJ21" s="102">
        <v>1</v>
      </c>
      <c r="BK21" s="102">
        <v>1</v>
      </c>
      <c r="BL21" s="102">
        <v>1</v>
      </c>
      <c r="BM21" s="102">
        <v>1</v>
      </c>
      <c r="BN21" s="102">
        <v>1</v>
      </c>
      <c r="BO21" s="102">
        <v>1</v>
      </c>
      <c r="BP21" s="102">
        <v>1</v>
      </c>
      <c r="BQ21" s="102">
        <v>1</v>
      </c>
      <c r="BR21" s="102">
        <v>1</v>
      </c>
      <c r="BS21" s="102">
        <v>1</v>
      </c>
      <c r="BT21" s="102">
        <v>1</v>
      </c>
      <c r="BU21" s="102">
        <v>1</v>
      </c>
      <c r="BV21" s="102">
        <v>1</v>
      </c>
      <c r="BW21" s="102">
        <v>1</v>
      </c>
      <c r="BX21" s="102">
        <v>1</v>
      </c>
      <c r="BY21" s="102">
        <v>1</v>
      </c>
      <c r="BZ21" s="102">
        <v>1</v>
      </c>
      <c r="CA21" s="102">
        <v>1</v>
      </c>
      <c r="CB21" s="102">
        <v>1</v>
      </c>
      <c r="CC21" s="102">
        <v>1</v>
      </c>
      <c r="CD21" s="102">
        <v>1</v>
      </c>
      <c r="CE21" s="102">
        <v>1</v>
      </c>
      <c r="CF21" s="102">
        <v>1</v>
      </c>
      <c r="CG21" s="102">
        <v>1</v>
      </c>
      <c r="CH21" s="102">
        <v>1</v>
      </c>
      <c r="CI21" s="102">
        <v>1</v>
      </c>
      <c r="CJ21" s="102">
        <v>1</v>
      </c>
      <c r="CK21" s="102">
        <v>1</v>
      </c>
      <c r="CL21" s="102">
        <v>1</v>
      </c>
      <c r="CM21" s="102">
        <v>1</v>
      </c>
      <c r="CN21" s="102">
        <v>1</v>
      </c>
      <c r="CO21" s="102">
        <v>1</v>
      </c>
      <c r="CP21" s="102">
        <v>1</v>
      </c>
      <c r="CQ21" s="102">
        <v>1</v>
      </c>
      <c r="CR21" s="102">
        <v>1</v>
      </c>
      <c r="CS21" s="103">
        <v>1</v>
      </c>
      <c r="CT21" s="102">
        <v>1</v>
      </c>
      <c r="CU21" s="102">
        <v>1</v>
      </c>
      <c r="CV21" s="102">
        <v>1</v>
      </c>
      <c r="CW21" s="102">
        <v>1</v>
      </c>
      <c r="CX21" s="102">
        <v>1</v>
      </c>
      <c r="CY21" s="102">
        <v>1</v>
      </c>
      <c r="CZ21" s="102">
        <v>1</v>
      </c>
      <c r="DA21" s="102">
        <v>1</v>
      </c>
      <c r="DB21" s="102">
        <v>1</v>
      </c>
      <c r="DC21" s="102">
        <v>1</v>
      </c>
      <c r="DD21" s="102">
        <v>1</v>
      </c>
      <c r="DE21" s="102">
        <v>1</v>
      </c>
      <c r="DF21" s="102">
        <v>1</v>
      </c>
      <c r="DG21" s="102">
        <v>1</v>
      </c>
      <c r="DH21" s="102">
        <v>1</v>
      </c>
      <c r="DI21" s="102">
        <v>1</v>
      </c>
      <c r="DJ21" s="102">
        <v>1</v>
      </c>
      <c r="DK21" s="102">
        <v>1</v>
      </c>
      <c r="DL21" s="102">
        <v>1</v>
      </c>
      <c r="DM21" s="102">
        <v>1</v>
      </c>
      <c r="DN21" s="102">
        <v>1</v>
      </c>
      <c r="DO21" s="102">
        <v>1</v>
      </c>
      <c r="DP21" s="102">
        <v>1</v>
      </c>
      <c r="DQ21" s="102">
        <v>1</v>
      </c>
      <c r="DR21" s="102">
        <v>1</v>
      </c>
      <c r="DS21" s="102">
        <v>1</v>
      </c>
      <c r="DT21" s="102">
        <v>1</v>
      </c>
      <c r="DU21" s="102">
        <v>1</v>
      </c>
      <c r="DV21" s="102">
        <v>1</v>
      </c>
      <c r="DW21" s="102">
        <v>1</v>
      </c>
      <c r="DX21" s="102">
        <v>1</v>
      </c>
      <c r="DY21" s="102">
        <v>1</v>
      </c>
      <c r="DZ21" s="102">
        <v>1</v>
      </c>
      <c r="EA21" s="102">
        <v>1</v>
      </c>
      <c r="EB21" s="102">
        <v>1</v>
      </c>
      <c r="EC21" s="102">
        <v>1</v>
      </c>
      <c r="ED21" s="102">
        <v>1</v>
      </c>
      <c r="EE21" s="102">
        <v>1</v>
      </c>
      <c r="EF21" s="102">
        <v>1</v>
      </c>
      <c r="EG21" s="102">
        <v>1</v>
      </c>
      <c r="EH21" s="102">
        <v>1</v>
      </c>
      <c r="EI21" s="102">
        <v>1</v>
      </c>
      <c r="EJ21" s="102">
        <v>1</v>
      </c>
      <c r="EK21" s="102">
        <v>1</v>
      </c>
      <c r="EL21" s="102">
        <v>1</v>
      </c>
      <c r="EM21" s="102">
        <v>1</v>
      </c>
      <c r="EN21" s="102">
        <v>1</v>
      </c>
      <c r="EO21" s="102">
        <v>1</v>
      </c>
      <c r="EP21" s="102">
        <v>1</v>
      </c>
      <c r="EQ21" s="102">
        <v>1</v>
      </c>
      <c r="ER21" s="102">
        <v>1</v>
      </c>
      <c r="ES21" s="102">
        <v>1</v>
      </c>
      <c r="ET21" s="102">
        <v>1</v>
      </c>
      <c r="EU21" s="102">
        <v>1</v>
      </c>
      <c r="EV21" s="102">
        <v>1</v>
      </c>
      <c r="EW21" s="102">
        <v>1</v>
      </c>
      <c r="EX21" s="102">
        <v>1</v>
      </c>
      <c r="EY21" s="102">
        <v>1</v>
      </c>
      <c r="EZ21" s="102">
        <v>1</v>
      </c>
      <c r="FA21" s="102">
        <v>1</v>
      </c>
      <c r="FB21" s="102">
        <v>1</v>
      </c>
      <c r="FC21" s="102">
        <v>1</v>
      </c>
      <c r="FD21" s="102">
        <v>1</v>
      </c>
      <c r="FE21" s="102">
        <v>1</v>
      </c>
      <c r="FF21" s="102">
        <v>1</v>
      </c>
      <c r="FG21" s="102">
        <v>1</v>
      </c>
      <c r="FH21" s="102">
        <v>1</v>
      </c>
      <c r="FI21" s="102">
        <v>1</v>
      </c>
      <c r="FJ21" s="102">
        <v>1</v>
      </c>
      <c r="FK21" s="102">
        <v>1</v>
      </c>
      <c r="FL21" s="102">
        <v>1</v>
      </c>
      <c r="FM21" s="102">
        <v>1</v>
      </c>
      <c r="FN21" s="102">
        <v>1</v>
      </c>
      <c r="FO21" s="102">
        <v>1</v>
      </c>
      <c r="FP21" s="102">
        <v>1</v>
      </c>
      <c r="FQ21" s="102">
        <v>1</v>
      </c>
      <c r="FR21" s="102">
        <v>1</v>
      </c>
      <c r="FS21" s="102">
        <v>1</v>
      </c>
      <c r="FT21" s="102">
        <v>1</v>
      </c>
      <c r="FU21" s="102">
        <v>1</v>
      </c>
      <c r="FV21" s="102">
        <v>1</v>
      </c>
      <c r="FW21" s="102">
        <v>1</v>
      </c>
      <c r="FX21" s="102">
        <v>1</v>
      </c>
      <c r="FY21" s="102">
        <v>1</v>
      </c>
      <c r="FZ21" s="102">
        <v>1</v>
      </c>
      <c r="GA21" s="102">
        <v>1</v>
      </c>
      <c r="GB21" s="102">
        <v>1</v>
      </c>
      <c r="GC21" s="102">
        <v>1</v>
      </c>
      <c r="GD21" s="102">
        <v>1</v>
      </c>
      <c r="GE21" s="102">
        <v>1</v>
      </c>
      <c r="GF21" s="102">
        <v>1</v>
      </c>
      <c r="GG21" s="102">
        <v>1</v>
      </c>
      <c r="GH21" s="102">
        <v>1</v>
      </c>
      <c r="GI21" s="102">
        <v>1</v>
      </c>
      <c r="GJ21" s="102">
        <v>1</v>
      </c>
      <c r="GK21" s="102">
        <v>1</v>
      </c>
      <c r="GL21" s="102">
        <v>1</v>
      </c>
      <c r="GM21" s="102">
        <v>1</v>
      </c>
      <c r="GN21" s="102">
        <v>1</v>
      </c>
      <c r="GO21" s="102">
        <v>1</v>
      </c>
      <c r="GP21" s="24">
        <f t="shared" si="7"/>
        <v>1</v>
      </c>
    </row>
    <row r="22" spans="1:198" ht="29.15">
      <c r="B22" s="36">
        <v>1</v>
      </c>
      <c r="C22" s="34" t="s">
        <v>16</v>
      </c>
      <c r="D22" s="1">
        <v>16104</v>
      </c>
      <c r="E22" s="1" t="s">
        <v>88</v>
      </c>
      <c r="F22" s="34" t="s">
        <v>78</v>
      </c>
      <c r="G22" s="34" t="s">
        <v>45</v>
      </c>
      <c r="H22" s="1" t="s">
        <v>45</v>
      </c>
      <c r="I22" s="1" t="s">
        <v>121</v>
      </c>
      <c r="J22" s="1" t="s">
        <v>122</v>
      </c>
      <c r="K22" s="1">
        <v>162</v>
      </c>
      <c r="L22" s="1" t="s">
        <v>22</v>
      </c>
      <c r="M22" s="1" t="s">
        <v>40</v>
      </c>
      <c r="N22" s="1" t="s">
        <v>24</v>
      </c>
      <c r="O22" s="1" t="s">
        <v>36</v>
      </c>
      <c r="P22" s="4">
        <v>160212</v>
      </c>
      <c r="Q22" s="4" t="s">
        <v>115</v>
      </c>
      <c r="R22" s="1" t="s">
        <v>116</v>
      </c>
      <c r="S22" s="49">
        <v>1050106</v>
      </c>
      <c r="T22" s="45">
        <v>170116878</v>
      </c>
      <c r="U22" s="45">
        <v>14865</v>
      </c>
      <c r="V22" s="45"/>
      <c r="W22" s="51">
        <v>264423344</v>
      </c>
      <c r="X22" s="104">
        <v>69</v>
      </c>
      <c r="Y22" s="104" t="s">
        <v>163</v>
      </c>
      <c r="Z22" s="107">
        <v>3</v>
      </c>
      <c r="AA22" s="107">
        <v>4</v>
      </c>
      <c r="AB22" s="107">
        <v>4</v>
      </c>
      <c r="AC22" s="88">
        <v>285.88</v>
      </c>
      <c r="AD22" s="88">
        <v>78.03000000000003</v>
      </c>
      <c r="AE22" s="88">
        <v>321.70999999999998</v>
      </c>
      <c r="AF22" s="89">
        <f>'Цены,перевалка,аренда'!$C$27*SUM(Уголь_эластика_внутр!Z22+Уголь_эластика_внутр!AA22+Уголь_эластика_внутр!AB22)/Уголь_эластика_внутр!X22</f>
        <v>111.59420289855072</v>
      </c>
      <c r="AG22" s="90"/>
      <c r="AH22" s="47"/>
      <c r="AI22" s="91">
        <v>4817</v>
      </c>
      <c r="AJ22" s="92">
        <f>'Цены,перевалка,аренда'!$D$14</f>
        <v>10200</v>
      </c>
      <c r="AK22" s="47">
        <f>AJ22/'Цены,перевалка,аренда'!$C$1</f>
        <v>133.67319524804898</v>
      </c>
      <c r="AL22" s="47">
        <f t="shared" si="0"/>
        <v>433.30420289855067</v>
      </c>
      <c r="AM22" s="47">
        <f t="shared" si="1"/>
        <v>9766.695797101449</v>
      </c>
      <c r="AN22" s="47">
        <f t="shared" si="8"/>
        <v>5250.304202898551</v>
      </c>
      <c r="AO22" s="93">
        <f t="shared" si="3"/>
        <v>0.48526429383347541</v>
      </c>
      <c r="AP22" s="94">
        <f t="shared" si="4"/>
        <v>4.2480804205740262E-2</v>
      </c>
      <c r="AQ22" s="94">
        <f t="shared" si="5"/>
        <v>3.1540196078431372E-2</v>
      </c>
      <c r="AR22" s="94">
        <f t="shared" si="6"/>
        <v>0.74245760333721433</v>
      </c>
      <c r="AS22" s="95" t="s">
        <v>196</v>
      </c>
      <c r="AT22" s="35"/>
      <c r="AU22" s="102">
        <v>1</v>
      </c>
      <c r="AV22" s="102">
        <v>1</v>
      </c>
      <c r="AW22" s="102">
        <v>1</v>
      </c>
      <c r="AX22" s="102">
        <v>1</v>
      </c>
      <c r="AY22" s="102">
        <v>1</v>
      </c>
      <c r="AZ22" s="102">
        <v>1</v>
      </c>
      <c r="BA22" s="102">
        <v>1</v>
      </c>
      <c r="BB22" s="102">
        <v>1</v>
      </c>
      <c r="BC22" s="102">
        <v>1</v>
      </c>
      <c r="BD22" s="102">
        <v>1</v>
      </c>
      <c r="BE22" s="102">
        <v>1</v>
      </c>
      <c r="BF22" s="102">
        <v>1</v>
      </c>
      <c r="BG22" s="102">
        <v>1</v>
      </c>
      <c r="BH22" s="102">
        <v>1</v>
      </c>
      <c r="BI22" s="102">
        <v>1</v>
      </c>
      <c r="BJ22" s="102">
        <v>1</v>
      </c>
      <c r="BK22" s="102">
        <v>1</v>
      </c>
      <c r="BL22" s="102">
        <v>1</v>
      </c>
      <c r="BM22" s="102">
        <v>1</v>
      </c>
      <c r="BN22" s="102">
        <v>1</v>
      </c>
      <c r="BO22" s="102">
        <v>1</v>
      </c>
      <c r="BP22" s="102">
        <v>1</v>
      </c>
      <c r="BQ22" s="102">
        <v>1</v>
      </c>
      <c r="BR22" s="102">
        <v>1</v>
      </c>
      <c r="BS22" s="102">
        <v>1</v>
      </c>
      <c r="BT22" s="102">
        <v>1</v>
      </c>
      <c r="BU22" s="102">
        <v>1</v>
      </c>
      <c r="BV22" s="102">
        <v>1</v>
      </c>
      <c r="BW22" s="102">
        <v>1</v>
      </c>
      <c r="BX22" s="102">
        <v>1</v>
      </c>
      <c r="BY22" s="102">
        <v>1</v>
      </c>
      <c r="BZ22" s="102">
        <v>1</v>
      </c>
      <c r="CA22" s="102">
        <v>1</v>
      </c>
      <c r="CB22" s="102">
        <v>1</v>
      </c>
      <c r="CC22" s="102">
        <v>1</v>
      </c>
      <c r="CD22" s="102">
        <v>1</v>
      </c>
      <c r="CE22" s="102">
        <v>1</v>
      </c>
      <c r="CF22" s="102">
        <v>1</v>
      </c>
      <c r="CG22" s="102">
        <v>1</v>
      </c>
      <c r="CH22" s="102">
        <v>1</v>
      </c>
      <c r="CI22" s="102">
        <v>1</v>
      </c>
      <c r="CJ22" s="102">
        <v>1</v>
      </c>
      <c r="CK22" s="102">
        <v>1</v>
      </c>
      <c r="CL22" s="102">
        <v>1</v>
      </c>
      <c r="CM22" s="102">
        <v>1</v>
      </c>
      <c r="CN22" s="102">
        <v>1</v>
      </c>
      <c r="CO22" s="102">
        <v>1</v>
      </c>
      <c r="CP22" s="102">
        <v>1</v>
      </c>
      <c r="CQ22" s="102">
        <v>1</v>
      </c>
      <c r="CR22" s="102">
        <v>1</v>
      </c>
      <c r="CS22" s="103">
        <v>1</v>
      </c>
      <c r="CT22" s="102">
        <v>1</v>
      </c>
      <c r="CU22" s="102">
        <v>1</v>
      </c>
      <c r="CV22" s="102">
        <v>1</v>
      </c>
      <c r="CW22" s="102">
        <v>1</v>
      </c>
      <c r="CX22" s="102">
        <v>1</v>
      </c>
      <c r="CY22" s="102">
        <v>1</v>
      </c>
      <c r="CZ22" s="102">
        <v>1</v>
      </c>
      <c r="DA22" s="102">
        <v>1</v>
      </c>
      <c r="DB22" s="102">
        <v>1</v>
      </c>
      <c r="DC22" s="102">
        <v>1</v>
      </c>
      <c r="DD22" s="102">
        <v>1</v>
      </c>
      <c r="DE22" s="102">
        <v>1</v>
      </c>
      <c r="DF22" s="102">
        <v>1</v>
      </c>
      <c r="DG22" s="102">
        <v>1</v>
      </c>
      <c r="DH22" s="102">
        <v>1</v>
      </c>
      <c r="DI22" s="102">
        <v>1</v>
      </c>
      <c r="DJ22" s="102">
        <v>1</v>
      </c>
      <c r="DK22" s="102">
        <v>1</v>
      </c>
      <c r="DL22" s="102">
        <v>1</v>
      </c>
      <c r="DM22" s="102">
        <v>1</v>
      </c>
      <c r="DN22" s="102">
        <v>1</v>
      </c>
      <c r="DO22" s="102">
        <v>1</v>
      </c>
      <c r="DP22" s="102">
        <v>1</v>
      </c>
      <c r="DQ22" s="102">
        <v>1</v>
      </c>
      <c r="DR22" s="102">
        <v>1</v>
      </c>
      <c r="DS22" s="102">
        <v>1</v>
      </c>
      <c r="DT22" s="102">
        <v>1</v>
      </c>
      <c r="DU22" s="102">
        <v>1</v>
      </c>
      <c r="DV22" s="102">
        <v>1</v>
      </c>
      <c r="DW22" s="102">
        <v>1</v>
      </c>
      <c r="DX22" s="102">
        <v>1</v>
      </c>
      <c r="DY22" s="102">
        <v>1</v>
      </c>
      <c r="DZ22" s="102">
        <v>1</v>
      </c>
      <c r="EA22" s="102">
        <v>1</v>
      </c>
      <c r="EB22" s="102">
        <v>1</v>
      </c>
      <c r="EC22" s="102">
        <v>1</v>
      </c>
      <c r="ED22" s="102">
        <v>1</v>
      </c>
      <c r="EE22" s="102">
        <v>1</v>
      </c>
      <c r="EF22" s="102">
        <v>1</v>
      </c>
      <c r="EG22" s="102">
        <v>1</v>
      </c>
      <c r="EH22" s="102">
        <v>1</v>
      </c>
      <c r="EI22" s="102">
        <v>1</v>
      </c>
      <c r="EJ22" s="102">
        <v>1</v>
      </c>
      <c r="EK22" s="102">
        <v>1</v>
      </c>
      <c r="EL22" s="102">
        <v>1</v>
      </c>
      <c r="EM22" s="102">
        <v>1</v>
      </c>
      <c r="EN22" s="102">
        <v>1</v>
      </c>
      <c r="EO22" s="102">
        <v>1</v>
      </c>
      <c r="EP22" s="102">
        <v>1</v>
      </c>
      <c r="EQ22" s="102">
        <v>1</v>
      </c>
      <c r="ER22" s="102">
        <v>1</v>
      </c>
      <c r="ES22" s="102">
        <v>1</v>
      </c>
      <c r="ET22" s="102">
        <v>1</v>
      </c>
      <c r="EU22" s="102">
        <v>1</v>
      </c>
      <c r="EV22" s="102">
        <v>1</v>
      </c>
      <c r="EW22" s="102">
        <v>1</v>
      </c>
      <c r="EX22" s="102">
        <v>1</v>
      </c>
      <c r="EY22" s="102">
        <v>1</v>
      </c>
      <c r="EZ22" s="102">
        <v>1</v>
      </c>
      <c r="FA22" s="102">
        <v>1</v>
      </c>
      <c r="FB22" s="102">
        <v>1</v>
      </c>
      <c r="FC22" s="102">
        <v>1</v>
      </c>
      <c r="FD22" s="102">
        <v>1</v>
      </c>
      <c r="FE22" s="102">
        <v>1</v>
      </c>
      <c r="FF22" s="102">
        <v>1</v>
      </c>
      <c r="FG22" s="102">
        <v>1</v>
      </c>
      <c r="FH22" s="102">
        <v>1</v>
      </c>
      <c r="FI22" s="102">
        <v>1</v>
      </c>
      <c r="FJ22" s="102">
        <v>1</v>
      </c>
      <c r="FK22" s="102">
        <v>1</v>
      </c>
      <c r="FL22" s="102">
        <v>1</v>
      </c>
      <c r="FM22" s="102">
        <v>1</v>
      </c>
      <c r="FN22" s="102">
        <v>1</v>
      </c>
      <c r="FO22" s="102">
        <v>1</v>
      </c>
      <c r="FP22" s="102">
        <v>1</v>
      </c>
      <c r="FQ22" s="102">
        <v>1</v>
      </c>
      <c r="FR22" s="102">
        <v>1</v>
      </c>
      <c r="FS22" s="102">
        <v>1</v>
      </c>
      <c r="FT22" s="102">
        <v>1</v>
      </c>
      <c r="FU22" s="102">
        <v>1</v>
      </c>
      <c r="FV22" s="102">
        <v>1</v>
      </c>
      <c r="FW22" s="102">
        <v>1</v>
      </c>
      <c r="FX22" s="102">
        <v>1</v>
      </c>
      <c r="FY22" s="102">
        <v>1</v>
      </c>
      <c r="FZ22" s="102">
        <v>1</v>
      </c>
      <c r="GA22" s="102">
        <v>1</v>
      </c>
      <c r="GB22" s="102">
        <v>1</v>
      </c>
      <c r="GC22" s="102">
        <v>1</v>
      </c>
      <c r="GD22" s="102">
        <v>1</v>
      </c>
      <c r="GE22" s="102">
        <v>1</v>
      </c>
      <c r="GF22" s="102">
        <v>1</v>
      </c>
      <c r="GG22" s="102">
        <v>1</v>
      </c>
      <c r="GH22" s="102">
        <v>1</v>
      </c>
      <c r="GI22" s="102">
        <v>1</v>
      </c>
      <c r="GJ22" s="102">
        <v>1</v>
      </c>
      <c r="GK22" s="102">
        <v>1</v>
      </c>
      <c r="GL22" s="102">
        <v>1</v>
      </c>
      <c r="GM22" s="102">
        <v>1</v>
      </c>
      <c r="GN22" s="102">
        <v>1</v>
      </c>
      <c r="GO22" s="102">
        <v>1</v>
      </c>
      <c r="GP22" s="24">
        <f t="shared" si="7"/>
        <v>1</v>
      </c>
    </row>
    <row r="23" spans="1:198" ht="29.15" customHeight="1">
      <c r="B23" s="36">
        <v>1</v>
      </c>
      <c r="C23" s="34" t="s">
        <v>16</v>
      </c>
      <c r="D23" s="1">
        <v>16117</v>
      </c>
      <c r="E23" s="1" t="s">
        <v>70</v>
      </c>
      <c r="F23" s="34" t="s">
        <v>18</v>
      </c>
      <c r="G23" s="34" t="s">
        <v>45</v>
      </c>
      <c r="H23" s="1" t="s">
        <v>30</v>
      </c>
      <c r="I23" s="1" t="s">
        <v>121</v>
      </c>
      <c r="J23" s="1" t="s">
        <v>126</v>
      </c>
      <c r="K23" s="1">
        <v>4786</v>
      </c>
      <c r="L23" s="1" t="s">
        <v>22</v>
      </c>
      <c r="M23" s="1" t="s">
        <v>40</v>
      </c>
      <c r="N23" s="1" t="s">
        <v>24</v>
      </c>
      <c r="O23" s="1" t="s">
        <v>33</v>
      </c>
      <c r="P23" s="4">
        <v>13212867</v>
      </c>
      <c r="Q23" s="4" t="s">
        <v>127</v>
      </c>
      <c r="R23" s="34" t="s">
        <v>124</v>
      </c>
      <c r="S23" s="49">
        <v>34520</v>
      </c>
      <c r="T23" s="45">
        <v>165211463</v>
      </c>
      <c r="U23" s="45">
        <v>486</v>
      </c>
      <c r="V23" s="45"/>
      <c r="W23" s="51">
        <v>49795459</v>
      </c>
      <c r="X23" s="105">
        <v>69</v>
      </c>
      <c r="Y23" s="105" t="s">
        <v>161</v>
      </c>
      <c r="Z23" s="107">
        <v>15</v>
      </c>
      <c r="AA23" s="107">
        <v>16</v>
      </c>
      <c r="AB23" s="107">
        <v>4</v>
      </c>
      <c r="AC23" s="88">
        <v>1656.22</v>
      </c>
      <c r="AD23" s="88">
        <v>1078.3599999999999</v>
      </c>
      <c r="AE23" s="88">
        <v>2734.58</v>
      </c>
      <c r="AF23" s="89">
        <f>'Цены,перевалка,аренда'!$C$27*SUM(Уголь_эластика_внутр!Z23+Уголь_эластика_внутр!AA23+Уголь_эластика_внутр!AB23)/Уголь_эластика_внутр!X23</f>
        <v>355.07246376811594</v>
      </c>
      <c r="AG23" s="90"/>
      <c r="AH23" s="47"/>
      <c r="AI23" s="91">
        <v>4390</v>
      </c>
      <c r="AJ23" s="92">
        <f>'Цены,перевалка,аренда'!$D$8</f>
        <v>3300</v>
      </c>
      <c r="AK23" s="47">
        <f>AJ23/'Цены,перевалка,аренда'!$C$1</f>
        <v>43.247210227309964</v>
      </c>
      <c r="AL23" s="47">
        <f t="shared" si="0"/>
        <v>3089.6524637681159</v>
      </c>
      <c r="AM23" s="47">
        <f t="shared" si="1"/>
        <v>210.34753623188408</v>
      </c>
      <c r="AN23" s="47">
        <f t="shared" si="8"/>
        <v>7479.6524637681159</v>
      </c>
      <c r="AO23" s="93">
        <f t="shared" si="3"/>
        <v>-1.2665613526570048</v>
      </c>
      <c r="AP23" s="94">
        <f>AL23/AJ23</f>
        <v>0.93625832235397455</v>
      </c>
      <c r="AQ23" s="94">
        <f t="shared" si="5"/>
        <v>0.82866060606060599</v>
      </c>
      <c r="AR23" s="94">
        <f t="shared" si="6"/>
        <v>0.88507689200258066</v>
      </c>
      <c r="AS23" s="95" t="s">
        <v>180</v>
      </c>
      <c r="AT23" s="35"/>
      <c r="AU23" s="102">
        <v>1</v>
      </c>
      <c r="AV23" s="102">
        <v>1</v>
      </c>
      <c r="AW23" s="102">
        <v>1</v>
      </c>
      <c r="AX23" s="102">
        <v>1</v>
      </c>
      <c r="AY23" s="102">
        <v>1</v>
      </c>
      <c r="AZ23" s="102">
        <v>1</v>
      </c>
      <c r="BA23" s="102">
        <v>1</v>
      </c>
      <c r="BB23" s="102">
        <v>1</v>
      </c>
      <c r="BC23" s="102">
        <v>1</v>
      </c>
      <c r="BD23" s="102">
        <v>1</v>
      </c>
      <c r="BE23" s="102">
        <v>1</v>
      </c>
      <c r="BF23" s="102">
        <v>1</v>
      </c>
      <c r="BG23" s="102">
        <v>1</v>
      </c>
      <c r="BH23" s="102">
        <v>1</v>
      </c>
      <c r="BI23" s="102">
        <v>1</v>
      </c>
      <c r="BJ23" s="102">
        <v>1</v>
      </c>
      <c r="BK23" s="102">
        <v>1</v>
      </c>
      <c r="BL23" s="102">
        <v>1</v>
      </c>
      <c r="BM23" s="102">
        <v>1</v>
      </c>
      <c r="BN23" s="102">
        <v>1</v>
      </c>
      <c r="BO23" s="102">
        <v>1</v>
      </c>
      <c r="BP23" s="102">
        <v>1</v>
      </c>
      <c r="BQ23" s="102">
        <v>1</v>
      </c>
      <c r="BR23" s="102">
        <v>1</v>
      </c>
      <c r="BS23" s="102">
        <v>1</v>
      </c>
      <c r="BT23" s="102">
        <v>1</v>
      </c>
      <c r="BU23" s="102">
        <v>1</v>
      </c>
      <c r="BV23" s="102">
        <v>1</v>
      </c>
      <c r="BW23" s="102">
        <v>1</v>
      </c>
      <c r="BX23" s="102">
        <v>1</v>
      </c>
      <c r="BY23" s="102">
        <v>1</v>
      </c>
      <c r="BZ23" s="102">
        <v>1</v>
      </c>
      <c r="CA23" s="102">
        <v>1</v>
      </c>
      <c r="CB23" s="102">
        <v>1</v>
      </c>
      <c r="CC23" s="102">
        <v>1</v>
      </c>
      <c r="CD23" s="102">
        <v>1</v>
      </c>
      <c r="CE23" s="102">
        <v>1</v>
      </c>
      <c r="CF23" s="102">
        <v>1</v>
      </c>
      <c r="CG23" s="102">
        <v>1</v>
      </c>
      <c r="CH23" s="102">
        <v>1</v>
      </c>
      <c r="CI23" s="102">
        <v>1</v>
      </c>
      <c r="CJ23" s="102">
        <v>1</v>
      </c>
      <c r="CK23" s="102">
        <v>1</v>
      </c>
      <c r="CL23" s="102">
        <v>1</v>
      </c>
      <c r="CM23" s="102">
        <v>1</v>
      </c>
      <c r="CN23" s="102">
        <v>1</v>
      </c>
      <c r="CO23" s="102">
        <v>1</v>
      </c>
      <c r="CP23" s="102">
        <v>1</v>
      </c>
      <c r="CQ23" s="102">
        <v>1</v>
      </c>
      <c r="CR23" s="102">
        <v>1</v>
      </c>
      <c r="CS23" s="103">
        <v>1</v>
      </c>
      <c r="CT23" s="102">
        <v>1</v>
      </c>
      <c r="CU23" s="102">
        <v>1</v>
      </c>
      <c r="CV23" s="102">
        <v>1</v>
      </c>
      <c r="CW23" s="102">
        <v>1</v>
      </c>
      <c r="CX23" s="102">
        <v>1</v>
      </c>
      <c r="CY23" s="102">
        <v>1</v>
      </c>
      <c r="CZ23" s="102">
        <v>1</v>
      </c>
      <c r="DA23" s="102">
        <v>1</v>
      </c>
      <c r="DB23" s="102">
        <v>1</v>
      </c>
      <c r="DC23" s="102">
        <v>1</v>
      </c>
      <c r="DD23" s="102">
        <v>1</v>
      </c>
      <c r="DE23" s="102">
        <v>1</v>
      </c>
      <c r="DF23" s="102">
        <v>1</v>
      </c>
      <c r="DG23" s="102">
        <v>1</v>
      </c>
      <c r="DH23" s="102">
        <v>1</v>
      </c>
      <c r="DI23" s="102">
        <v>1</v>
      </c>
      <c r="DJ23" s="102">
        <v>1</v>
      </c>
      <c r="DK23" s="102">
        <v>1</v>
      </c>
      <c r="DL23" s="102">
        <v>1</v>
      </c>
      <c r="DM23" s="102">
        <v>1</v>
      </c>
      <c r="DN23" s="102">
        <v>1</v>
      </c>
      <c r="DO23" s="102">
        <v>1</v>
      </c>
      <c r="DP23" s="102">
        <v>1</v>
      </c>
      <c r="DQ23" s="102">
        <v>1</v>
      </c>
      <c r="DR23" s="102">
        <v>1</v>
      </c>
      <c r="DS23" s="102">
        <v>1</v>
      </c>
      <c r="DT23" s="102">
        <v>1</v>
      </c>
      <c r="DU23" s="102">
        <v>1</v>
      </c>
      <c r="DV23" s="102">
        <v>1</v>
      </c>
      <c r="DW23" s="102">
        <v>1</v>
      </c>
      <c r="DX23" s="102">
        <v>1</v>
      </c>
      <c r="DY23" s="102">
        <v>1</v>
      </c>
      <c r="DZ23" s="102">
        <v>1</v>
      </c>
      <c r="EA23" s="102">
        <v>1</v>
      </c>
      <c r="EB23" s="102">
        <v>1</v>
      </c>
      <c r="EC23" s="102">
        <v>1</v>
      </c>
      <c r="ED23" s="102">
        <v>1</v>
      </c>
      <c r="EE23" s="102">
        <v>1</v>
      </c>
      <c r="EF23" s="102">
        <v>1</v>
      </c>
      <c r="EG23" s="102">
        <v>1</v>
      </c>
      <c r="EH23" s="102">
        <v>1</v>
      </c>
      <c r="EI23" s="102">
        <v>1</v>
      </c>
      <c r="EJ23" s="102">
        <v>1</v>
      </c>
      <c r="EK23" s="102">
        <v>1</v>
      </c>
      <c r="EL23" s="102">
        <v>1</v>
      </c>
      <c r="EM23" s="102">
        <v>1</v>
      </c>
      <c r="EN23" s="102">
        <v>1</v>
      </c>
      <c r="EO23" s="102">
        <v>1</v>
      </c>
      <c r="EP23" s="102">
        <v>1</v>
      </c>
      <c r="EQ23" s="102">
        <v>1</v>
      </c>
      <c r="ER23" s="102">
        <v>1</v>
      </c>
      <c r="ES23" s="102">
        <v>1</v>
      </c>
      <c r="ET23" s="102">
        <v>1</v>
      </c>
      <c r="EU23" s="102">
        <v>1</v>
      </c>
      <c r="EV23" s="102">
        <v>1</v>
      </c>
      <c r="EW23" s="102">
        <v>1</v>
      </c>
      <c r="EX23" s="102">
        <v>1</v>
      </c>
      <c r="EY23" s="102">
        <v>1</v>
      </c>
      <c r="EZ23" s="102">
        <v>1</v>
      </c>
      <c r="FA23" s="102">
        <v>1</v>
      </c>
      <c r="FB23" s="102">
        <v>1</v>
      </c>
      <c r="FC23" s="102">
        <v>1</v>
      </c>
      <c r="FD23" s="102">
        <v>1</v>
      </c>
      <c r="FE23" s="102">
        <v>1</v>
      </c>
      <c r="FF23" s="102">
        <v>1</v>
      </c>
      <c r="FG23" s="102">
        <v>1</v>
      </c>
      <c r="FH23" s="102">
        <v>1</v>
      </c>
      <c r="FI23" s="102">
        <v>1</v>
      </c>
      <c r="FJ23" s="102">
        <v>1</v>
      </c>
      <c r="FK23" s="102">
        <v>1</v>
      </c>
      <c r="FL23" s="102">
        <v>1</v>
      </c>
      <c r="FM23" s="102">
        <v>1</v>
      </c>
      <c r="FN23" s="102">
        <v>1</v>
      </c>
      <c r="FO23" s="102">
        <v>1</v>
      </c>
      <c r="FP23" s="102">
        <v>1</v>
      </c>
      <c r="FQ23" s="102">
        <v>1</v>
      </c>
      <c r="FR23" s="102">
        <v>1</v>
      </c>
      <c r="FS23" s="102">
        <v>1</v>
      </c>
      <c r="FT23" s="102">
        <v>1</v>
      </c>
      <c r="FU23" s="102">
        <v>1</v>
      </c>
      <c r="FV23" s="102">
        <v>1</v>
      </c>
      <c r="FW23" s="102">
        <v>1</v>
      </c>
      <c r="FX23" s="102">
        <v>1</v>
      </c>
      <c r="FY23" s="102">
        <v>1</v>
      </c>
      <c r="FZ23" s="102">
        <v>1</v>
      </c>
      <c r="GA23" s="102">
        <v>1</v>
      </c>
      <c r="GB23" s="102">
        <v>1</v>
      </c>
      <c r="GC23" s="102">
        <v>1</v>
      </c>
      <c r="GD23" s="102">
        <v>1</v>
      </c>
      <c r="GE23" s="102">
        <v>1</v>
      </c>
      <c r="GF23" s="102">
        <v>1</v>
      </c>
      <c r="GG23" s="102">
        <v>1</v>
      </c>
      <c r="GH23" s="102">
        <v>1</v>
      </c>
      <c r="GI23" s="102">
        <v>1</v>
      </c>
      <c r="GJ23" s="102">
        <v>1</v>
      </c>
      <c r="GK23" s="102">
        <v>1</v>
      </c>
      <c r="GL23" s="102">
        <v>1</v>
      </c>
      <c r="GM23" s="102">
        <v>1</v>
      </c>
      <c r="GN23" s="102">
        <v>1</v>
      </c>
      <c r="GO23" s="102">
        <v>1</v>
      </c>
      <c r="GP23" s="24">
        <f t="shared" si="7"/>
        <v>1</v>
      </c>
    </row>
    <row r="24" spans="1:198" ht="29.15">
      <c r="B24" s="36">
        <v>1</v>
      </c>
      <c r="C24" s="34" t="s">
        <v>16</v>
      </c>
      <c r="D24" s="1">
        <v>16115</v>
      </c>
      <c r="E24" s="1" t="s">
        <v>128</v>
      </c>
      <c r="F24" s="34" t="s">
        <v>78</v>
      </c>
      <c r="G24" s="34" t="s">
        <v>45</v>
      </c>
      <c r="H24" s="1" t="s">
        <v>45</v>
      </c>
      <c r="I24" s="1" t="s">
        <v>129</v>
      </c>
      <c r="J24" s="1" t="s">
        <v>130</v>
      </c>
      <c r="K24" s="1">
        <v>392</v>
      </c>
      <c r="L24" s="1" t="s">
        <v>22</v>
      </c>
      <c r="M24" s="1" t="s">
        <v>40</v>
      </c>
      <c r="N24" s="1" t="s">
        <v>24</v>
      </c>
      <c r="O24" s="1" t="s">
        <v>36</v>
      </c>
      <c r="P24" s="4">
        <v>46492054</v>
      </c>
      <c r="Q24" s="4" t="s">
        <v>131</v>
      </c>
      <c r="R24" s="34" t="s">
        <v>124</v>
      </c>
      <c r="S24" s="49">
        <v>202214</v>
      </c>
      <c r="T24" s="45">
        <v>79267780</v>
      </c>
      <c r="U24" s="45">
        <v>2848</v>
      </c>
      <c r="V24" s="45"/>
      <c r="W24" s="51">
        <v>85511910</v>
      </c>
      <c r="X24" s="105">
        <v>69</v>
      </c>
      <c r="Y24" s="105" t="s">
        <v>161</v>
      </c>
      <c r="Z24" s="107">
        <v>5</v>
      </c>
      <c r="AA24" s="107">
        <v>6</v>
      </c>
      <c r="AB24" s="107">
        <v>4</v>
      </c>
      <c r="AC24" s="88">
        <v>497.49</v>
      </c>
      <c r="AD24" s="88">
        <v>196.92999999999995</v>
      </c>
      <c r="AE24" s="88">
        <v>602.35</v>
      </c>
      <c r="AF24" s="89">
        <f>'Цены,перевалка,аренда'!$C$27*SUM(Уголь_эластика_внутр!Z24+Уголь_эластика_внутр!AA24+Уголь_эластика_внутр!AB24)/Уголь_эластика_внутр!X24</f>
        <v>152.17391304347825</v>
      </c>
      <c r="AG24" s="90"/>
      <c r="AH24" s="47"/>
      <c r="AI24" s="91">
        <v>2338</v>
      </c>
      <c r="AJ24" s="92">
        <f>'Цены,перевалка,аренда'!$D$14</f>
        <v>10200</v>
      </c>
      <c r="AK24" s="47">
        <f>AJ24/'Цены,перевалка,аренда'!$C$1</f>
        <v>133.67319524804898</v>
      </c>
      <c r="AL24" s="47">
        <f t="shared" si="0"/>
        <v>754.52391304347827</v>
      </c>
      <c r="AM24" s="47">
        <f t="shared" si="1"/>
        <v>9445.4760869565216</v>
      </c>
      <c r="AN24" s="47">
        <f t="shared" si="8"/>
        <v>3092.5239130434779</v>
      </c>
      <c r="AO24" s="93">
        <f t="shared" si="3"/>
        <v>0.69681138107416873</v>
      </c>
      <c r="AP24" s="94">
        <f t="shared" si="4"/>
        <v>7.3972932651321405E-2</v>
      </c>
      <c r="AQ24" s="94">
        <f t="shared" si="5"/>
        <v>5.9053921568627453E-2</v>
      </c>
      <c r="AR24" s="94">
        <f t="shared" si="6"/>
        <v>0.79831797188552533</v>
      </c>
      <c r="AS24" s="95" t="s">
        <v>197</v>
      </c>
      <c r="AT24" s="35"/>
      <c r="AU24" s="102">
        <v>1</v>
      </c>
      <c r="AV24" s="102">
        <v>1</v>
      </c>
      <c r="AW24" s="102">
        <v>1</v>
      </c>
      <c r="AX24" s="102">
        <v>1</v>
      </c>
      <c r="AY24" s="102">
        <v>1</v>
      </c>
      <c r="AZ24" s="102">
        <v>1</v>
      </c>
      <c r="BA24" s="102">
        <v>1</v>
      </c>
      <c r="BB24" s="102">
        <v>1</v>
      </c>
      <c r="BC24" s="102">
        <v>1</v>
      </c>
      <c r="BD24" s="102">
        <v>1</v>
      </c>
      <c r="BE24" s="102">
        <v>1</v>
      </c>
      <c r="BF24" s="102">
        <v>1</v>
      </c>
      <c r="BG24" s="102">
        <v>1</v>
      </c>
      <c r="BH24" s="102">
        <v>1</v>
      </c>
      <c r="BI24" s="102">
        <v>1</v>
      </c>
      <c r="BJ24" s="102">
        <v>1</v>
      </c>
      <c r="BK24" s="102">
        <v>1</v>
      </c>
      <c r="BL24" s="102">
        <v>1</v>
      </c>
      <c r="BM24" s="102">
        <v>1</v>
      </c>
      <c r="BN24" s="102">
        <v>1</v>
      </c>
      <c r="BO24" s="102">
        <v>1</v>
      </c>
      <c r="BP24" s="102">
        <v>1</v>
      </c>
      <c r="BQ24" s="102">
        <v>1</v>
      </c>
      <c r="BR24" s="102">
        <v>1</v>
      </c>
      <c r="BS24" s="102">
        <v>1</v>
      </c>
      <c r="BT24" s="102">
        <v>1</v>
      </c>
      <c r="BU24" s="102">
        <v>1</v>
      </c>
      <c r="BV24" s="102">
        <v>1</v>
      </c>
      <c r="BW24" s="102">
        <v>1</v>
      </c>
      <c r="BX24" s="102">
        <v>1</v>
      </c>
      <c r="BY24" s="102">
        <v>1</v>
      </c>
      <c r="BZ24" s="102">
        <v>1</v>
      </c>
      <c r="CA24" s="102">
        <v>1</v>
      </c>
      <c r="CB24" s="102">
        <v>1</v>
      </c>
      <c r="CC24" s="102">
        <v>1</v>
      </c>
      <c r="CD24" s="102">
        <v>1</v>
      </c>
      <c r="CE24" s="102">
        <v>1</v>
      </c>
      <c r="CF24" s="102">
        <v>1</v>
      </c>
      <c r="CG24" s="102">
        <v>1</v>
      </c>
      <c r="CH24" s="102">
        <v>1</v>
      </c>
      <c r="CI24" s="102">
        <v>1</v>
      </c>
      <c r="CJ24" s="102">
        <v>1</v>
      </c>
      <c r="CK24" s="102">
        <v>1</v>
      </c>
      <c r="CL24" s="102">
        <v>1</v>
      </c>
      <c r="CM24" s="102">
        <v>1</v>
      </c>
      <c r="CN24" s="102">
        <v>1</v>
      </c>
      <c r="CO24" s="102">
        <v>1</v>
      </c>
      <c r="CP24" s="102">
        <v>1</v>
      </c>
      <c r="CQ24" s="102">
        <v>1</v>
      </c>
      <c r="CR24" s="102">
        <v>1</v>
      </c>
      <c r="CS24" s="103">
        <v>1</v>
      </c>
      <c r="CT24" s="102">
        <v>1</v>
      </c>
      <c r="CU24" s="102">
        <v>1</v>
      </c>
      <c r="CV24" s="102">
        <v>1</v>
      </c>
      <c r="CW24" s="102">
        <v>1</v>
      </c>
      <c r="CX24" s="102">
        <v>1</v>
      </c>
      <c r="CY24" s="102">
        <v>1</v>
      </c>
      <c r="CZ24" s="102">
        <v>1</v>
      </c>
      <c r="DA24" s="102">
        <v>1</v>
      </c>
      <c r="DB24" s="102">
        <v>1</v>
      </c>
      <c r="DC24" s="102">
        <v>1</v>
      </c>
      <c r="DD24" s="102">
        <v>1</v>
      </c>
      <c r="DE24" s="102">
        <v>1</v>
      </c>
      <c r="DF24" s="102">
        <v>1</v>
      </c>
      <c r="DG24" s="102">
        <v>1</v>
      </c>
      <c r="DH24" s="102">
        <v>1</v>
      </c>
      <c r="DI24" s="102">
        <v>1</v>
      </c>
      <c r="DJ24" s="102">
        <v>1</v>
      </c>
      <c r="DK24" s="102">
        <v>1</v>
      </c>
      <c r="DL24" s="102">
        <v>1</v>
      </c>
      <c r="DM24" s="102">
        <v>1</v>
      </c>
      <c r="DN24" s="102">
        <v>1</v>
      </c>
      <c r="DO24" s="102">
        <v>1</v>
      </c>
      <c r="DP24" s="102">
        <v>1</v>
      </c>
      <c r="DQ24" s="102">
        <v>1</v>
      </c>
      <c r="DR24" s="102">
        <v>1</v>
      </c>
      <c r="DS24" s="102">
        <v>1</v>
      </c>
      <c r="DT24" s="102">
        <v>1</v>
      </c>
      <c r="DU24" s="102">
        <v>1</v>
      </c>
      <c r="DV24" s="102">
        <v>1</v>
      </c>
      <c r="DW24" s="102">
        <v>1</v>
      </c>
      <c r="DX24" s="102">
        <v>1</v>
      </c>
      <c r="DY24" s="102">
        <v>1</v>
      </c>
      <c r="DZ24" s="102">
        <v>1</v>
      </c>
      <c r="EA24" s="102">
        <v>1</v>
      </c>
      <c r="EB24" s="102">
        <v>1</v>
      </c>
      <c r="EC24" s="102">
        <v>1</v>
      </c>
      <c r="ED24" s="102">
        <v>1</v>
      </c>
      <c r="EE24" s="102">
        <v>1</v>
      </c>
      <c r="EF24" s="102">
        <v>1</v>
      </c>
      <c r="EG24" s="102">
        <v>1</v>
      </c>
      <c r="EH24" s="102">
        <v>1</v>
      </c>
      <c r="EI24" s="102">
        <v>1</v>
      </c>
      <c r="EJ24" s="102">
        <v>1</v>
      </c>
      <c r="EK24" s="102">
        <v>1</v>
      </c>
      <c r="EL24" s="102">
        <v>1</v>
      </c>
      <c r="EM24" s="102">
        <v>1</v>
      </c>
      <c r="EN24" s="102">
        <v>1</v>
      </c>
      <c r="EO24" s="102">
        <v>1</v>
      </c>
      <c r="EP24" s="102">
        <v>1</v>
      </c>
      <c r="EQ24" s="102">
        <v>1</v>
      </c>
      <c r="ER24" s="102">
        <v>1</v>
      </c>
      <c r="ES24" s="102">
        <v>1</v>
      </c>
      <c r="ET24" s="102">
        <v>1</v>
      </c>
      <c r="EU24" s="102">
        <v>1</v>
      </c>
      <c r="EV24" s="102">
        <v>1</v>
      </c>
      <c r="EW24" s="102">
        <v>1</v>
      </c>
      <c r="EX24" s="102">
        <v>1</v>
      </c>
      <c r="EY24" s="102">
        <v>1</v>
      </c>
      <c r="EZ24" s="102">
        <v>1</v>
      </c>
      <c r="FA24" s="102">
        <v>1</v>
      </c>
      <c r="FB24" s="102">
        <v>1</v>
      </c>
      <c r="FC24" s="102">
        <v>1</v>
      </c>
      <c r="FD24" s="102">
        <v>1</v>
      </c>
      <c r="FE24" s="102">
        <v>1</v>
      </c>
      <c r="FF24" s="102">
        <v>1</v>
      </c>
      <c r="FG24" s="102">
        <v>1</v>
      </c>
      <c r="FH24" s="102">
        <v>1</v>
      </c>
      <c r="FI24" s="102">
        <v>1</v>
      </c>
      <c r="FJ24" s="102">
        <v>1</v>
      </c>
      <c r="FK24" s="102">
        <v>1</v>
      </c>
      <c r="FL24" s="102">
        <v>1</v>
      </c>
      <c r="FM24" s="102">
        <v>1</v>
      </c>
      <c r="FN24" s="102">
        <v>1</v>
      </c>
      <c r="FO24" s="102">
        <v>1</v>
      </c>
      <c r="FP24" s="102">
        <v>1</v>
      </c>
      <c r="FQ24" s="102">
        <v>1</v>
      </c>
      <c r="FR24" s="102">
        <v>1</v>
      </c>
      <c r="FS24" s="102">
        <v>1</v>
      </c>
      <c r="FT24" s="102">
        <v>1</v>
      </c>
      <c r="FU24" s="102">
        <v>1</v>
      </c>
      <c r="FV24" s="102">
        <v>1</v>
      </c>
      <c r="FW24" s="102">
        <v>1</v>
      </c>
      <c r="FX24" s="102">
        <v>1</v>
      </c>
      <c r="FY24" s="102">
        <v>1</v>
      </c>
      <c r="FZ24" s="102">
        <v>1</v>
      </c>
      <c r="GA24" s="102">
        <v>1</v>
      </c>
      <c r="GB24" s="102">
        <v>1</v>
      </c>
      <c r="GC24" s="102">
        <v>1</v>
      </c>
      <c r="GD24" s="102">
        <v>1</v>
      </c>
      <c r="GE24" s="102">
        <v>1</v>
      </c>
      <c r="GF24" s="102">
        <v>1</v>
      </c>
      <c r="GG24" s="102">
        <v>1</v>
      </c>
      <c r="GH24" s="102">
        <v>1</v>
      </c>
      <c r="GI24" s="102">
        <v>1</v>
      </c>
      <c r="GJ24" s="102">
        <v>1</v>
      </c>
      <c r="GK24" s="102">
        <v>1</v>
      </c>
      <c r="GL24" s="102">
        <v>1</v>
      </c>
      <c r="GM24" s="102">
        <v>1</v>
      </c>
      <c r="GN24" s="102">
        <v>1</v>
      </c>
      <c r="GO24" s="102">
        <v>1</v>
      </c>
      <c r="GP24" s="24">
        <f t="shared" si="7"/>
        <v>1</v>
      </c>
    </row>
    <row r="25" spans="1:198" s="2" customFormat="1" ht="29.15">
      <c r="A25"/>
      <c r="B25" s="36">
        <v>1</v>
      </c>
      <c r="C25" s="34" t="s">
        <v>16</v>
      </c>
      <c r="D25" s="1">
        <v>16104</v>
      </c>
      <c r="E25" s="5" t="s">
        <v>88</v>
      </c>
      <c r="F25" s="34" t="s">
        <v>78</v>
      </c>
      <c r="G25" s="7" t="s">
        <v>19</v>
      </c>
      <c r="H25" s="7" t="s">
        <v>137</v>
      </c>
      <c r="I25" s="7" t="s">
        <v>133</v>
      </c>
      <c r="J25" s="7" t="s">
        <v>138</v>
      </c>
      <c r="K25" s="7">
        <v>5681</v>
      </c>
      <c r="L25" s="1" t="s">
        <v>22</v>
      </c>
      <c r="M25" s="1" t="s">
        <v>40</v>
      </c>
      <c r="N25" s="1" t="s">
        <v>24</v>
      </c>
      <c r="O25" s="7" t="s">
        <v>36</v>
      </c>
      <c r="P25" s="4">
        <v>161878</v>
      </c>
      <c r="Q25" s="5" t="s">
        <v>135</v>
      </c>
      <c r="R25" s="1" t="s">
        <v>136</v>
      </c>
      <c r="S25" s="50">
        <v>41424</v>
      </c>
      <c r="T25" s="46">
        <v>235340176</v>
      </c>
      <c r="U25" s="47">
        <v>599</v>
      </c>
      <c r="V25" s="47"/>
      <c r="W25" s="50">
        <v>71755427</v>
      </c>
      <c r="X25" s="104">
        <v>69</v>
      </c>
      <c r="Y25" s="104" t="s">
        <v>163</v>
      </c>
      <c r="Z25" s="108">
        <v>17</v>
      </c>
      <c r="AA25" s="108">
        <v>17</v>
      </c>
      <c r="AB25" s="107">
        <v>4</v>
      </c>
      <c r="AC25" s="99">
        <v>1921.99</v>
      </c>
      <c r="AD25" s="88">
        <v>1156.0400000000002</v>
      </c>
      <c r="AE25" s="99">
        <v>2794.3</v>
      </c>
      <c r="AF25" s="89">
        <f>'Цены,перевалка,аренда'!$C$27*SUM(Уголь_эластика_внутр!Z25+Уголь_эластика_внутр!AA25+Уголь_эластика_внутр!AB25)/Уголь_эластика_внутр!X25</f>
        <v>385.50724637681162</v>
      </c>
      <c r="AG25" s="90"/>
      <c r="AH25" s="47"/>
      <c r="AI25" s="100">
        <v>4037</v>
      </c>
      <c r="AJ25" s="92">
        <f>'Цены,перевалка,аренда'!$D$14</f>
        <v>10200</v>
      </c>
      <c r="AK25" s="47">
        <f>AJ25/'Цены,перевалка,аренда'!$C$1</f>
        <v>133.67319524804898</v>
      </c>
      <c r="AL25" s="47">
        <f t="shared" si="0"/>
        <v>3179.8072463768117</v>
      </c>
      <c r="AM25" s="47">
        <f t="shared" si="1"/>
        <v>7020.1927536231888</v>
      </c>
      <c r="AN25" s="47">
        <f t="shared" si="8"/>
        <v>7216.8072463768121</v>
      </c>
      <c r="AO25" s="93">
        <f t="shared" si="3"/>
        <v>0.29246987780619488</v>
      </c>
      <c r="AP25" s="94">
        <f t="shared" si="4"/>
        <v>0.31174580846831484</v>
      </c>
      <c r="AQ25" s="94">
        <f t="shared" si="5"/>
        <v>0.27395098039215687</v>
      </c>
      <c r="AR25" s="94">
        <f t="shared" si="6"/>
        <v>0.87876395752727698</v>
      </c>
      <c r="AS25" s="101" t="s">
        <v>181</v>
      </c>
      <c r="AT25" s="96">
        <f t="shared" ref="AT25:AT27" si="9">7.6/11</f>
        <v>0.69090909090909092</v>
      </c>
      <c r="AU25" s="102">
        <v>1</v>
      </c>
      <c r="AV25" s="102">
        <v>1</v>
      </c>
      <c r="AW25" s="102">
        <v>1</v>
      </c>
      <c r="AX25" s="102">
        <v>1</v>
      </c>
      <c r="AY25" s="102">
        <v>1</v>
      </c>
      <c r="AZ25" s="102">
        <v>1</v>
      </c>
      <c r="BA25" s="102">
        <v>1</v>
      </c>
      <c r="BB25" s="102">
        <v>1</v>
      </c>
      <c r="BC25" s="102">
        <v>1</v>
      </c>
      <c r="BD25" s="102">
        <v>1</v>
      </c>
      <c r="BE25" s="102">
        <v>1</v>
      </c>
      <c r="BF25" s="102">
        <v>1</v>
      </c>
      <c r="BG25" s="102">
        <v>1</v>
      </c>
      <c r="BH25" s="102">
        <v>1</v>
      </c>
      <c r="BI25" s="102">
        <v>1</v>
      </c>
      <c r="BJ25" s="102">
        <v>1</v>
      </c>
      <c r="BK25" s="102">
        <v>1</v>
      </c>
      <c r="BL25" s="102">
        <v>1</v>
      </c>
      <c r="BM25" s="102">
        <v>1</v>
      </c>
      <c r="BN25" s="102">
        <v>1</v>
      </c>
      <c r="BO25" s="102">
        <v>1</v>
      </c>
      <c r="BP25" s="102">
        <v>1</v>
      </c>
      <c r="BQ25" s="102">
        <v>1</v>
      </c>
      <c r="BR25" s="102">
        <v>1</v>
      </c>
      <c r="BS25" s="102">
        <v>1</v>
      </c>
      <c r="BT25" s="102">
        <v>1</v>
      </c>
      <c r="BU25" s="102">
        <v>1</v>
      </c>
      <c r="BV25" s="102">
        <v>1</v>
      </c>
      <c r="BW25" s="102">
        <v>1</v>
      </c>
      <c r="BX25" s="102">
        <v>1</v>
      </c>
      <c r="BY25" s="102">
        <v>1</v>
      </c>
      <c r="BZ25" s="102">
        <v>1</v>
      </c>
      <c r="CA25" s="102">
        <v>1</v>
      </c>
      <c r="CB25" s="102">
        <v>1</v>
      </c>
      <c r="CC25" s="102">
        <v>1</v>
      </c>
      <c r="CD25" s="102">
        <v>1</v>
      </c>
      <c r="CE25" s="102">
        <v>1</v>
      </c>
      <c r="CF25" s="102">
        <v>1</v>
      </c>
      <c r="CG25" s="102">
        <v>1</v>
      </c>
      <c r="CH25" s="102">
        <v>1</v>
      </c>
      <c r="CI25" s="102">
        <v>1</v>
      </c>
      <c r="CJ25" s="102">
        <v>1</v>
      </c>
      <c r="CK25" s="102">
        <v>1</v>
      </c>
      <c r="CL25" s="102">
        <v>1</v>
      </c>
      <c r="CM25" s="102">
        <v>1</v>
      </c>
      <c r="CN25" s="102">
        <v>1</v>
      </c>
      <c r="CO25" s="102">
        <v>1</v>
      </c>
      <c r="CP25" s="102">
        <v>1</v>
      </c>
      <c r="CQ25" s="102">
        <v>1</v>
      </c>
      <c r="CR25" s="102">
        <v>1</v>
      </c>
      <c r="CS25" s="103">
        <v>1</v>
      </c>
      <c r="CT25" s="102">
        <v>1</v>
      </c>
      <c r="CU25" s="102">
        <v>1</v>
      </c>
      <c r="CV25" s="102">
        <v>1</v>
      </c>
      <c r="CW25" s="102">
        <v>1</v>
      </c>
      <c r="CX25" s="102">
        <v>1</v>
      </c>
      <c r="CY25" s="102">
        <v>1</v>
      </c>
      <c r="CZ25" s="102">
        <v>1</v>
      </c>
      <c r="DA25" s="102">
        <v>1</v>
      </c>
      <c r="DB25" s="102">
        <v>1</v>
      </c>
      <c r="DC25" s="102">
        <v>1</v>
      </c>
      <c r="DD25" s="102">
        <v>1</v>
      </c>
      <c r="DE25" s="102">
        <v>1</v>
      </c>
      <c r="DF25" s="102">
        <v>1</v>
      </c>
      <c r="DG25" s="102">
        <v>1</v>
      </c>
      <c r="DH25" s="102">
        <v>1</v>
      </c>
      <c r="DI25" s="102">
        <v>1</v>
      </c>
      <c r="DJ25" s="102">
        <v>1</v>
      </c>
      <c r="DK25" s="102">
        <v>1</v>
      </c>
      <c r="DL25" s="102">
        <v>1</v>
      </c>
      <c r="DM25" s="102">
        <v>1</v>
      </c>
      <c r="DN25" s="102">
        <v>1</v>
      </c>
      <c r="DO25" s="102">
        <v>1</v>
      </c>
      <c r="DP25" s="102">
        <v>1</v>
      </c>
      <c r="DQ25" s="102">
        <v>1</v>
      </c>
      <c r="DR25" s="102">
        <v>1</v>
      </c>
      <c r="DS25" s="102">
        <v>1</v>
      </c>
      <c r="DT25" s="102">
        <v>1</v>
      </c>
      <c r="DU25" s="102">
        <v>1</v>
      </c>
      <c r="DV25" s="102">
        <v>1</v>
      </c>
      <c r="DW25" s="102">
        <v>1</v>
      </c>
      <c r="DX25" s="102">
        <v>1</v>
      </c>
      <c r="DY25" s="102">
        <v>1</v>
      </c>
      <c r="DZ25" s="102">
        <v>1</v>
      </c>
      <c r="EA25" s="102">
        <v>1</v>
      </c>
      <c r="EB25" s="102">
        <v>1</v>
      </c>
      <c r="EC25" s="102">
        <v>1</v>
      </c>
      <c r="ED25" s="102">
        <v>1</v>
      </c>
      <c r="EE25" s="102">
        <v>1</v>
      </c>
      <c r="EF25" s="102">
        <v>1</v>
      </c>
      <c r="EG25" s="102">
        <v>1</v>
      </c>
      <c r="EH25" s="102">
        <v>1</v>
      </c>
      <c r="EI25" s="102">
        <v>1</v>
      </c>
      <c r="EJ25" s="102">
        <v>1</v>
      </c>
      <c r="EK25" s="102">
        <v>1</v>
      </c>
      <c r="EL25" s="102">
        <v>1</v>
      </c>
      <c r="EM25" s="102">
        <v>1</v>
      </c>
      <c r="EN25" s="102">
        <v>1</v>
      </c>
      <c r="EO25" s="102">
        <v>1</v>
      </c>
      <c r="EP25" s="102">
        <v>1</v>
      </c>
      <c r="EQ25" s="102">
        <v>1</v>
      </c>
      <c r="ER25" s="102">
        <v>1</v>
      </c>
      <c r="ES25" s="102">
        <v>1</v>
      </c>
      <c r="ET25" s="102">
        <v>1</v>
      </c>
      <c r="EU25" s="102">
        <v>1</v>
      </c>
      <c r="EV25" s="102">
        <v>1</v>
      </c>
      <c r="EW25" s="102">
        <v>1</v>
      </c>
      <c r="EX25" s="102">
        <v>1</v>
      </c>
      <c r="EY25" s="102">
        <v>1</v>
      </c>
      <c r="EZ25" s="102">
        <v>1</v>
      </c>
      <c r="FA25" s="102">
        <v>1</v>
      </c>
      <c r="FB25" s="102">
        <v>1</v>
      </c>
      <c r="FC25" s="102">
        <v>1</v>
      </c>
      <c r="FD25" s="102">
        <v>1</v>
      </c>
      <c r="FE25" s="102">
        <v>1</v>
      </c>
      <c r="FF25" s="102">
        <v>1</v>
      </c>
      <c r="FG25" s="102">
        <v>1</v>
      </c>
      <c r="FH25" s="102">
        <v>1</v>
      </c>
      <c r="FI25" s="102">
        <v>1</v>
      </c>
      <c r="FJ25" s="102">
        <v>1</v>
      </c>
      <c r="FK25" s="102">
        <v>1</v>
      </c>
      <c r="FL25" s="102">
        <v>1</v>
      </c>
      <c r="FM25" s="102">
        <v>1</v>
      </c>
      <c r="FN25" s="102">
        <v>1</v>
      </c>
      <c r="FO25" s="102">
        <v>1</v>
      </c>
      <c r="FP25" s="102">
        <v>1</v>
      </c>
      <c r="FQ25" s="102">
        <v>1</v>
      </c>
      <c r="FR25" s="102">
        <v>1</v>
      </c>
      <c r="FS25" s="102">
        <v>1</v>
      </c>
      <c r="FT25" s="102">
        <v>1</v>
      </c>
      <c r="FU25" s="102">
        <v>1</v>
      </c>
      <c r="FV25" s="102">
        <v>1</v>
      </c>
      <c r="FW25" s="102">
        <v>1</v>
      </c>
      <c r="FX25" s="102">
        <v>1</v>
      </c>
      <c r="FY25" s="102">
        <v>1</v>
      </c>
      <c r="FZ25" s="102">
        <v>1</v>
      </c>
      <c r="GA25" s="102">
        <v>1</v>
      </c>
      <c r="GB25" s="102">
        <v>1</v>
      </c>
      <c r="GC25" s="102">
        <v>1</v>
      </c>
      <c r="GD25" s="102">
        <v>1</v>
      </c>
      <c r="GE25" s="102">
        <v>1</v>
      </c>
      <c r="GF25" s="102">
        <v>1</v>
      </c>
      <c r="GG25" s="102">
        <v>1</v>
      </c>
      <c r="GH25" s="102">
        <v>1</v>
      </c>
      <c r="GI25" s="102">
        <v>1</v>
      </c>
      <c r="GJ25" s="102">
        <v>1</v>
      </c>
      <c r="GK25" s="102">
        <v>1</v>
      </c>
      <c r="GL25" s="102">
        <v>1</v>
      </c>
      <c r="GM25" s="102">
        <v>1</v>
      </c>
      <c r="GN25" s="102">
        <v>1</v>
      </c>
      <c r="GO25" s="102">
        <v>1</v>
      </c>
      <c r="GP25" s="24">
        <f t="shared" si="7"/>
        <v>1</v>
      </c>
    </row>
    <row r="26" spans="1:198" ht="14.7" customHeight="1">
      <c r="B26" s="36">
        <v>1</v>
      </c>
      <c r="C26" s="34" t="s">
        <v>16</v>
      </c>
      <c r="D26" s="1">
        <v>16104</v>
      </c>
      <c r="E26" s="1" t="s">
        <v>88</v>
      </c>
      <c r="F26" s="34" t="s">
        <v>78</v>
      </c>
      <c r="G26" s="1" t="s">
        <v>45</v>
      </c>
      <c r="H26" s="1" t="s">
        <v>60</v>
      </c>
      <c r="I26" s="1" t="s">
        <v>139</v>
      </c>
      <c r="J26" s="1" t="s">
        <v>140</v>
      </c>
      <c r="K26" s="1">
        <v>3737</v>
      </c>
      <c r="L26" s="1" t="s">
        <v>22</v>
      </c>
      <c r="M26" s="1" t="s">
        <v>40</v>
      </c>
      <c r="N26" s="1" t="s">
        <v>24</v>
      </c>
      <c r="O26" s="1" t="s">
        <v>33</v>
      </c>
      <c r="P26" s="4">
        <v>26644096</v>
      </c>
      <c r="Q26" s="4" t="s">
        <v>141</v>
      </c>
      <c r="R26" s="1" t="s">
        <v>136</v>
      </c>
      <c r="S26" s="49">
        <v>197607</v>
      </c>
      <c r="T26" s="45">
        <v>738529334</v>
      </c>
      <c r="U26" s="45">
        <v>2855</v>
      </c>
      <c r="V26" s="45"/>
      <c r="W26" s="51">
        <v>326687155</v>
      </c>
      <c r="X26" s="104">
        <v>69</v>
      </c>
      <c r="Y26" s="104" t="s">
        <v>163</v>
      </c>
      <c r="Z26" s="108">
        <v>9</v>
      </c>
      <c r="AA26" s="108">
        <v>10</v>
      </c>
      <c r="AB26" s="107">
        <v>4</v>
      </c>
      <c r="AC26" s="88">
        <v>1821</v>
      </c>
      <c r="AD26" s="88">
        <v>863.52</v>
      </c>
      <c r="AE26" s="99">
        <v>2415.71</v>
      </c>
      <c r="AF26" s="89">
        <f>'Цены,перевалка,аренда'!$C$27*SUM(Уголь_эластика_внутр!Z26+Уголь_эластика_внутр!AA26+Уголь_эластика_внутр!AB26)/Уголь_эластика_внутр!X26</f>
        <v>233.33333333333334</v>
      </c>
      <c r="AG26" s="90"/>
      <c r="AH26" s="47"/>
      <c r="AI26" s="91">
        <v>3000</v>
      </c>
      <c r="AJ26" s="92">
        <f>'Цены,перевалка,аренда'!$D$14</f>
        <v>10200</v>
      </c>
      <c r="AK26" s="47">
        <f>AJ26/'Цены,перевалка,аренда'!$C$1</f>
        <v>133.67319524804898</v>
      </c>
      <c r="AL26" s="47">
        <f t="shared" si="0"/>
        <v>2649.0433333333335</v>
      </c>
      <c r="AM26" s="47">
        <f t="shared" si="1"/>
        <v>7550.9566666666669</v>
      </c>
      <c r="AN26" s="47">
        <f t="shared" si="8"/>
        <v>5649.0433333333331</v>
      </c>
      <c r="AO26" s="93">
        <f t="shared" si="3"/>
        <v>0.44617222222222225</v>
      </c>
      <c r="AP26" s="94">
        <f t="shared" si="4"/>
        <v>0.25971013071895427</v>
      </c>
      <c r="AQ26" s="94">
        <f t="shared" si="5"/>
        <v>0.23683431372549019</v>
      </c>
      <c r="AR26" s="94">
        <f t="shared" si="6"/>
        <v>0.91191788733794454</v>
      </c>
      <c r="AS26" s="95" t="s">
        <v>198</v>
      </c>
      <c r="AT26" s="96">
        <f t="shared" si="9"/>
        <v>0.69090909090909092</v>
      </c>
      <c r="AU26" s="102">
        <v>1</v>
      </c>
      <c r="AV26" s="102">
        <v>1</v>
      </c>
      <c r="AW26" s="102">
        <v>1</v>
      </c>
      <c r="AX26" s="102">
        <v>1</v>
      </c>
      <c r="AY26" s="102">
        <v>1</v>
      </c>
      <c r="AZ26" s="102">
        <v>1</v>
      </c>
      <c r="BA26" s="102">
        <v>1</v>
      </c>
      <c r="BB26" s="102">
        <v>1</v>
      </c>
      <c r="BC26" s="102">
        <v>1</v>
      </c>
      <c r="BD26" s="102">
        <v>1</v>
      </c>
      <c r="BE26" s="102">
        <v>1</v>
      </c>
      <c r="BF26" s="102">
        <v>1</v>
      </c>
      <c r="BG26" s="102">
        <v>1</v>
      </c>
      <c r="BH26" s="102">
        <v>1</v>
      </c>
      <c r="BI26" s="102">
        <v>1</v>
      </c>
      <c r="BJ26" s="102">
        <v>1</v>
      </c>
      <c r="BK26" s="102">
        <v>1</v>
      </c>
      <c r="BL26" s="102">
        <v>1</v>
      </c>
      <c r="BM26" s="102">
        <v>1</v>
      </c>
      <c r="BN26" s="102">
        <v>1</v>
      </c>
      <c r="BO26" s="102">
        <v>1</v>
      </c>
      <c r="BP26" s="102">
        <v>1</v>
      </c>
      <c r="BQ26" s="102">
        <v>1</v>
      </c>
      <c r="BR26" s="102">
        <v>1</v>
      </c>
      <c r="BS26" s="102">
        <v>1</v>
      </c>
      <c r="BT26" s="102">
        <v>1</v>
      </c>
      <c r="BU26" s="102">
        <v>1</v>
      </c>
      <c r="BV26" s="102">
        <v>1</v>
      </c>
      <c r="BW26" s="102">
        <v>1</v>
      </c>
      <c r="BX26" s="102">
        <v>1</v>
      </c>
      <c r="BY26" s="102">
        <v>1</v>
      </c>
      <c r="BZ26" s="102">
        <v>1</v>
      </c>
      <c r="CA26" s="102">
        <v>1</v>
      </c>
      <c r="CB26" s="102">
        <v>1</v>
      </c>
      <c r="CC26" s="102">
        <v>1</v>
      </c>
      <c r="CD26" s="102">
        <v>1</v>
      </c>
      <c r="CE26" s="102">
        <v>1</v>
      </c>
      <c r="CF26" s="102">
        <v>1</v>
      </c>
      <c r="CG26" s="102">
        <v>1</v>
      </c>
      <c r="CH26" s="102">
        <v>1</v>
      </c>
      <c r="CI26" s="102">
        <v>1</v>
      </c>
      <c r="CJ26" s="102">
        <v>1</v>
      </c>
      <c r="CK26" s="102">
        <v>1</v>
      </c>
      <c r="CL26" s="102">
        <v>1</v>
      </c>
      <c r="CM26" s="102">
        <v>1</v>
      </c>
      <c r="CN26" s="102">
        <v>1</v>
      </c>
      <c r="CO26" s="102">
        <v>1</v>
      </c>
      <c r="CP26" s="102">
        <v>1</v>
      </c>
      <c r="CQ26" s="102">
        <v>1</v>
      </c>
      <c r="CR26" s="102">
        <v>1</v>
      </c>
      <c r="CS26" s="103">
        <v>1</v>
      </c>
      <c r="CT26" s="102">
        <v>1</v>
      </c>
      <c r="CU26" s="102">
        <v>1</v>
      </c>
      <c r="CV26" s="102">
        <v>1</v>
      </c>
      <c r="CW26" s="102">
        <v>1</v>
      </c>
      <c r="CX26" s="102">
        <v>1</v>
      </c>
      <c r="CY26" s="102">
        <v>1</v>
      </c>
      <c r="CZ26" s="102">
        <v>1</v>
      </c>
      <c r="DA26" s="102">
        <v>1</v>
      </c>
      <c r="DB26" s="102">
        <v>1</v>
      </c>
      <c r="DC26" s="102">
        <v>1</v>
      </c>
      <c r="DD26" s="102">
        <v>1</v>
      </c>
      <c r="DE26" s="102">
        <v>1</v>
      </c>
      <c r="DF26" s="102">
        <v>1</v>
      </c>
      <c r="DG26" s="102">
        <v>1</v>
      </c>
      <c r="DH26" s="102">
        <v>1</v>
      </c>
      <c r="DI26" s="102">
        <v>1</v>
      </c>
      <c r="DJ26" s="102">
        <v>1</v>
      </c>
      <c r="DK26" s="102">
        <v>1</v>
      </c>
      <c r="DL26" s="102">
        <v>1</v>
      </c>
      <c r="DM26" s="102">
        <v>1</v>
      </c>
      <c r="DN26" s="102">
        <v>1</v>
      </c>
      <c r="DO26" s="102">
        <v>1</v>
      </c>
      <c r="DP26" s="102">
        <v>1</v>
      </c>
      <c r="DQ26" s="102">
        <v>1</v>
      </c>
      <c r="DR26" s="102">
        <v>1</v>
      </c>
      <c r="DS26" s="102">
        <v>1</v>
      </c>
      <c r="DT26" s="102">
        <v>1</v>
      </c>
      <c r="DU26" s="102">
        <v>1</v>
      </c>
      <c r="DV26" s="102">
        <v>1</v>
      </c>
      <c r="DW26" s="102">
        <v>1</v>
      </c>
      <c r="DX26" s="102">
        <v>1</v>
      </c>
      <c r="DY26" s="102">
        <v>1</v>
      </c>
      <c r="DZ26" s="102">
        <v>1</v>
      </c>
      <c r="EA26" s="102">
        <v>1</v>
      </c>
      <c r="EB26" s="102">
        <v>1</v>
      </c>
      <c r="EC26" s="102">
        <v>1</v>
      </c>
      <c r="ED26" s="102">
        <v>1</v>
      </c>
      <c r="EE26" s="102">
        <v>1</v>
      </c>
      <c r="EF26" s="102">
        <v>1</v>
      </c>
      <c r="EG26" s="102">
        <v>1</v>
      </c>
      <c r="EH26" s="102">
        <v>1</v>
      </c>
      <c r="EI26" s="102">
        <v>1</v>
      </c>
      <c r="EJ26" s="102">
        <v>1</v>
      </c>
      <c r="EK26" s="102">
        <v>1</v>
      </c>
      <c r="EL26" s="102">
        <v>1</v>
      </c>
      <c r="EM26" s="102">
        <v>1</v>
      </c>
      <c r="EN26" s="102">
        <v>1</v>
      </c>
      <c r="EO26" s="102">
        <v>1</v>
      </c>
      <c r="EP26" s="102">
        <v>1</v>
      </c>
      <c r="EQ26" s="102">
        <v>1</v>
      </c>
      <c r="ER26" s="102">
        <v>1</v>
      </c>
      <c r="ES26" s="102">
        <v>1</v>
      </c>
      <c r="ET26" s="102">
        <v>1</v>
      </c>
      <c r="EU26" s="102">
        <v>1</v>
      </c>
      <c r="EV26" s="102">
        <v>1</v>
      </c>
      <c r="EW26" s="102">
        <v>1</v>
      </c>
      <c r="EX26" s="102">
        <v>1</v>
      </c>
      <c r="EY26" s="102">
        <v>1</v>
      </c>
      <c r="EZ26" s="102">
        <v>1</v>
      </c>
      <c r="FA26" s="102">
        <v>1</v>
      </c>
      <c r="FB26" s="102">
        <v>1</v>
      </c>
      <c r="FC26" s="102">
        <v>1</v>
      </c>
      <c r="FD26" s="102">
        <v>1</v>
      </c>
      <c r="FE26" s="102">
        <v>1</v>
      </c>
      <c r="FF26" s="102">
        <v>1</v>
      </c>
      <c r="FG26" s="102">
        <v>1</v>
      </c>
      <c r="FH26" s="102">
        <v>1</v>
      </c>
      <c r="FI26" s="102">
        <v>1</v>
      </c>
      <c r="FJ26" s="102">
        <v>1</v>
      </c>
      <c r="FK26" s="102">
        <v>1</v>
      </c>
      <c r="FL26" s="102">
        <v>1</v>
      </c>
      <c r="FM26" s="102">
        <v>1</v>
      </c>
      <c r="FN26" s="102">
        <v>1</v>
      </c>
      <c r="FO26" s="102">
        <v>1</v>
      </c>
      <c r="FP26" s="102">
        <v>1</v>
      </c>
      <c r="FQ26" s="102">
        <v>1</v>
      </c>
      <c r="FR26" s="102">
        <v>1</v>
      </c>
      <c r="FS26" s="102">
        <v>1</v>
      </c>
      <c r="FT26" s="102">
        <v>1</v>
      </c>
      <c r="FU26" s="102">
        <v>1</v>
      </c>
      <c r="FV26" s="102">
        <v>1</v>
      </c>
      <c r="FW26" s="102">
        <v>1</v>
      </c>
      <c r="FX26" s="102">
        <v>1</v>
      </c>
      <c r="FY26" s="102">
        <v>1</v>
      </c>
      <c r="FZ26" s="102">
        <v>1</v>
      </c>
      <c r="GA26" s="102">
        <v>1</v>
      </c>
      <c r="GB26" s="102">
        <v>1</v>
      </c>
      <c r="GC26" s="102">
        <v>1</v>
      </c>
      <c r="GD26" s="102">
        <v>1</v>
      </c>
      <c r="GE26" s="102">
        <v>1</v>
      </c>
      <c r="GF26" s="102">
        <v>1</v>
      </c>
      <c r="GG26" s="102">
        <v>1</v>
      </c>
      <c r="GH26" s="102">
        <v>1</v>
      </c>
      <c r="GI26" s="102">
        <v>1</v>
      </c>
      <c r="GJ26" s="102">
        <v>1</v>
      </c>
      <c r="GK26" s="102">
        <v>1</v>
      </c>
      <c r="GL26" s="102">
        <v>1</v>
      </c>
      <c r="GM26" s="102">
        <v>1</v>
      </c>
      <c r="GN26" s="102">
        <v>1</v>
      </c>
      <c r="GO26" s="102">
        <v>1</v>
      </c>
      <c r="GP26" s="24">
        <f t="shared" si="7"/>
        <v>1</v>
      </c>
    </row>
    <row r="27" spans="1:198" ht="29.15">
      <c r="B27" s="36">
        <v>1</v>
      </c>
      <c r="C27" s="34" t="s">
        <v>16</v>
      </c>
      <c r="D27" s="1">
        <v>16114</v>
      </c>
      <c r="E27" s="1" t="s">
        <v>77</v>
      </c>
      <c r="F27" s="34" t="s">
        <v>78</v>
      </c>
      <c r="G27" s="34" t="s">
        <v>45</v>
      </c>
      <c r="H27" s="1" t="s">
        <v>45</v>
      </c>
      <c r="I27" s="1" t="s">
        <v>104</v>
      </c>
      <c r="J27" s="1" t="s">
        <v>139</v>
      </c>
      <c r="K27" s="1">
        <v>10</v>
      </c>
      <c r="L27" s="1" t="s">
        <v>22</v>
      </c>
      <c r="M27" s="1" t="s">
        <v>40</v>
      </c>
      <c r="N27" s="1" t="s">
        <v>24</v>
      </c>
      <c r="O27" s="1" t="s">
        <v>36</v>
      </c>
      <c r="P27" s="35">
        <v>26644096</v>
      </c>
      <c r="Q27" s="4" t="s">
        <v>141</v>
      </c>
      <c r="R27" s="1" t="s">
        <v>136</v>
      </c>
      <c r="S27" s="45">
        <v>1037077</v>
      </c>
      <c r="T27" s="45">
        <v>10373937</v>
      </c>
      <c r="U27" s="45">
        <v>14823</v>
      </c>
      <c r="V27" s="45"/>
      <c r="W27" s="45">
        <v>180567101</v>
      </c>
      <c r="X27" s="106">
        <v>69</v>
      </c>
      <c r="Y27" s="104" t="s">
        <v>161</v>
      </c>
      <c r="Z27" s="107">
        <v>3</v>
      </c>
      <c r="AA27" s="107">
        <v>4</v>
      </c>
      <c r="AB27" s="107">
        <v>4</v>
      </c>
      <c r="AC27" s="88">
        <v>202.46</v>
      </c>
      <c r="AD27" s="88">
        <v>4.4099999999999966</v>
      </c>
      <c r="AE27" s="88">
        <v>171.67</v>
      </c>
      <c r="AF27" s="89">
        <f>'Цены,перевалка,аренда'!$C$27*SUM(Уголь_эластика_внутр!Z27+Уголь_эластика_внутр!AA27+Уголь_эластика_внутр!AB27)/Уголь_эластика_внутр!X27</f>
        <v>111.59420289855072</v>
      </c>
      <c r="AG27" s="90"/>
      <c r="AH27" s="47"/>
      <c r="AI27" s="91">
        <v>3000</v>
      </c>
      <c r="AJ27" s="92">
        <f>'Цены,перевалка,аренда'!$D$14</f>
        <v>10200</v>
      </c>
      <c r="AK27" s="47">
        <f>AJ27/'Цены,перевалка,аренда'!$C$1</f>
        <v>133.67319524804898</v>
      </c>
      <c r="AL27" s="47">
        <f t="shared" si="0"/>
        <v>283.26420289855071</v>
      </c>
      <c r="AM27" s="47">
        <f t="shared" si="1"/>
        <v>9916.7357971014499</v>
      </c>
      <c r="AN27" s="47">
        <f t="shared" si="8"/>
        <v>3283.2642028985506</v>
      </c>
      <c r="AO27" s="93">
        <f t="shared" si="3"/>
        <v>0.67811135265700484</v>
      </c>
      <c r="AP27" s="94">
        <f t="shared" si="4"/>
        <v>2.7771000284171638E-2</v>
      </c>
      <c r="AQ27" s="94">
        <f t="shared" si="5"/>
        <v>1.6830392156862745E-2</v>
      </c>
      <c r="AR27" s="94">
        <f t="shared" si="6"/>
        <v>0.60604198569164958</v>
      </c>
      <c r="AS27" s="95" t="s">
        <v>199</v>
      </c>
      <c r="AT27" s="96">
        <f t="shared" si="9"/>
        <v>0.69090909090909092</v>
      </c>
      <c r="AU27" s="102">
        <f>IF($AT27="1",1,1+(1-VLOOKUP(($AJ27-$AI27-$AH27-$AG27-$AF27-$AE27)/$AJ27-($AJ27-$AI27-$AH27-$AG27-$AF27-$AE27*(1+AU$3))/$AJ27,Уголь_коэфф!$A:$B,2,1)))</f>
        <v>1</v>
      </c>
      <c r="AV27" s="102">
        <f>IF($AT27="1",1,1+(1-VLOOKUP(($AJ27-$AI27-$AH27-$AG27-$AF27-$AE27)/$AJ27-($AJ27-$AI27-$AH27-$AG27-$AF27-$AE27*(1+AV$3))/$AJ27,Уголь_коэфф!$A:$B,2,1)))</f>
        <v>1</v>
      </c>
      <c r="AW27" s="102">
        <f>IF($AT27="1",1,1+(1-VLOOKUP(($AJ27-$AI27-$AH27-$AG27-$AF27-$AE27)/$AJ27-($AJ27-$AI27-$AH27-$AG27-$AF27-$AE27*(1+AW$3))/$AJ27,Уголь_коэфф!$A:$B,2,1)))</f>
        <v>1</v>
      </c>
      <c r="AX27" s="102">
        <f>IF($AT27="1",1,1+(1-VLOOKUP(($AJ27-$AI27-$AH27-$AG27-$AF27-$AE27)/$AJ27-($AJ27-$AI27-$AH27-$AG27-$AF27-$AE27*(1+AX$3))/$AJ27,Уголь_коэфф!$A:$B,2,1)))</f>
        <v>1</v>
      </c>
      <c r="AY27" s="102">
        <f>IF($AT27="1",1,1+(1-VLOOKUP(($AJ27-$AI27-$AH27-$AG27-$AF27-$AE27)/$AJ27-($AJ27-$AI27-$AH27-$AG27-$AF27-$AE27*(1+AY$3))/$AJ27,Уголь_коэфф!$A:$B,2,1)))</f>
        <v>1</v>
      </c>
      <c r="AZ27" s="102">
        <f>IF($AT27="1",1,1+(1-VLOOKUP(($AJ27-$AI27-$AH27-$AG27-$AF27-$AE27)/$AJ27-($AJ27-$AI27-$AH27-$AG27-$AF27-$AE27*(1+AZ$3))/$AJ27,Уголь_коэфф!$A:$B,2,1)))</f>
        <v>1</v>
      </c>
      <c r="BA27" s="102">
        <f>IF($AT27="1",1,1+(1-VLOOKUP(($AJ27-$AI27-$AH27-$AG27-$AF27-$AE27)/$AJ27-($AJ27-$AI27-$AH27-$AG27-$AF27-$AE27*(1+BA$3))/$AJ27,Уголь_коэфф!$A:$B,2,1)))</f>
        <v>1</v>
      </c>
      <c r="BB27" s="102">
        <f>IF($AT27="1",1,1+(1-VLOOKUP(($AJ27-$AI27-$AH27-$AG27-$AF27-$AE27)/$AJ27-($AJ27-$AI27-$AH27-$AG27-$AF27-$AE27*(1+BB$3))/$AJ27,Уголь_коэфф!$A:$B,2,1)))</f>
        <v>1</v>
      </c>
      <c r="BC27" s="102">
        <f>IF($AT27="1",1,1+(1-VLOOKUP(($AJ27-$AI27-$AH27-$AG27-$AF27-$AE27)/$AJ27-($AJ27-$AI27-$AH27-$AG27-$AF27-$AE27*(1+BC$3))/$AJ27,Уголь_коэфф!$A:$B,2,1)))</f>
        <v>1</v>
      </c>
      <c r="BD27" s="102">
        <f>IF($AT27="1",1,1+(1-VLOOKUP(($AJ27-$AI27-$AH27-$AG27-$AF27-$AE27)/$AJ27-($AJ27-$AI27-$AH27-$AG27-$AF27-$AE27*(1+BD$3))/$AJ27,Уголь_коэфф!$A:$B,2,1)))</f>
        <v>1</v>
      </c>
      <c r="BE27" s="102">
        <f>IF($AT27="1",1,1+(1-VLOOKUP(($AJ27-$AI27-$AH27-$AG27-$AF27-$AE27)/$AJ27-($AJ27-$AI27-$AH27-$AG27-$AF27-$AE27*(1+BE$3))/$AJ27,Уголь_коэфф!$A:$B,2,1)))</f>
        <v>1</v>
      </c>
      <c r="BF27" s="102">
        <f>IF($AT27="1",1,1+(1-VLOOKUP(($AJ27-$AI27-$AH27-$AG27-$AF27-$AE27)/$AJ27-($AJ27-$AI27-$AH27-$AG27-$AF27-$AE27*(1+BF$3))/$AJ27,Уголь_коэфф!$A:$B,2,1)))</f>
        <v>1</v>
      </c>
      <c r="BG27" s="102">
        <f>IF($AT27="1",1,1+(1-VLOOKUP(($AJ27-$AI27-$AH27-$AG27-$AF27-$AE27)/$AJ27-($AJ27-$AI27-$AH27-$AG27-$AF27-$AE27*(1+BG$3))/$AJ27,Уголь_коэфф!$A:$B,2,1)))</f>
        <v>1</v>
      </c>
      <c r="BH27" s="102">
        <f>IF($AT27="1",1,1+(1-VLOOKUP(($AJ27-$AI27-$AH27-$AG27-$AF27-$AE27)/$AJ27-($AJ27-$AI27-$AH27-$AG27-$AF27-$AE27*(1+BH$3))/$AJ27,Уголь_коэфф!$A:$B,2,1)))</f>
        <v>1</v>
      </c>
      <c r="BI27" s="102">
        <f>IF($AT27="1",1,1+(1-VLOOKUP(($AJ27-$AI27-$AH27-$AG27-$AF27-$AE27)/$AJ27-($AJ27-$AI27-$AH27-$AG27-$AF27-$AE27*(1+BI$3))/$AJ27,Уголь_коэфф!$A:$B,2,1)))</f>
        <v>1</v>
      </c>
      <c r="BJ27" s="102">
        <f>IF($AT27="1",1,1+(1-VLOOKUP(($AJ27-$AI27-$AH27-$AG27-$AF27-$AE27)/$AJ27-($AJ27-$AI27-$AH27-$AG27-$AF27-$AE27*(1+BJ$3))/$AJ27,Уголь_коэфф!$A:$B,2,1)))</f>
        <v>1</v>
      </c>
      <c r="BK27" s="102">
        <f>IF($AT27="1",1,1+(1-VLOOKUP(($AJ27-$AI27-$AH27-$AG27-$AF27-$AE27)/$AJ27-($AJ27-$AI27-$AH27-$AG27-$AF27-$AE27*(1+BK$3))/$AJ27,Уголь_коэфф!$A:$B,2,1)))</f>
        <v>1</v>
      </c>
      <c r="BL27" s="102">
        <f>IF($AT27="1",1,1+(1-VLOOKUP(($AJ27-$AI27-$AH27-$AG27-$AF27-$AE27)/$AJ27-($AJ27-$AI27-$AH27-$AG27-$AF27-$AE27*(1+BL$3))/$AJ27,Уголь_коэфф!$A:$B,2,1)))</f>
        <v>1</v>
      </c>
      <c r="BM27" s="102">
        <f>IF($AT27="1",1,1+(1-VLOOKUP(($AJ27-$AI27-$AH27-$AG27-$AF27-$AE27)/$AJ27-($AJ27-$AI27-$AH27-$AG27-$AF27-$AE27*(1+BM$3))/$AJ27,Уголь_коэфф!$A:$B,2,1)))</f>
        <v>1</v>
      </c>
      <c r="BN27" s="102">
        <f>IF($AT27="1",1,1+(1-VLOOKUP(($AJ27-$AI27-$AH27-$AG27-$AF27-$AE27)/$AJ27-($AJ27-$AI27-$AH27-$AG27-$AF27-$AE27*(1+BN$3))/$AJ27,Уголь_коэфф!$A:$B,2,1)))</f>
        <v>1</v>
      </c>
      <c r="BO27" s="102">
        <f>IF($AT27="1",1,1+(1-VLOOKUP(($AJ27-$AI27-$AH27-$AG27-$AF27-$AE27)/$AJ27-($AJ27-$AI27-$AH27-$AG27-$AF27-$AE27*(1+BO$3))/$AJ27,Уголь_коэфф!$A:$B,2,1)))</f>
        <v>1</v>
      </c>
      <c r="BP27" s="102">
        <f>IF($AT27="1",1,1+(1-VLOOKUP(($AJ27-$AI27-$AH27-$AG27-$AF27-$AE27)/$AJ27-($AJ27-$AI27-$AH27-$AG27-$AF27-$AE27*(1+BP$3))/$AJ27,Уголь_коэфф!$A:$B,2,1)))</f>
        <v>1</v>
      </c>
      <c r="BQ27" s="102">
        <f>IF($AT27="1",1,1+(1-VLOOKUP(($AJ27-$AI27-$AH27-$AG27-$AF27-$AE27)/$AJ27-($AJ27-$AI27-$AH27-$AG27-$AF27-$AE27*(1+BQ$3))/$AJ27,Уголь_коэфф!$A:$B,2,1)))</f>
        <v>1</v>
      </c>
      <c r="BR27" s="102">
        <f>IF($AT27="1",1,1+(1-VLOOKUP(($AJ27-$AI27-$AH27-$AG27-$AF27-$AE27)/$AJ27-($AJ27-$AI27-$AH27-$AG27-$AF27-$AE27*(1+BR$3))/$AJ27,Уголь_коэфф!$A:$B,2,1)))</f>
        <v>1</v>
      </c>
      <c r="BS27" s="102">
        <f>IF($AT27="1",1,1+(1-VLOOKUP(($AJ27-$AI27-$AH27-$AG27-$AF27-$AE27)/$AJ27-($AJ27-$AI27-$AH27-$AG27-$AF27-$AE27*(1+BS$3))/$AJ27,Уголь_коэфф!$A:$B,2,1)))</f>
        <v>1</v>
      </c>
      <c r="BT27" s="102">
        <f>IF($AT27="1",1,1+(1-VLOOKUP(($AJ27-$AI27-$AH27-$AG27-$AF27-$AE27)/$AJ27-($AJ27-$AI27-$AH27-$AG27-$AF27-$AE27*(1+BT$3))/$AJ27,Уголь_коэфф!$A:$B,2,1)))</f>
        <v>1</v>
      </c>
      <c r="BU27" s="102">
        <f>IF($AT27="1",1,1+(1-VLOOKUP(($AJ27-$AI27-$AH27-$AG27-$AF27-$AE27)/$AJ27-($AJ27-$AI27-$AH27-$AG27-$AF27-$AE27*(1+BU$3))/$AJ27,Уголь_коэфф!$A:$B,2,1)))</f>
        <v>1</v>
      </c>
      <c r="BV27" s="102">
        <f>IF($AT27="1",1,1+(1-VLOOKUP(($AJ27-$AI27-$AH27-$AG27-$AF27-$AE27)/$AJ27-($AJ27-$AI27-$AH27-$AG27-$AF27-$AE27*(1+BV$3))/$AJ27,Уголь_коэфф!$A:$B,2,1)))</f>
        <v>1</v>
      </c>
      <c r="BW27" s="102">
        <f>IF($AT27="1",1,1+(1-VLOOKUP(($AJ27-$AI27-$AH27-$AG27-$AF27-$AE27)/$AJ27-($AJ27-$AI27-$AH27-$AG27-$AF27-$AE27*(1+BW$3))/$AJ27,Уголь_коэфф!$A:$B,2,1)))</f>
        <v>1</v>
      </c>
      <c r="BX27" s="102">
        <f>IF($AT27="1",1,1+(1-VLOOKUP(($AJ27-$AI27-$AH27-$AG27-$AF27-$AE27)/$AJ27-($AJ27-$AI27-$AH27-$AG27-$AF27-$AE27*(1+BX$3))/$AJ27,Уголь_коэфф!$A:$B,2,1)))</f>
        <v>1</v>
      </c>
      <c r="BY27" s="102">
        <f>IF($AT27="1",1,1+(1-VLOOKUP(($AJ27-$AI27-$AH27-$AG27-$AF27-$AE27)/$AJ27-($AJ27-$AI27-$AH27-$AG27-$AF27-$AE27*(1+BY$3))/$AJ27,Уголь_коэфф!$A:$B,2,1)))</f>
        <v>1</v>
      </c>
      <c r="BZ27" s="102">
        <f>IF($AT27="1",1,1+(1-VLOOKUP(($AJ27-$AI27-$AH27-$AG27-$AF27-$AE27)/$AJ27-($AJ27-$AI27-$AH27-$AG27-$AF27-$AE27*(1+BZ$3))/$AJ27,Уголь_коэфф!$A:$B,2,1)))</f>
        <v>1</v>
      </c>
      <c r="CA27" s="102">
        <f>IF($AT27="1",1,1+(1-VLOOKUP(($AJ27-$AI27-$AH27-$AG27-$AF27-$AE27)/$AJ27-($AJ27-$AI27-$AH27-$AG27-$AF27-$AE27*(1+CA$3))/$AJ27,Уголь_коэфф!$A:$B,2,1)))</f>
        <v>1</v>
      </c>
      <c r="CB27" s="102">
        <f>IF($AT27="1",1,1+(1-VLOOKUP(($AJ27-$AI27-$AH27-$AG27-$AF27-$AE27)/$AJ27-($AJ27-$AI27-$AH27-$AG27-$AF27-$AE27*(1+CB$3))/$AJ27,Уголь_коэфф!$A:$B,2,1)))</f>
        <v>1</v>
      </c>
      <c r="CC27" s="102">
        <f>IF($AT27="1",1,1+(1-VLOOKUP(($AJ27-$AI27-$AH27-$AG27-$AF27-$AE27)/$AJ27-($AJ27-$AI27-$AH27-$AG27-$AF27-$AE27*(1+CC$3))/$AJ27,Уголь_коэфф!$A:$B,2,1)))</f>
        <v>1</v>
      </c>
      <c r="CD27" s="102">
        <f>IF($AT27="1",1,1+(1-VLOOKUP(($AJ27-$AI27-$AH27-$AG27-$AF27-$AE27)/$AJ27-($AJ27-$AI27-$AH27-$AG27-$AF27-$AE27*(1+CD$3))/$AJ27,Уголь_коэфф!$A:$B,2,1)))</f>
        <v>1</v>
      </c>
      <c r="CE27" s="102">
        <f>IF($AT27="1",1,1+(1-VLOOKUP(($AJ27-$AI27-$AH27-$AG27-$AF27-$AE27)/$AJ27-($AJ27-$AI27-$AH27-$AG27-$AF27-$AE27*(1+CE$3))/$AJ27,Уголь_коэфф!$A:$B,2,1)))</f>
        <v>1</v>
      </c>
      <c r="CF27" s="102">
        <f>IF($AT27="1",1,1+(1-VLOOKUP(($AJ27-$AI27-$AH27-$AG27-$AF27-$AE27)/$AJ27-($AJ27-$AI27-$AH27-$AG27-$AF27-$AE27*(1+CF$3))/$AJ27,Уголь_коэфф!$A:$B,2,1)))</f>
        <v>1</v>
      </c>
      <c r="CG27" s="102">
        <f>IF($AT27="1",1,1+(1-VLOOKUP(($AJ27-$AI27-$AH27-$AG27-$AF27-$AE27)/$AJ27-($AJ27-$AI27-$AH27-$AG27-$AF27-$AE27*(1+CG$3))/$AJ27,Уголь_коэфф!$A:$B,2,1)))</f>
        <v>1</v>
      </c>
      <c r="CH27" s="102">
        <f>IF($AT27="1",1,1+(1-VLOOKUP(($AJ27-$AI27-$AH27-$AG27-$AF27-$AE27)/$AJ27-($AJ27-$AI27-$AH27-$AG27-$AF27-$AE27*(1+CH$3))/$AJ27,Уголь_коэфф!$A:$B,2,1)))</f>
        <v>1</v>
      </c>
      <c r="CI27" s="102">
        <f>IF($AT27="1",1,1+(1-VLOOKUP(($AJ27-$AI27-$AH27-$AG27-$AF27-$AE27)/$AJ27-($AJ27-$AI27-$AH27-$AG27-$AF27-$AE27*(1+CI$3))/$AJ27,Уголь_коэфф!$A:$B,2,1)))</f>
        <v>1</v>
      </c>
      <c r="CJ27" s="102">
        <f>IF($AT27="1",1,1+(1-VLOOKUP(($AJ27-$AI27-$AH27-$AG27-$AF27-$AE27)/$AJ27-($AJ27-$AI27-$AH27-$AG27-$AF27-$AE27*(1+CJ$3))/$AJ27,Уголь_коэфф!$A:$B,2,1)))</f>
        <v>1</v>
      </c>
      <c r="CK27" s="102">
        <f>IF($AT27="1",1,1+(1-VLOOKUP(($AJ27-$AI27-$AH27-$AG27-$AF27-$AE27)/$AJ27-($AJ27-$AI27-$AH27-$AG27-$AF27-$AE27*(1+CK$3))/$AJ27,Уголь_коэфф!$A:$B,2,1)))</f>
        <v>1</v>
      </c>
      <c r="CL27" s="102">
        <f>IF($AT27="1",1,1+(1-VLOOKUP(($AJ27-$AI27-$AH27-$AG27-$AF27-$AE27)/$AJ27-($AJ27-$AI27-$AH27-$AG27-$AF27-$AE27*(1+CL$3))/$AJ27,Уголь_коэфф!$A:$B,2,1)))</f>
        <v>1</v>
      </c>
      <c r="CM27" s="102">
        <f>IF($AT27="1",1,1+(1-VLOOKUP(($AJ27-$AI27-$AH27-$AG27-$AF27-$AE27)/$AJ27-($AJ27-$AI27-$AH27-$AG27-$AF27-$AE27*(1+CM$3))/$AJ27,Уголь_коэфф!$A:$B,2,1)))</f>
        <v>1</v>
      </c>
      <c r="CN27" s="102">
        <f>IF($AT27="1",1,1+(1-VLOOKUP(($AJ27-$AI27-$AH27-$AG27-$AF27-$AE27)/$AJ27-($AJ27-$AI27-$AH27-$AG27-$AF27-$AE27*(1+CN$3))/$AJ27,Уголь_коэфф!$A:$B,2,1)))</f>
        <v>1</v>
      </c>
      <c r="CO27" s="102">
        <f>IF($AT27="1",1,1+(1-VLOOKUP(($AJ27-$AI27-$AH27-$AG27-$AF27-$AE27)/$AJ27-($AJ27-$AI27-$AH27-$AG27-$AF27-$AE27*(1+CO$3))/$AJ27,Уголь_коэфф!$A:$B,2,1)))</f>
        <v>1</v>
      </c>
      <c r="CP27" s="102">
        <f>IF($AT27="1",1,1+(1-VLOOKUP(($AJ27-$AI27-$AH27-$AG27-$AF27-$AE27)/$AJ27-($AJ27-$AI27-$AH27-$AG27-$AF27-$AE27*(1+CP$3))/$AJ27,Уголь_коэфф!$A:$B,2,1)))</f>
        <v>1</v>
      </c>
      <c r="CQ27" s="102">
        <f>IF($AT27="1",1,1+(1-VLOOKUP(($AJ27-$AI27-$AH27-$AG27-$AF27-$AE27)/$AJ27-($AJ27-$AI27-$AH27-$AG27-$AF27-$AE27*(1+CQ$3))/$AJ27,Уголь_коэфф!$A:$B,2,1)))</f>
        <v>1</v>
      </c>
      <c r="CR27" s="102">
        <f>IF($AT27="1",1,1+(1-VLOOKUP(($AJ27-$AI27-$AH27-$AG27-$AF27-$AE27)/$AJ27-($AJ27-$AI27-$AH27-$AG27-$AF27-$AE27*(1+CR$3))/$AJ27,Уголь_коэфф!$A:$B,2,1)))</f>
        <v>1</v>
      </c>
      <c r="CS27" s="103">
        <v>1</v>
      </c>
      <c r="CT27" s="102">
        <v>1</v>
      </c>
      <c r="CU27" s="102">
        <v>1</v>
      </c>
      <c r="CV27" s="102">
        <v>1</v>
      </c>
      <c r="CW27" s="102">
        <v>1</v>
      </c>
      <c r="CX27" s="102">
        <v>1</v>
      </c>
      <c r="CY27" s="102">
        <v>1</v>
      </c>
      <c r="CZ27" s="102">
        <v>1</v>
      </c>
      <c r="DA27" s="102">
        <v>1</v>
      </c>
      <c r="DB27" s="102">
        <v>1</v>
      </c>
      <c r="DC27" s="102">
        <v>1</v>
      </c>
      <c r="DD27" s="102">
        <v>1</v>
      </c>
      <c r="DE27" s="102">
        <v>1</v>
      </c>
      <c r="DF27" s="102">
        <v>1</v>
      </c>
      <c r="DG27" s="102">
        <v>1</v>
      </c>
      <c r="DH27" s="102">
        <v>1</v>
      </c>
      <c r="DI27" s="102">
        <v>1</v>
      </c>
      <c r="DJ27" s="102">
        <v>1</v>
      </c>
      <c r="DK27" s="102">
        <v>1</v>
      </c>
      <c r="DL27" s="102">
        <v>1</v>
      </c>
      <c r="DM27" s="102">
        <v>1</v>
      </c>
      <c r="DN27" s="102">
        <v>1</v>
      </c>
      <c r="DO27" s="102">
        <v>1</v>
      </c>
      <c r="DP27" s="102">
        <v>1</v>
      </c>
      <c r="DQ27" s="102">
        <v>1</v>
      </c>
      <c r="DR27" s="102">
        <v>1</v>
      </c>
      <c r="DS27" s="102">
        <v>1</v>
      </c>
      <c r="DT27" s="102">
        <v>1</v>
      </c>
      <c r="DU27" s="102">
        <v>1</v>
      </c>
      <c r="DV27" s="102">
        <v>1</v>
      </c>
      <c r="DW27" s="102">
        <v>1</v>
      </c>
      <c r="DX27" s="102">
        <v>1</v>
      </c>
      <c r="DY27" s="102">
        <v>1</v>
      </c>
      <c r="DZ27" s="102">
        <v>1</v>
      </c>
      <c r="EA27" s="102">
        <v>1</v>
      </c>
      <c r="EB27" s="102">
        <v>1</v>
      </c>
      <c r="EC27" s="102">
        <v>1</v>
      </c>
      <c r="ED27" s="102">
        <v>1</v>
      </c>
      <c r="EE27" s="102">
        <v>1</v>
      </c>
      <c r="EF27" s="102">
        <v>1</v>
      </c>
      <c r="EG27" s="102">
        <v>1</v>
      </c>
      <c r="EH27" s="102">
        <v>1</v>
      </c>
      <c r="EI27" s="102">
        <v>1</v>
      </c>
      <c r="EJ27" s="102">
        <v>1</v>
      </c>
      <c r="EK27" s="102">
        <v>1</v>
      </c>
      <c r="EL27" s="102">
        <v>1</v>
      </c>
      <c r="EM27" s="102">
        <v>1</v>
      </c>
      <c r="EN27" s="102">
        <v>1</v>
      </c>
      <c r="EO27" s="102">
        <v>1</v>
      </c>
      <c r="EP27" s="102">
        <v>1</v>
      </c>
      <c r="EQ27" s="102">
        <v>1</v>
      </c>
      <c r="ER27" s="102">
        <v>1</v>
      </c>
      <c r="ES27" s="102">
        <v>1</v>
      </c>
      <c r="ET27" s="102">
        <v>1</v>
      </c>
      <c r="EU27" s="102">
        <v>1</v>
      </c>
      <c r="EV27" s="102">
        <v>1</v>
      </c>
      <c r="EW27" s="102">
        <v>1</v>
      </c>
      <c r="EX27" s="102">
        <v>1</v>
      </c>
      <c r="EY27" s="102">
        <v>1</v>
      </c>
      <c r="EZ27" s="102">
        <v>1</v>
      </c>
      <c r="FA27" s="102">
        <v>1</v>
      </c>
      <c r="FB27" s="102">
        <v>1</v>
      </c>
      <c r="FC27" s="102">
        <v>1</v>
      </c>
      <c r="FD27" s="102">
        <v>1</v>
      </c>
      <c r="FE27" s="102">
        <v>1</v>
      </c>
      <c r="FF27" s="102">
        <v>1</v>
      </c>
      <c r="FG27" s="102">
        <v>1</v>
      </c>
      <c r="FH27" s="102">
        <v>1</v>
      </c>
      <c r="FI27" s="102">
        <v>1</v>
      </c>
      <c r="FJ27" s="102">
        <v>1</v>
      </c>
      <c r="FK27" s="102">
        <v>1</v>
      </c>
      <c r="FL27" s="102">
        <v>1</v>
      </c>
      <c r="FM27" s="102">
        <v>1</v>
      </c>
      <c r="FN27" s="102">
        <v>1</v>
      </c>
      <c r="FO27" s="102">
        <v>1</v>
      </c>
      <c r="FP27" s="102">
        <v>1</v>
      </c>
      <c r="FQ27" s="102">
        <v>1</v>
      </c>
      <c r="FR27" s="102">
        <v>1</v>
      </c>
      <c r="FS27" s="102">
        <v>1</v>
      </c>
      <c r="FT27" s="102">
        <v>1</v>
      </c>
      <c r="FU27" s="102">
        <v>1</v>
      </c>
      <c r="FV27" s="102">
        <v>1</v>
      </c>
      <c r="FW27" s="102">
        <v>1</v>
      </c>
      <c r="FX27" s="102">
        <v>1</v>
      </c>
      <c r="FY27" s="102">
        <v>1</v>
      </c>
      <c r="FZ27" s="102">
        <v>1</v>
      </c>
      <c r="GA27" s="102">
        <v>1</v>
      </c>
      <c r="GB27" s="102">
        <v>1</v>
      </c>
      <c r="GC27" s="102">
        <v>1</v>
      </c>
      <c r="GD27" s="102">
        <v>1</v>
      </c>
      <c r="GE27" s="102">
        <v>1</v>
      </c>
      <c r="GF27" s="102">
        <v>1</v>
      </c>
      <c r="GG27" s="102">
        <v>1</v>
      </c>
      <c r="GH27" s="102">
        <v>1</v>
      </c>
      <c r="GI27" s="102">
        <v>1</v>
      </c>
      <c r="GJ27" s="102">
        <v>1</v>
      </c>
      <c r="GK27" s="102">
        <v>1</v>
      </c>
      <c r="GL27" s="102">
        <v>1</v>
      </c>
      <c r="GM27" s="102">
        <v>1</v>
      </c>
      <c r="GN27" s="102">
        <v>1</v>
      </c>
      <c r="GO27" s="102">
        <v>1</v>
      </c>
      <c r="GP27" s="24">
        <f t="shared" si="7"/>
        <v>1</v>
      </c>
    </row>
    <row r="28" spans="1:198" ht="14.6" customHeight="1">
      <c r="AC28" s="424"/>
      <c r="AD28" s="424"/>
      <c r="AE28" s="424"/>
      <c r="AF28" s="3"/>
      <c r="AG28" s="3"/>
      <c r="AH28" s="3"/>
      <c r="AI28" s="3"/>
      <c r="AU28" s="26"/>
    </row>
    <row r="29" spans="1:198" ht="14.6" customHeight="1">
      <c r="AU29" s="25"/>
      <c r="AV29" s="24"/>
    </row>
    <row r="30" spans="1:198" ht="14.6" customHeight="1">
      <c r="AU30" s="24"/>
      <c r="AV30" s="24"/>
    </row>
    <row r="32" spans="1:198">
      <c r="AW32" s="25"/>
    </row>
    <row r="33" spans="47:49">
      <c r="AU33" s="25"/>
    </row>
    <row r="34" spans="47:49">
      <c r="AW34" s="16"/>
    </row>
  </sheetData>
  <autoFilter ref="B3:GO27">
    <filterColumn colId="17"/>
    <filterColumn colId="18"/>
    <filterColumn colId="19"/>
    <filterColumn colId="20"/>
    <filterColumn colId="21"/>
    <filterColumn colId="24"/>
    <filterColumn colId="25"/>
    <filterColumn colId="26"/>
  </autoFilter>
  <mergeCells count="7">
    <mergeCell ref="X2:AB2"/>
    <mergeCell ref="B2:W2"/>
    <mergeCell ref="AU2:GO2"/>
    <mergeCell ref="AC28:AE28"/>
    <mergeCell ref="AS2:AS3"/>
    <mergeCell ref="AC2:AR2"/>
    <mergeCell ref="AT2:AT3"/>
  </mergeCells>
  <conditionalFormatting sqref="AU4:CR27 CT4:GO27">
    <cfRule type="colorScale" priority="1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ageMargins left="0.7" right="0.7" top="0.75" bottom="0.75" header="0.3" footer="0.3"/>
  <pageSetup paperSize="9" scale="10" fitToHeight="0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5"/>
  <dimension ref="A1:G187"/>
  <sheetViews>
    <sheetView showGridLines="0" topLeftCell="A124" workbookViewId="0">
      <selection activeCell="B139" sqref="B139"/>
    </sheetView>
  </sheetViews>
  <sheetFormatPr defaultRowHeight="14.6"/>
  <sheetData>
    <row r="1" spans="1:7">
      <c r="A1" s="458" t="s">
        <v>182</v>
      </c>
      <c r="B1" s="458"/>
      <c r="C1" s="9"/>
      <c r="D1" s="9"/>
      <c r="E1" s="458" t="s">
        <v>183</v>
      </c>
      <c r="F1" s="458"/>
      <c r="G1" s="9"/>
    </row>
    <row r="2" spans="1:7">
      <c r="A2" s="10" t="s">
        <v>184</v>
      </c>
      <c r="B2" s="10" t="s">
        <v>185</v>
      </c>
      <c r="C2" s="9"/>
      <c r="D2" s="9"/>
      <c r="E2" s="10" t="s">
        <v>184</v>
      </c>
      <c r="F2" s="10" t="s">
        <v>185</v>
      </c>
      <c r="G2" s="9"/>
    </row>
    <row r="3" spans="1:7">
      <c r="A3" s="11">
        <v>-5</v>
      </c>
      <c r="B3" s="10">
        <v>0</v>
      </c>
      <c r="C3" s="9"/>
      <c r="D3" s="9"/>
      <c r="E3" s="11">
        <v>-5</v>
      </c>
      <c r="F3" s="10">
        <v>0</v>
      </c>
      <c r="G3" s="9"/>
    </row>
    <row r="4" spans="1:7">
      <c r="A4" s="11">
        <v>-2.4500000000000002</v>
      </c>
      <c r="B4" s="10">
        <v>0</v>
      </c>
      <c r="C4" s="9"/>
      <c r="D4" s="9"/>
      <c r="E4" s="11">
        <v>-2.4500000000000002</v>
      </c>
      <c r="F4" s="10">
        <v>0</v>
      </c>
      <c r="G4" s="9"/>
    </row>
    <row r="5" spans="1:7">
      <c r="A5" s="11">
        <v>-2.4</v>
      </c>
      <c r="B5" s="10">
        <v>0</v>
      </c>
      <c r="C5" s="9"/>
      <c r="D5" s="9"/>
      <c r="E5" s="11">
        <v>-2.4</v>
      </c>
      <c r="F5" s="10">
        <v>0</v>
      </c>
      <c r="G5" s="9"/>
    </row>
    <row r="6" spans="1:7">
      <c r="A6" s="11">
        <v>-2.35</v>
      </c>
      <c r="B6" s="10">
        <v>0</v>
      </c>
      <c r="C6" s="9"/>
      <c r="D6" s="9"/>
      <c r="E6" s="11">
        <v>-2.35</v>
      </c>
      <c r="F6" s="10">
        <v>0</v>
      </c>
      <c r="G6" s="9"/>
    </row>
    <row r="7" spans="1:7">
      <c r="A7" s="11">
        <v>-2.2999999999999998</v>
      </c>
      <c r="B7" s="10">
        <v>0</v>
      </c>
      <c r="C7" s="9"/>
      <c r="D7" s="9"/>
      <c r="E7" s="11">
        <v>-2.2999999999999998</v>
      </c>
      <c r="F7" s="10">
        <v>0</v>
      </c>
      <c r="G7" s="9"/>
    </row>
    <row r="8" spans="1:7">
      <c r="A8" s="11">
        <v>-2.25</v>
      </c>
      <c r="B8" s="10">
        <v>0</v>
      </c>
      <c r="C8" s="9"/>
      <c r="D8" s="9"/>
      <c r="E8" s="11">
        <v>-2.25</v>
      </c>
      <c r="F8" s="10">
        <v>0</v>
      </c>
      <c r="G8" s="9"/>
    </row>
    <row r="9" spans="1:7">
      <c r="A9" s="11">
        <v>-2.2000000000000002</v>
      </c>
      <c r="B9" s="10">
        <v>0</v>
      </c>
      <c r="C9" s="9"/>
      <c r="D9" s="9"/>
      <c r="E9" s="11">
        <v>-2.2000000000000002</v>
      </c>
      <c r="F9" s="10">
        <v>0</v>
      </c>
      <c r="G9" s="9"/>
    </row>
    <row r="10" spans="1:7">
      <c r="A10" s="11">
        <v>-2.15</v>
      </c>
      <c r="B10" s="10">
        <v>0</v>
      </c>
      <c r="C10" s="9"/>
      <c r="D10" s="9"/>
      <c r="E10" s="11">
        <v>-2.15</v>
      </c>
      <c r="F10" s="10">
        <v>0</v>
      </c>
      <c r="G10" s="9"/>
    </row>
    <row r="11" spans="1:7">
      <c r="A11" s="11">
        <v>-2.1</v>
      </c>
      <c r="B11" s="10">
        <v>0</v>
      </c>
      <c r="C11" s="9"/>
      <c r="D11" s="9"/>
      <c r="E11" s="11">
        <v>-2.1</v>
      </c>
      <c r="F11" s="14">
        <v>0</v>
      </c>
      <c r="G11" s="9"/>
    </row>
    <row r="12" spans="1:7">
      <c r="A12" s="11">
        <v>-2.0499999999999998</v>
      </c>
      <c r="B12" s="10">
        <v>0</v>
      </c>
      <c r="C12" s="9"/>
      <c r="D12" s="9"/>
      <c r="E12" s="11">
        <v>-2.0499999999999998</v>
      </c>
      <c r="F12" s="14">
        <v>0</v>
      </c>
      <c r="G12" s="9"/>
    </row>
    <row r="13" spans="1:7">
      <c r="A13" s="11">
        <v>-2</v>
      </c>
      <c r="B13" s="10">
        <v>0</v>
      </c>
      <c r="C13" s="9"/>
      <c r="D13" s="9"/>
      <c r="E13" s="11">
        <v>-2</v>
      </c>
      <c r="F13" s="14">
        <v>0</v>
      </c>
      <c r="G13" s="9"/>
    </row>
    <row r="14" spans="1:7">
      <c r="A14" s="11">
        <v>-1.95</v>
      </c>
      <c r="B14" s="10">
        <v>0</v>
      </c>
      <c r="C14" s="9"/>
      <c r="D14" s="9"/>
      <c r="E14" s="11">
        <v>-1.95</v>
      </c>
      <c r="F14" s="14">
        <v>0</v>
      </c>
      <c r="G14" s="15">
        <v>1.900000688128E-2</v>
      </c>
    </row>
    <row r="15" spans="1:7">
      <c r="A15" s="11">
        <v>-1.9</v>
      </c>
      <c r="B15" s="10">
        <v>0</v>
      </c>
      <c r="C15" s="9"/>
      <c r="D15" s="9"/>
      <c r="E15" s="11">
        <v>-1.9</v>
      </c>
      <c r="F15" s="14">
        <v>1.900000688128E-2</v>
      </c>
      <c r="G15" s="15">
        <v>1.6999998279679997E-2</v>
      </c>
    </row>
    <row r="16" spans="1:7">
      <c r="A16" s="11">
        <v>-1.85</v>
      </c>
      <c r="B16" s="10">
        <v>0</v>
      </c>
      <c r="C16" s="9"/>
      <c r="D16" s="9"/>
      <c r="E16" s="11">
        <v>-1.85</v>
      </c>
      <c r="F16" s="14">
        <v>3.6000005160959997E-2</v>
      </c>
      <c r="G16" s="15">
        <v>1.6999998279680004E-2</v>
      </c>
    </row>
    <row r="17" spans="1:7">
      <c r="A17" s="11">
        <v>-1.8</v>
      </c>
      <c r="B17" s="10">
        <v>0</v>
      </c>
      <c r="C17" s="9"/>
      <c r="D17" s="9"/>
      <c r="E17" s="11">
        <v>-1.8</v>
      </c>
      <c r="F17" s="14">
        <v>5.3000003440640001E-2</v>
      </c>
      <c r="G17" s="15">
        <v>1.6999998279680004E-2</v>
      </c>
    </row>
    <row r="18" spans="1:7">
      <c r="A18" s="11">
        <v>-1.75</v>
      </c>
      <c r="B18" s="10">
        <v>0</v>
      </c>
      <c r="C18" s="9"/>
      <c r="D18" s="9"/>
      <c r="E18" s="11">
        <v>-1.75</v>
      </c>
      <c r="F18" s="14">
        <v>7.0000001720320004E-2</v>
      </c>
      <c r="G18" s="15">
        <v>1.699999827967999E-2</v>
      </c>
    </row>
    <row r="19" spans="1:7">
      <c r="A19" s="11">
        <v>-1.7</v>
      </c>
      <c r="B19" s="10">
        <v>0</v>
      </c>
      <c r="C19" s="9"/>
      <c r="D19" s="9"/>
      <c r="E19" s="11">
        <v>-1.7</v>
      </c>
      <c r="F19" s="14">
        <v>8.6999999999999994E-2</v>
      </c>
      <c r="G19" s="15">
        <v>1.6999998279680004E-2</v>
      </c>
    </row>
    <row r="20" spans="1:7">
      <c r="A20" s="11">
        <v>-1.65</v>
      </c>
      <c r="B20" s="10">
        <v>0</v>
      </c>
      <c r="C20" s="9"/>
      <c r="D20" s="9"/>
      <c r="E20" s="11">
        <v>-1.65</v>
      </c>
      <c r="F20" s="14">
        <v>0.10399999827968</v>
      </c>
      <c r="G20" s="15">
        <v>1.600000043008E-2</v>
      </c>
    </row>
    <row r="21" spans="1:7">
      <c r="A21" s="11">
        <v>-1.6</v>
      </c>
      <c r="B21" s="10">
        <v>0</v>
      </c>
      <c r="C21" s="9"/>
      <c r="D21" s="9"/>
      <c r="E21" s="11">
        <v>-1.6</v>
      </c>
      <c r="F21" s="14">
        <v>0.11999999870976</v>
      </c>
      <c r="G21" s="15">
        <v>1.6000000430080014E-2</v>
      </c>
    </row>
    <row r="22" spans="1:7">
      <c r="A22" s="11">
        <v>-1.55</v>
      </c>
      <c r="B22" s="10">
        <v>0</v>
      </c>
      <c r="C22" s="9"/>
      <c r="D22" s="9"/>
      <c r="E22" s="11">
        <v>-1.55</v>
      </c>
      <c r="F22" s="14">
        <v>0.13599999913984001</v>
      </c>
      <c r="G22" s="15">
        <v>1.6000000430079986E-2</v>
      </c>
    </row>
    <row r="23" spans="1:7">
      <c r="A23" s="11">
        <v>-1.5</v>
      </c>
      <c r="B23" s="10">
        <v>0</v>
      </c>
      <c r="C23" s="9"/>
      <c r="D23" s="9"/>
      <c r="E23" s="11">
        <v>-1.5</v>
      </c>
      <c r="F23" s="14">
        <v>0.15199999956992</v>
      </c>
      <c r="G23" s="15">
        <v>1.6000000430080014E-2</v>
      </c>
    </row>
    <row r="24" spans="1:7">
      <c r="A24" s="11">
        <v>-1.45</v>
      </c>
      <c r="B24" s="10">
        <v>0</v>
      </c>
      <c r="C24" s="9"/>
      <c r="D24" s="9"/>
      <c r="E24" s="11">
        <v>-1.45</v>
      </c>
      <c r="F24" s="14">
        <v>0.16800000000000001</v>
      </c>
      <c r="G24" s="15">
        <v>1.6000000430079986E-2</v>
      </c>
    </row>
    <row r="25" spans="1:7">
      <c r="A25" s="11">
        <v>-1.4</v>
      </c>
      <c r="B25" s="10">
        <v>0</v>
      </c>
      <c r="C25" s="9"/>
      <c r="D25" s="9"/>
      <c r="E25" s="11">
        <v>-1.4</v>
      </c>
      <c r="F25" s="14">
        <v>0.18400000043008</v>
      </c>
      <c r="G25" s="15">
        <v>1.4999999892479993E-2</v>
      </c>
    </row>
    <row r="26" spans="1:7">
      <c r="A26" s="11">
        <v>-1.35</v>
      </c>
      <c r="B26" s="10">
        <v>0</v>
      </c>
      <c r="C26" s="9"/>
      <c r="D26" s="9"/>
      <c r="E26" s="11">
        <v>-1.35</v>
      </c>
      <c r="F26" s="14">
        <v>0.19900000032255999</v>
      </c>
      <c r="G26" s="15">
        <v>1.499999989248002E-2</v>
      </c>
    </row>
    <row r="27" spans="1:7">
      <c r="A27" s="11">
        <v>-1.3</v>
      </c>
      <c r="B27" s="10">
        <v>0</v>
      </c>
      <c r="C27" s="9"/>
      <c r="D27" s="9"/>
      <c r="E27" s="11">
        <v>-1.3</v>
      </c>
      <c r="F27" s="14">
        <v>0.21400000021504001</v>
      </c>
      <c r="G27" s="15">
        <v>1.4999999892479993E-2</v>
      </c>
    </row>
    <row r="28" spans="1:7">
      <c r="A28" s="11">
        <v>-1.25</v>
      </c>
      <c r="B28" s="10">
        <v>0</v>
      </c>
      <c r="C28" s="9"/>
      <c r="D28" s="9"/>
      <c r="E28" s="11">
        <v>-1.25</v>
      </c>
      <c r="F28" s="14">
        <v>0.22900000010752</v>
      </c>
      <c r="G28" s="15">
        <v>1.4999999892479993E-2</v>
      </c>
    </row>
    <row r="29" spans="1:7">
      <c r="A29" s="11">
        <v>-1.2</v>
      </c>
      <c r="B29" s="10">
        <v>0</v>
      </c>
      <c r="C29" s="9"/>
      <c r="D29" s="9"/>
      <c r="E29" s="11">
        <v>-1.2</v>
      </c>
      <c r="F29" s="14">
        <v>0.24399999999999999</v>
      </c>
      <c r="G29" s="15">
        <v>1.499999989248002E-2</v>
      </c>
    </row>
    <row r="30" spans="1:7">
      <c r="A30" s="11">
        <v>-1.1499999999999999</v>
      </c>
      <c r="B30" s="10">
        <v>0</v>
      </c>
      <c r="C30" s="9"/>
      <c r="D30" s="9"/>
      <c r="E30" s="11">
        <v>-1.1499999999999999</v>
      </c>
      <c r="F30" s="14">
        <v>0.25899999989248002</v>
      </c>
      <c r="G30" s="15">
        <v>1.4000000026880011E-2</v>
      </c>
    </row>
    <row r="31" spans="1:7">
      <c r="A31" s="11">
        <v>-1.1000000000000001</v>
      </c>
      <c r="B31" s="14">
        <v>0</v>
      </c>
      <c r="C31" s="15">
        <v>1.7999999999999999E-2</v>
      </c>
      <c r="D31" s="9"/>
      <c r="E31" s="11">
        <v>-1.1000000000000001</v>
      </c>
      <c r="F31" s="14">
        <v>0.27299999991936003</v>
      </c>
      <c r="G31" s="15">
        <v>1.4000000026879955E-2</v>
      </c>
    </row>
    <row r="32" spans="1:7">
      <c r="A32" s="11">
        <v>-1.05</v>
      </c>
      <c r="B32" s="14">
        <v>1.7999999999999999E-2</v>
      </c>
      <c r="C32" s="15">
        <v>1.7999999999999999E-2</v>
      </c>
      <c r="D32" s="9"/>
      <c r="E32" s="11">
        <v>-1.05</v>
      </c>
      <c r="F32" s="14">
        <v>0.28699999994623998</v>
      </c>
      <c r="G32" s="15">
        <v>1.4000000026880011E-2</v>
      </c>
    </row>
    <row r="33" spans="1:7">
      <c r="A33" s="11">
        <v>-1.04</v>
      </c>
      <c r="B33" s="14">
        <v>3.5999999999999997E-2</v>
      </c>
      <c r="C33" s="15">
        <v>1.8000000000000002E-2</v>
      </c>
      <c r="D33" s="9"/>
      <c r="E33" s="11">
        <v>-1.04</v>
      </c>
      <c r="F33" s="14">
        <v>0.30099999997311999</v>
      </c>
      <c r="G33" s="15">
        <v>1.4000000026880011E-2</v>
      </c>
    </row>
    <row r="34" spans="1:7">
      <c r="A34" s="11">
        <v>-1.03</v>
      </c>
      <c r="B34" s="14">
        <v>5.3999999999999999E-2</v>
      </c>
      <c r="C34" s="15">
        <v>1.6999999999999994E-2</v>
      </c>
      <c r="D34" s="9"/>
      <c r="E34" s="11">
        <v>-1.03</v>
      </c>
      <c r="F34" s="14">
        <v>0.315</v>
      </c>
      <c r="G34" s="15">
        <v>1.4000000026880011E-2</v>
      </c>
    </row>
    <row r="35" spans="1:7">
      <c r="A35" s="11">
        <v>-1.02</v>
      </c>
      <c r="B35" s="14">
        <v>7.0999999999999994E-2</v>
      </c>
      <c r="C35" s="15">
        <v>1.7000000000000001E-2</v>
      </c>
      <c r="D35" s="9"/>
      <c r="E35" s="11">
        <v>-1.02</v>
      </c>
      <c r="F35" s="14">
        <v>0.32900000002688001</v>
      </c>
      <c r="G35" s="15">
        <v>1.2999999993279998E-2</v>
      </c>
    </row>
    <row r="36" spans="1:7">
      <c r="A36" s="11">
        <v>-1.01</v>
      </c>
      <c r="B36" s="14">
        <v>8.7999999999999995E-2</v>
      </c>
      <c r="C36" s="15">
        <v>1.7000000000000001E-2</v>
      </c>
      <c r="D36" s="9"/>
      <c r="E36" s="11">
        <v>-1.01</v>
      </c>
      <c r="F36" s="14">
        <v>0.34200000002016001</v>
      </c>
      <c r="G36" s="15">
        <v>1.2999999993279998E-2</v>
      </c>
    </row>
    <row r="37" spans="1:7">
      <c r="A37" s="11">
        <v>-1</v>
      </c>
      <c r="B37" s="14">
        <v>0.105</v>
      </c>
      <c r="C37" s="15">
        <v>1.7000000000000001E-2</v>
      </c>
      <c r="D37" s="9"/>
      <c r="E37" s="11">
        <v>-1</v>
      </c>
      <c r="F37" s="14">
        <v>0.35500000001344001</v>
      </c>
      <c r="G37" s="15">
        <v>1.2999999993279998E-2</v>
      </c>
    </row>
    <row r="38" spans="1:7">
      <c r="A38" s="11">
        <v>-0.99</v>
      </c>
      <c r="B38" s="14">
        <v>0.122</v>
      </c>
      <c r="C38" s="15">
        <v>1.6000000000000014E-2</v>
      </c>
      <c r="D38" s="9"/>
      <c r="E38" s="11">
        <v>-0.99</v>
      </c>
      <c r="F38" s="14">
        <v>0.36800000000672001</v>
      </c>
      <c r="G38" s="15">
        <v>1.2999999993279998E-2</v>
      </c>
    </row>
    <row r="39" spans="1:7">
      <c r="A39" s="11">
        <v>-0.98</v>
      </c>
      <c r="B39" s="14">
        <v>0.13800000000000001</v>
      </c>
      <c r="C39" s="15">
        <v>1.5999999999999986E-2</v>
      </c>
      <c r="D39" s="9"/>
      <c r="E39" s="11">
        <v>-0.98</v>
      </c>
      <c r="F39" s="14">
        <v>0.38100000000000001</v>
      </c>
      <c r="G39" s="15">
        <v>1.2999999993279998E-2</v>
      </c>
    </row>
    <row r="40" spans="1:7">
      <c r="A40" s="11">
        <v>-0.97</v>
      </c>
      <c r="B40" s="14">
        <v>0.154</v>
      </c>
      <c r="C40" s="15">
        <v>1.6000000000000014E-2</v>
      </c>
      <c r="D40" s="9"/>
      <c r="E40" s="11">
        <v>-0.97</v>
      </c>
      <c r="F40" s="14">
        <v>0.39399999999328</v>
      </c>
      <c r="G40" s="15">
        <v>1.200000000168E-2</v>
      </c>
    </row>
    <row r="41" spans="1:7">
      <c r="A41" s="11">
        <v>-0.96</v>
      </c>
      <c r="B41" s="14">
        <v>0.17</v>
      </c>
      <c r="C41" s="15">
        <v>1.5999999999999986E-2</v>
      </c>
      <c r="D41" s="9"/>
      <c r="E41" s="11">
        <v>-0.96</v>
      </c>
      <c r="F41" s="14">
        <v>0.40599999999496</v>
      </c>
      <c r="G41" s="15">
        <v>1.200000000168E-2</v>
      </c>
    </row>
    <row r="42" spans="1:7">
      <c r="A42" s="11">
        <v>-0.95</v>
      </c>
      <c r="B42" s="14">
        <v>0.186</v>
      </c>
      <c r="C42" s="15">
        <v>1.6000000000000014E-2</v>
      </c>
      <c r="D42" s="9"/>
      <c r="E42" s="11">
        <v>-0.95</v>
      </c>
      <c r="F42" s="14">
        <v>0.41799999999664</v>
      </c>
      <c r="G42" s="15">
        <v>1.200000000168E-2</v>
      </c>
    </row>
    <row r="43" spans="1:7">
      <c r="A43" s="11">
        <v>-0.94</v>
      </c>
      <c r="B43" s="14">
        <v>0.20200000000000001</v>
      </c>
      <c r="C43" s="15">
        <v>1.4999999999999986E-2</v>
      </c>
      <c r="D43" s="9"/>
      <c r="E43" s="11">
        <v>-0.94</v>
      </c>
      <c r="F43" s="14">
        <v>0.42999999999832</v>
      </c>
      <c r="G43" s="15">
        <v>1.200000000168E-2</v>
      </c>
    </row>
    <row r="44" spans="1:7">
      <c r="A44" s="11">
        <v>-0.93</v>
      </c>
      <c r="B44" s="14">
        <v>0.217</v>
      </c>
      <c r="C44" s="15">
        <v>1.5000000000000013E-2</v>
      </c>
      <c r="D44" s="9"/>
      <c r="E44" s="11">
        <v>-0.93</v>
      </c>
      <c r="F44" s="14">
        <v>0.442</v>
      </c>
      <c r="G44" s="15">
        <v>1.200000000168E-2</v>
      </c>
    </row>
    <row r="45" spans="1:7">
      <c r="A45" s="11">
        <v>-0.92</v>
      </c>
      <c r="B45" s="14">
        <v>0.23200000000000001</v>
      </c>
      <c r="C45" s="15">
        <v>1.4999999999999986E-2</v>
      </c>
      <c r="D45" s="9"/>
      <c r="E45" s="11">
        <v>-0.92</v>
      </c>
      <c r="F45" s="14">
        <v>0.45400000000168</v>
      </c>
      <c r="G45" s="15">
        <v>1.0999999999664001E-2</v>
      </c>
    </row>
    <row r="46" spans="1:7">
      <c r="A46" s="11">
        <v>-0.91</v>
      </c>
      <c r="B46" s="14">
        <v>0.247</v>
      </c>
      <c r="C46" s="15">
        <v>1.5000000000000013E-2</v>
      </c>
      <c r="D46" s="9"/>
      <c r="E46" s="11">
        <v>-0.91</v>
      </c>
      <c r="F46" s="14">
        <v>0.465000000001344</v>
      </c>
      <c r="G46" s="15">
        <v>1.0999999999664001E-2</v>
      </c>
    </row>
    <row r="47" spans="1:7">
      <c r="A47" s="11">
        <v>-0.9</v>
      </c>
      <c r="B47" s="14">
        <v>0.26200000000000001</v>
      </c>
      <c r="C47" s="15">
        <v>1.5000000000000013E-2</v>
      </c>
      <c r="D47" s="9"/>
      <c r="E47" s="11">
        <v>-0.9</v>
      </c>
      <c r="F47" s="14">
        <v>0.47600000000100801</v>
      </c>
      <c r="G47" s="15">
        <v>1.0999999999664001E-2</v>
      </c>
    </row>
    <row r="48" spans="1:7">
      <c r="A48" s="11">
        <v>-0.89</v>
      </c>
      <c r="B48" s="14">
        <v>0.27700000000000002</v>
      </c>
      <c r="C48" s="15">
        <v>1.3999999999999957E-2</v>
      </c>
      <c r="D48" s="9"/>
      <c r="E48" s="11">
        <v>-0.89</v>
      </c>
      <c r="F48" s="14">
        <v>0.48700000000067201</v>
      </c>
      <c r="G48" s="15">
        <v>1.0999999999664001E-2</v>
      </c>
    </row>
    <row r="49" spans="1:7">
      <c r="A49" s="11">
        <v>-0.88</v>
      </c>
      <c r="B49" s="14">
        <v>0.29099999999999998</v>
      </c>
      <c r="C49" s="15">
        <v>1.4000000000000012E-2</v>
      </c>
      <c r="D49" s="9"/>
      <c r="E49" s="11">
        <v>-0.88</v>
      </c>
      <c r="F49" s="14">
        <v>0.49800000000033601</v>
      </c>
      <c r="G49" s="15">
        <v>1.0999999999664001E-2</v>
      </c>
    </row>
    <row r="50" spans="1:7">
      <c r="A50" s="11">
        <v>-0.87</v>
      </c>
      <c r="B50" s="14">
        <v>0.30499999999999999</v>
      </c>
      <c r="C50" s="15">
        <v>1.4000000000000012E-2</v>
      </c>
      <c r="D50" s="9"/>
      <c r="E50" s="11">
        <v>-0.87</v>
      </c>
      <c r="F50" s="14">
        <v>0.50900000000000001</v>
      </c>
      <c r="G50" s="15">
        <v>1.0999999999663945E-2</v>
      </c>
    </row>
    <row r="51" spans="1:7">
      <c r="A51" s="11">
        <v>-0.86</v>
      </c>
      <c r="B51" s="14">
        <v>0.31900000000000001</v>
      </c>
      <c r="C51" s="15">
        <v>1.4000000000000012E-2</v>
      </c>
      <c r="D51" s="9"/>
      <c r="E51" s="11">
        <v>-0.86</v>
      </c>
      <c r="F51" s="14">
        <v>0.51999999999966395</v>
      </c>
      <c r="G51" s="15">
        <v>1.0000000000056075E-2</v>
      </c>
    </row>
    <row r="52" spans="1:7">
      <c r="A52" s="11">
        <v>-0.85</v>
      </c>
      <c r="B52" s="14">
        <v>0.33300000000000002</v>
      </c>
      <c r="C52" s="15">
        <v>1.3999999999999957E-2</v>
      </c>
      <c r="D52" s="9"/>
      <c r="E52" s="11">
        <v>-0.85</v>
      </c>
      <c r="F52" s="14">
        <v>0.52999999999972003</v>
      </c>
      <c r="G52" s="15">
        <v>1.0000000000055964E-2</v>
      </c>
    </row>
    <row r="53" spans="1:7">
      <c r="A53" s="11">
        <v>-0.84</v>
      </c>
      <c r="B53" s="14">
        <v>0.34699999999999998</v>
      </c>
      <c r="C53" s="15">
        <v>1.3000000000000012E-2</v>
      </c>
      <c r="D53" s="9"/>
      <c r="E53" s="11">
        <v>-0.84</v>
      </c>
      <c r="F53" s="14">
        <v>0.53999999999977599</v>
      </c>
      <c r="G53" s="15">
        <v>1.0000000000055964E-2</v>
      </c>
    </row>
    <row r="54" spans="1:7">
      <c r="A54" s="11">
        <v>-0.83</v>
      </c>
      <c r="B54" s="14">
        <v>0.36</v>
      </c>
      <c r="C54" s="15">
        <v>1.3000000000000012E-2</v>
      </c>
      <c r="D54" s="9"/>
      <c r="E54" s="11">
        <v>-0.83</v>
      </c>
      <c r="F54" s="14">
        <v>0.54999999999983196</v>
      </c>
      <c r="G54" s="15">
        <v>1.0000000000056075E-2</v>
      </c>
    </row>
    <row r="55" spans="1:7">
      <c r="A55" s="11">
        <v>-0.82</v>
      </c>
      <c r="B55" s="14">
        <v>0.373</v>
      </c>
      <c r="C55" s="15">
        <v>1.3000000000000012E-2</v>
      </c>
      <c r="D55" s="9"/>
      <c r="E55" s="11">
        <v>-0.82</v>
      </c>
      <c r="F55" s="14">
        <v>0.55999999999988803</v>
      </c>
      <c r="G55" s="15">
        <v>1.0000000000055964E-2</v>
      </c>
    </row>
    <row r="56" spans="1:7">
      <c r="A56" s="11">
        <v>-0.81</v>
      </c>
      <c r="B56" s="14">
        <v>0.38600000000000001</v>
      </c>
      <c r="C56" s="15">
        <v>1.3000000000000012E-2</v>
      </c>
      <c r="D56" s="9"/>
      <c r="E56" s="11">
        <v>-0.81</v>
      </c>
      <c r="F56" s="14">
        <v>0.569999999999944</v>
      </c>
      <c r="G56" s="15">
        <v>1.0000000000055964E-2</v>
      </c>
    </row>
    <row r="57" spans="1:7">
      <c r="A57" s="11">
        <v>-0.8</v>
      </c>
      <c r="B57" s="14">
        <v>0.39900000000000002</v>
      </c>
      <c r="C57" s="15">
        <v>1.2999999999999956E-2</v>
      </c>
      <c r="D57" s="9"/>
      <c r="E57" s="11">
        <v>-0.8</v>
      </c>
      <c r="F57" s="14">
        <v>0.57999999999999996</v>
      </c>
      <c r="G57" s="15">
        <v>1.0000000000056075E-2</v>
      </c>
    </row>
    <row r="58" spans="1:7">
      <c r="A58" s="11">
        <v>-0.79</v>
      </c>
      <c r="B58" s="14">
        <v>0.41199999999999998</v>
      </c>
      <c r="C58" s="15">
        <v>1.2000000000000011E-2</v>
      </c>
      <c r="D58" s="9"/>
      <c r="E58" s="11">
        <v>-0.79</v>
      </c>
      <c r="F58" s="14">
        <v>0.59000000000005604</v>
      </c>
      <c r="G58" s="15">
        <v>8.9999999999920144E-3</v>
      </c>
    </row>
    <row r="59" spans="1:7">
      <c r="A59" s="11">
        <v>-0.78</v>
      </c>
      <c r="B59" s="14">
        <v>0.42399999999999999</v>
      </c>
      <c r="C59" s="15">
        <v>1.2000000000000011E-2</v>
      </c>
      <c r="D59" s="9"/>
      <c r="E59" s="11">
        <v>-0.78</v>
      </c>
      <c r="F59" s="14">
        <v>0.59900000000004805</v>
      </c>
      <c r="G59" s="15">
        <v>8.9999999999919034E-3</v>
      </c>
    </row>
    <row r="60" spans="1:7">
      <c r="A60" s="11">
        <v>-0.77</v>
      </c>
      <c r="B60" s="14">
        <v>0.436</v>
      </c>
      <c r="C60" s="15">
        <v>1.2000000000000011E-2</v>
      </c>
      <c r="D60" s="9"/>
      <c r="E60" s="11">
        <v>-0.77</v>
      </c>
      <c r="F60" s="14">
        <v>0.60800000000003995</v>
      </c>
      <c r="G60" s="15">
        <v>8.9999999999920144E-3</v>
      </c>
    </row>
    <row r="61" spans="1:7">
      <c r="A61" s="11">
        <v>-0.76</v>
      </c>
      <c r="B61" s="14">
        <v>0.44800000000000001</v>
      </c>
      <c r="C61" s="15">
        <v>1.2000000000000011E-2</v>
      </c>
      <c r="D61" s="9"/>
      <c r="E61" s="11">
        <v>-0.76</v>
      </c>
      <c r="F61" s="14">
        <v>0.61700000000003197</v>
      </c>
      <c r="G61" s="15">
        <v>8.9999999999920144E-3</v>
      </c>
    </row>
    <row r="62" spans="1:7">
      <c r="A62" s="11">
        <v>-0.75</v>
      </c>
      <c r="B62" s="14">
        <v>0.46</v>
      </c>
      <c r="C62" s="15">
        <v>1.1999999999999955E-2</v>
      </c>
      <c r="D62" s="9"/>
      <c r="E62" s="11">
        <v>-0.75</v>
      </c>
      <c r="F62" s="14">
        <v>0.62600000000002398</v>
      </c>
      <c r="G62" s="15">
        <v>8.9999999999920144E-3</v>
      </c>
    </row>
    <row r="63" spans="1:7">
      <c r="A63" s="11">
        <v>-0.74</v>
      </c>
      <c r="B63" s="14">
        <v>0.47199999999999998</v>
      </c>
      <c r="C63" s="15">
        <v>1.100000000000001E-2</v>
      </c>
      <c r="D63" s="9"/>
      <c r="E63" s="11">
        <v>-0.74</v>
      </c>
      <c r="F63" s="14">
        <v>0.635000000000016</v>
      </c>
      <c r="G63" s="15">
        <v>8.9999999999920144E-3</v>
      </c>
    </row>
    <row r="64" spans="1:7">
      <c r="A64" s="11">
        <v>-0.73</v>
      </c>
      <c r="B64" s="14">
        <v>0.48299999999999998</v>
      </c>
      <c r="C64" s="15">
        <v>1.100000000000001E-2</v>
      </c>
      <c r="D64" s="9"/>
      <c r="E64" s="11">
        <v>-0.73</v>
      </c>
      <c r="F64" s="14">
        <v>0.64400000000000801</v>
      </c>
      <c r="G64" s="15">
        <v>8.9999999999920144E-3</v>
      </c>
    </row>
    <row r="65" spans="1:7">
      <c r="A65" s="11">
        <v>-0.72</v>
      </c>
      <c r="B65" s="14">
        <v>0.49399999999999999</v>
      </c>
      <c r="C65" s="15">
        <v>1.100000000000001E-2</v>
      </c>
      <c r="D65" s="9"/>
      <c r="E65" s="11">
        <v>-0.72</v>
      </c>
      <c r="F65" s="14">
        <v>0.65300000000000002</v>
      </c>
      <c r="G65" s="15">
        <v>8.9999999999920144E-3</v>
      </c>
    </row>
    <row r="66" spans="1:7">
      <c r="A66" s="11">
        <v>-0.71</v>
      </c>
      <c r="B66" s="14">
        <v>0.505</v>
      </c>
      <c r="C66" s="15">
        <v>1.100000000000001E-2</v>
      </c>
      <c r="D66" s="9"/>
      <c r="E66" s="11">
        <v>-0.71</v>
      </c>
      <c r="F66" s="14">
        <v>0.66199999999999204</v>
      </c>
      <c r="G66" s="15">
        <v>8.0000000000010063E-3</v>
      </c>
    </row>
    <row r="67" spans="1:7">
      <c r="A67" s="11">
        <v>-0.7</v>
      </c>
      <c r="B67" s="14">
        <v>0.51600000000000001</v>
      </c>
      <c r="C67" s="15">
        <v>1.100000000000001E-2</v>
      </c>
      <c r="D67" s="9"/>
      <c r="E67" s="11">
        <v>-0.7</v>
      </c>
      <c r="F67" s="14">
        <v>0.66999999999999305</v>
      </c>
      <c r="G67" s="15">
        <v>8.0000000000010063E-3</v>
      </c>
    </row>
    <row r="68" spans="1:7">
      <c r="A68" s="11">
        <v>-0.69</v>
      </c>
      <c r="B68" s="14">
        <v>0.52700000000000002</v>
      </c>
      <c r="C68" s="15">
        <v>1.100000000000001E-2</v>
      </c>
      <c r="D68" s="9"/>
      <c r="E68" s="11">
        <v>-0.69</v>
      </c>
      <c r="F68" s="14">
        <v>0.67799999999999405</v>
      </c>
      <c r="G68" s="15">
        <v>8.0000000000008953E-3</v>
      </c>
    </row>
    <row r="69" spans="1:7">
      <c r="A69" s="11">
        <v>-0.68</v>
      </c>
      <c r="B69" s="14">
        <v>0.53800000000000003</v>
      </c>
      <c r="C69" s="15">
        <v>1.0000000000000009E-2</v>
      </c>
      <c r="D69" s="9"/>
      <c r="E69" s="11">
        <v>-0.68</v>
      </c>
      <c r="F69" s="14">
        <v>0.68599999999999495</v>
      </c>
      <c r="G69" s="15">
        <v>8.0000000000010063E-3</v>
      </c>
    </row>
    <row r="70" spans="1:7">
      <c r="A70" s="11">
        <v>-0.67</v>
      </c>
      <c r="B70" s="14">
        <v>0.54800000000000004</v>
      </c>
      <c r="C70" s="15">
        <v>1.0000000000000009E-2</v>
      </c>
      <c r="D70" s="9"/>
      <c r="E70" s="11">
        <v>-0.67</v>
      </c>
      <c r="F70" s="14">
        <v>0.69399999999999595</v>
      </c>
      <c r="G70" s="15">
        <v>8.0000000000010063E-3</v>
      </c>
    </row>
    <row r="71" spans="1:7">
      <c r="A71" s="11">
        <v>-0.66</v>
      </c>
      <c r="B71" s="14">
        <v>0.55800000000000005</v>
      </c>
      <c r="C71" s="15">
        <v>9.9999999999998979E-3</v>
      </c>
      <c r="D71" s="9"/>
      <c r="E71" s="11">
        <v>-0.66</v>
      </c>
      <c r="F71" s="14">
        <v>0.70199999999999696</v>
      </c>
      <c r="G71" s="15">
        <v>8.0000000000010063E-3</v>
      </c>
    </row>
    <row r="72" spans="1:7">
      <c r="A72" s="11">
        <v>-0.65</v>
      </c>
      <c r="B72" s="14">
        <v>0.56799999999999995</v>
      </c>
      <c r="C72" s="15">
        <v>1.0000000000000009E-2</v>
      </c>
      <c r="D72" s="9"/>
      <c r="E72" s="11">
        <v>-0.65</v>
      </c>
      <c r="F72" s="14">
        <v>0.70999999999999797</v>
      </c>
      <c r="G72" s="15">
        <v>8.0000000000010063E-3</v>
      </c>
    </row>
    <row r="73" spans="1:7">
      <c r="A73" s="11">
        <v>-0.64</v>
      </c>
      <c r="B73" s="14">
        <v>0.57799999999999996</v>
      </c>
      <c r="C73" s="15">
        <v>1.0000000000000009E-2</v>
      </c>
      <c r="D73" s="9"/>
      <c r="E73" s="11">
        <v>-0.64</v>
      </c>
      <c r="F73" s="14">
        <v>0.71799999999999897</v>
      </c>
      <c r="G73" s="15">
        <v>8.0000000000010063E-3</v>
      </c>
    </row>
    <row r="74" spans="1:7">
      <c r="A74" s="11">
        <v>-0.63</v>
      </c>
      <c r="B74" s="14">
        <v>0.58799999999999997</v>
      </c>
      <c r="C74" s="15">
        <v>1.0000000000000009E-2</v>
      </c>
      <c r="D74" s="9"/>
      <c r="E74" s="11">
        <v>-0.63</v>
      </c>
      <c r="F74" s="14">
        <v>0.72599999999999998</v>
      </c>
      <c r="G74" s="15">
        <v>8.0000000000010063E-3</v>
      </c>
    </row>
    <row r="75" spans="1:7">
      <c r="A75" s="11">
        <v>-0.62</v>
      </c>
      <c r="B75" s="14">
        <v>0.59799999999999998</v>
      </c>
      <c r="C75" s="15">
        <v>1.0000000000000009E-2</v>
      </c>
      <c r="D75" s="9"/>
      <c r="E75" s="11">
        <v>-0.62</v>
      </c>
      <c r="F75" s="14">
        <v>0.73400000000000098</v>
      </c>
      <c r="G75" s="15">
        <v>7.0000000000000062E-3</v>
      </c>
    </row>
    <row r="76" spans="1:7">
      <c r="A76" s="11">
        <v>-0.61</v>
      </c>
      <c r="B76" s="14">
        <v>0.60799999999999998</v>
      </c>
      <c r="C76" s="15">
        <v>9.000000000000008E-3</v>
      </c>
      <c r="D76" s="9"/>
      <c r="E76" s="11">
        <v>-0.61</v>
      </c>
      <c r="F76" s="14">
        <v>0.74100000000000099</v>
      </c>
      <c r="G76" s="15">
        <v>7.0000000000000062E-3</v>
      </c>
    </row>
    <row r="77" spans="1:7">
      <c r="A77" s="11">
        <v>-0.6</v>
      </c>
      <c r="B77" s="14">
        <v>0.61699999999999999</v>
      </c>
      <c r="C77" s="15">
        <v>9.000000000000008E-3</v>
      </c>
      <c r="D77" s="9"/>
      <c r="E77" s="11">
        <v>-0.6</v>
      </c>
      <c r="F77" s="14">
        <v>0.748000000000001</v>
      </c>
      <c r="G77" s="15">
        <v>7.0000000000000062E-3</v>
      </c>
    </row>
    <row r="78" spans="1:7">
      <c r="A78" s="11">
        <v>-0.59</v>
      </c>
      <c r="B78" s="14">
        <v>0.626</v>
      </c>
      <c r="C78" s="15">
        <v>9.000000000000008E-3</v>
      </c>
      <c r="D78" s="9"/>
      <c r="E78" s="11">
        <v>-0.59</v>
      </c>
      <c r="F78" s="14">
        <v>0.755000000000001</v>
      </c>
      <c r="G78" s="15">
        <v>7.0000000000000062E-3</v>
      </c>
    </row>
    <row r="79" spans="1:7">
      <c r="A79" s="11">
        <v>-0.57999999999999996</v>
      </c>
      <c r="B79" s="14">
        <v>0.63500000000000001</v>
      </c>
      <c r="C79" s="15">
        <v>9.000000000000008E-3</v>
      </c>
      <c r="D79" s="9"/>
      <c r="E79" s="11">
        <v>-0.57999999999999996</v>
      </c>
      <c r="F79" s="14">
        <v>0.76200000000000101</v>
      </c>
      <c r="G79" s="15">
        <v>7.0000000000000062E-3</v>
      </c>
    </row>
    <row r="80" spans="1:7">
      <c r="A80" s="11">
        <v>-0.56999999999999995</v>
      </c>
      <c r="B80" s="14">
        <v>0.64400000000000002</v>
      </c>
      <c r="C80" s="15">
        <v>9.000000000000008E-3</v>
      </c>
      <c r="D80" s="9"/>
      <c r="E80" s="11">
        <v>-0.56999999999999995</v>
      </c>
      <c r="F80" s="14">
        <v>0.76900000000000102</v>
      </c>
      <c r="G80" s="15">
        <v>7.0000000000000062E-3</v>
      </c>
    </row>
    <row r="81" spans="1:7">
      <c r="A81" s="11">
        <v>-0.56000000000000005</v>
      </c>
      <c r="B81" s="14">
        <v>0.65300000000000002</v>
      </c>
      <c r="C81" s="15">
        <v>9.000000000000008E-3</v>
      </c>
      <c r="D81" s="9"/>
      <c r="E81" s="11">
        <v>-0.56000000000000005</v>
      </c>
      <c r="F81" s="14">
        <v>0.77600000000000102</v>
      </c>
      <c r="G81" s="15">
        <v>6.999999999999007E-3</v>
      </c>
    </row>
    <row r="82" spans="1:7">
      <c r="A82" s="11">
        <v>-0.55000000000000004</v>
      </c>
      <c r="B82" s="14">
        <v>0.66200000000000003</v>
      </c>
      <c r="C82" s="15">
        <v>9.000000000000008E-3</v>
      </c>
      <c r="D82" s="9"/>
      <c r="E82" s="11">
        <v>-0.55000000000000004</v>
      </c>
      <c r="F82" s="14">
        <v>0.78300000000000003</v>
      </c>
      <c r="G82" s="15">
        <v>7.0000000000000062E-3</v>
      </c>
    </row>
    <row r="83" spans="1:7">
      <c r="A83" s="11">
        <v>-0.54</v>
      </c>
      <c r="B83" s="14">
        <v>0.67100000000000004</v>
      </c>
      <c r="C83" s="15">
        <v>9.000000000000008E-3</v>
      </c>
      <c r="D83" s="9"/>
      <c r="E83" s="11">
        <v>-0.54</v>
      </c>
      <c r="F83" s="14">
        <v>0.79</v>
      </c>
      <c r="G83" s="15">
        <v>7.0000000000000062E-3</v>
      </c>
    </row>
    <row r="84" spans="1:7">
      <c r="A84" s="11">
        <v>-0.53</v>
      </c>
      <c r="B84" s="14">
        <v>0.68</v>
      </c>
      <c r="C84" s="15">
        <v>7.9999999999998961E-3</v>
      </c>
      <c r="D84" s="9"/>
      <c r="E84" s="11">
        <v>-0.53</v>
      </c>
      <c r="F84" s="14">
        <v>0.79700000000000004</v>
      </c>
      <c r="G84" s="15">
        <v>7.0000000000000062E-3</v>
      </c>
    </row>
    <row r="85" spans="1:7">
      <c r="A85" s="11">
        <v>-0.52</v>
      </c>
      <c r="B85" s="14">
        <v>0.68799999999999994</v>
      </c>
      <c r="C85" s="15">
        <v>8.0000000000000071E-3</v>
      </c>
      <c r="D85" s="9"/>
      <c r="E85" s="11">
        <v>-0.52</v>
      </c>
      <c r="F85" s="14">
        <v>0.80400000000000005</v>
      </c>
      <c r="G85" s="15">
        <v>7.0000000000000062E-3</v>
      </c>
    </row>
    <row r="86" spans="1:7">
      <c r="A86" s="11">
        <v>-0.51</v>
      </c>
      <c r="B86" s="14">
        <v>0.69599999999999995</v>
      </c>
      <c r="C86" s="15">
        <v>8.0000000000000071E-3</v>
      </c>
      <c r="D86" s="9"/>
      <c r="E86" s="11">
        <v>-0.51</v>
      </c>
      <c r="F86" s="14">
        <v>0.81100000000000005</v>
      </c>
      <c r="G86" s="15">
        <v>6.9999999999998952E-3</v>
      </c>
    </row>
    <row r="87" spans="1:7">
      <c r="A87" s="11">
        <v>-0.5</v>
      </c>
      <c r="B87" s="14">
        <v>0.70399999999999996</v>
      </c>
      <c r="C87" s="15">
        <v>8.0000000000000071E-3</v>
      </c>
      <c r="D87" s="9"/>
      <c r="E87" s="11">
        <v>-0.5</v>
      </c>
      <c r="F87" s="14">
        <v>0.81799999999999995</v>
      </c>
      <c r="G87" s="15">
        <v>6.0000000000000053E-3</v>
      </c>
    </row>
    <row r="88" spans="1:7">
      <c r="A88" s="11">
        <v>-0.49</v>
      </c>
      <c r="B88" s="14">
        <v>0.71199999999999997</v>
      </c>
      <c r="C88" s="15">
        <v>8.0000000000000071E-3</v>
      </c>
      <c r="D88" s="9"/>
      <c r="E88" s="11">
        <v>-0.49</v>
      </c>
      <c r="F88" s="14">
        <v>0.82399999999999995</v>
      </c>
      <c r="G88" s="15">
        <v>6.0000000000000053E-3</v>
      </c>
    </row>
    <row r="89" spans="1:7">
      <c r="A89" s="11">
        <v>-0.48</v>
      </c>
      <c r="B89" s="14">
        <v>0.72</v>
      </c>
      <c r="C89" s="15">
        <v>8.0000000000000071E-3</v>
      </c>
      <c r="D89" s="9"/>
      <c r="E89" s="11">
        <v>-0.48</v>
      </c>
      <c r="F89" s="14">
        <v>0.83</v>
      </c>
      <c r="G89" s="15">
        <v>6.0000000000000053E-3</v>
      </c>
    </row>
    <row r="90" spans="1:7">
      <c r="A90" s="11">
        <v>-0.47</v>
      </c>
      <c r="B90" s="14">
        <v>0.72799999999999998</v>
      </c>
      <c r="C90" s="15">
        <v>8.0000000000000071E-3</v>
      </c>
      <c r="D90" s="9"/>
      <c r="E90" s="11">
        <v>-0.47</v>
      </c>
      <c r="F90" s="14">
        <v>0.83599999999999997</v>
      </c>
      <c r="G90" s="15">
        <v>6.0000000000000053E-3</v>
      </c>
    </row>
    <row r="91" spans="1:7">
      <c r="A91" s="11">
        <v>-0.46</v>
      </c>
      <c r="B91" s="14">
        <v>0.73599999999999999</v>
      </c>
      <c r="C91" s="15">
        <v>8.0000000000000071E-3</v>
      </c>
      <c r="D91" s="9"/>
      <c r="E91" s="11">
        <v>-0.46</v>
      </c>
      <c r="F91" s="14">
        <v>0.84199999999999997</v>
      </c>
      <c r="G91" s="15">
        <v>6.0000000000000053E-3</v>
      </c>
    </row>
    <row r="92" spans="1:7">
      <c r="A92" s="11">
        <v>-0.45</v>
      </c>
      <c r="B92" s="14">
        <v>0.74399999999999999</v>
      </c>
      <c r="C92" s="15">
        <v>8.0000000000000071E-3</v>
      </c>
      <c r="D92" s="9"/>
      <c r="E92" s="11">
        <v>-0.45</v>
      </c>
      <c r="F92" s="14">
        <v>0.84799999999999998</v>
      </c>
      <c r="G92" s="15">
        <v>6.0000000000000053E-3</v>
      </c>
    </row>
    <row r="93" spans="1:7">
      <c r="A93" s="11">
        <v>-0.44</v>
      </c>
      <c r="B93" s="14">
        <v>0.752</v>
      </c>
      <c r="C93" s="15">
        <v>7.0000000000000062E-3</v>
      </c>
      <c r="D93" s="9"/>
      <c r="E93" s="11">
        <v>-0.44</v>
      </c>
      <c r="F93" s="14">
        <v>0.85399999999999998</v>
      </c>
      <c r="G93" s="15">
        <v>6.0000000000000053E-3</v>
      </c>
    </row>
    <row r="94" spans="1:7">
      <c r="A94" s="11">
        <v>-0.43</v>
      </c>
      <c r="B94" s="14">
        <v>0.75900000000000001</v>
      </c>
      <c r="C94" s="15">
        <v>7.0000000000000062E-3</v>
      </c>
      <c r="D94" s="9"/>
      <c r="E94" s="11">
        <v>-0.43</v>
      </c>
      <c r="F94" s="14">
        <v>0.86</v>
      </c>
      <c r="G94" s="15">
        <v>6.0000000000000053E-3</v>
      </c>
    </row>
    <row r="95" spans="1:7">
      <c r="A95" s="11">
        <v>-0.42</v>
      </c>
      <c r="B95" s="14">
        <v>0.76600000000000001</v>
      </c>
      <c r="C95" s="15">
        <v>7.0000000000000062E-3</v>
      </c>
      <c r="D95" s="9"/>
      <c r="E95" s="11">
        <v>-0.42</v>
      </c>
      <c r="F95" s="14">
        <v>0.86599999999999999</v>
      </c>
      <c r="G95" s="15">
        <v>6.0000000000000053E-3</v>
      </c>
    </row>
    <row r="96" spans="1:7">
      <c r="A96" s="11">
        <v>-0.41</v>
      </c>
      <c r="B96" s="14">
        <v>0.77300000000000002</v>
      </c>
      <c r="C96" s="15">
        <v>7.0000000000000062E-3</v>
      </c>
      <c r="D96" s="9"/>
      <c r="E96" s="11">
        <v>-0.41</v>
      </c>
      <c r="F96" s="14">
        <v>0.872</v>
      </c>
      <c r="G96" s="15">
        <v>6.0000000000000053E-3</v>
      </c>
    </row>
    <row r="97" spans="1:7">
      <c r="A97" s="11">
        <v>-0.4</v>
      </c>
      <c r="B97" s="14">
        <v>0.78</v>
      </c>
      <c r="C97" s="15">
        <v>7.0000000000000062E-3</v>
      </c>
      <c r="D97" s="9"/>
      <c r="E97" s="11">
        <v>-0.4</v>
      </c>
      <c r="F97" s="14">
        <v>0.878</v>
      </c>
      <c r="G97" s="15">
        <v>6.0000000000000053E-3</v>
      </c>
    </row>
    <row r="98" spans="1:7">
      <c r="A98" s="11">
        <v>-0.39</v>
      </c>
      <c r="B98" s="14">
        <v>0.78700000000000003</v>
      </c>
      <c r="C98" s="15">
        <v>7.0000000000000062E-3</v>
      </c>
      <c r="D98" s="9"/>
      <c r="E98" s="11">
        <v>-0.39</v>
      </c>
      <c r="F98" s="14">
        <v>0.88400000000000001</v>
      </c>
      <c r="G98" s="15">
        <v>6.0000000000000053E-3</v>
      </c>
    </row>
    <row r="99" spans="1:7">
      <c r="A99" s="11">
        <v>-0.38</v>
      </c>
      <c r="B99" s="14">
        <v>0.79400000000000004</v>
      </c>
      <c r="C99" s="15">
        <v>7.0000000000000062E-3</v>
      </c>
      <c r="D99" s="9"/>
      <c r="E99" s="11">
        <v>-0.38</v>
      </c>
      <c r="F99" s="14">
        <v>0.89</v>
      </c>
      <c r="G99" s="15">
        <v>6.0000000000000053E-3</v>
      </c>
    </row>
    <row r="100" spans="1:7">
      <c r="A100" s="11">
        <v>-0.37</v>
      </c>
      <c r="B100" s="14">
        <v>0.80100000000000005</v>
      </c>
      <c r="C100" s="15">
        <v>7.0000000000000062E-3</v>
      </c>
      <c r="D100" s="9"/>
      <c r="E100" s="11">
        <v>-0.37</v>
      </c>
      <c r="F100" s="14">
        <v>0.89600000000000002</v>
      </c>
      <c r="G100" s="15">
        <v>6.0000000000000053E-3</v>
      </c>
    </row>
    <row r="101" spans="1:7">
      <c r="A101" s="11">
        <v>-0.36</v>
      </c>
      <c r="B101" s="14">
        <v>0.80800000000000005</v>
      </c>
      <c r="C101" s="15">
        <v>6.9999999999998952E-3</v>
      </c>
      <c r="D101" s="9"/>
      <c r="E101" s="11">
        <v>-0.36</v>
      </c>
      <c r="F101" s="14">
        <v>0.90200000000000002</v>
      </c>
      <c r="G101" s="15">
        <v>5.0000000000000044E-3</v>
      </c>
    </row>
    <row r="102" spans="1:7">
      <c r="A102" s="11">
        <v>-0.35</v>
      </c>
      <c r="B102" s="14">
        <v>0.81499999999999995</v>
      </c>
      <c r="C102" s="15">
        <v>7.0000000000000062E-3</v>
      </c>
      <c r="D102" s="9"/>
      <c r="E102" s="11">
        <v>-0.35</v>
      </c>
      <c r="F102" s="14">
        <v>0.90700000000000003</v>
      </c>
      <c r="G102" s="15">
        <v>5.0000000000000044E-3</v>
      </c>
    </row>
    <row r="103" spans="1:7">
      <c r="A103" s="11">
        <v>-0.34</v>
      </c>
      <c r="B103" s="14">
        <v>0.82199999999999995</v>
      </c>
      <c r="C103" s="15">
        <v>7.0000000000000062E-3</v>
      </c>
      <c r="D103" s="9"/>
      <c r="E103" s="11">
        <v>-0.34</v>
      </c>
      <c r="F103" s="14">
        <v>0.91200000000000003</v>
      </c>
      <c r="G103" s="15">
        <v>5.0000000000000044E-3</v>
      </c>
    </row>
    <row r="104" spans="1:7">
      <c r="A104" s="11">
        <v>-0.33</v>
      </c>
      <c r="B104" s="14">
        <v>0.82899999999999996</v>
      </c>
      <c r="C104" s="15">
        <v>7.0000000000000062E-3</v>
      </c>
      <c r="D104" s="9"/>
      <c r="E104" s="11">
        <v>-0.33</v>
      </c>
      <c r="F104" s="14">
        <v>0.91700000000000004</v>
      </c>
      <c r="G104" s="15">
        <v>5.0000000000000044E-3</v>
      </c>
    </row>
    <row r="105" spans="1:7">
      <c r="A105" s="11">
        <v>-0.32</v>
      </c>
      <c r="B105" s="14">
        <v>0.83599999999999997</v>
      </c>
      <c r="C105" s="15">
        <v>6.0000000000000053E-3</v>
      </c>
      <c r="D105" s="9"/>
      <c r="E105" s="11">
        <v>-0.32</v>
      </c>
      <c r="F105" s="14">
        <v>0.92200000000000004</v>
      </c>
      <c r="G105" s="15">
        <v>5.0000000000000044E-3</v>
      </c>
    </row>
    <row r="106" spans="1:7">
      <c r="A106" s="11">
        <v>-0.31</v>
      </c>
      <c r="B106" s="14">
        <v>0.84199999999999997</v>
      </c>
      <c r="C106" s="15">
        <v>6.0000000000000053E-3</v>
      </c>
      <c r="D106" s="9"/>
      <c r="E106" s="11">
        <v>-0.31</v>
      </c>
      <c r="F106" s="14">
        <v>0.92700000000000005</v>
      </c>
      <c r="G106" s="15">
        <v>5.0000000000000044E-3</v>
      </c>
    </row>
    <row r="107" spans="1:7">
      <c r="A107" s="11">
        <v>-0.3</v>
      </c>
      <c r="B107" s="14">
        <v>0.84799999999999998</v>
      </c>
      <c r="C107" s="15">
        <v>6.0000000000000053E-3</v>
      </c>
      <c r="D107" s="9"/>
      <c r="E107" s="11">
        <v>-0.3</v>
      </c>
      <c r="F107" s="14">
        <v>0.93200000000000005</v>
      </c>
      <c r="G107" s="15">
        <v>5.0000000000000044E-3</v>
      </c>
    </row>
    <row r="108" spans="1:7">
      <c r="A108" s="11">
        <v>-0.28999999999999998</v>
      </c>
      <c r="B108" s="14">
        <v>0.85399999999999998</v>
      </c>
      <c r="C108" s="15">
        <v>6.0000000000000053E-3</v>
      </c>
      <c r="D108" s="9"/>
      <c r="E108" s="11">
        <v>-0.28999999999999998</v>
      </c>
      <c r="F108" s="14">
        <v>0.93700000000000006</v>
      </c>
      <c r="G108" s="15">
        <v>4.9999999999998934E-3</v>
      </c>
    </row>
    <row r="109" spans="1:7">
      <c r="A109" s="11">
        <v>-0.28000000000000003</v>
      </c>
      <c r="B109" s="14">
        <v>0.86</v>
      </c>
      <c r="C109" s="15">
        <v>6.0000000000000053E-3</v>
      </c>
      <c r="D109" s="9"/>
      <c r="E109" s="11">
        <v>-0.28000000000000003</v>
      </c>
      <c r="F109" s="14">
        <v>0.94199999999999995</v>
      </c>
      <c r="G109" s="15">
        <v>5.0000000000000044E-3</v>
      </c>
    </row>
    <row r="110" spans="1:7">
      <c r="A110" s="11">
        <v>-0.27</v>
      </c>
      <c r="B110" s="14">
        <v>0.86599999999999999</v>
      </c>
      <c r="C110" s="15">
        <v>6.0000000000000053E-3</v>
      </c>
      <c r="D110" s="9"/>
      <c r="E110" s="11">
        <v>-0.27</v>
      </c>
      <c r="F110" s="14">
        <v>0.94699999999999995</v>
      </c>
      <c r="G110" s="15">
        <v>5.0000000000000044E-3</v>
      </c>
    </row>
    <row r="111" spans="1:7">
      <c r="A111" s="11">
        <v>-0.26</v>
      </c>
      <c r="B111" s="14">
        <v>0.872</v>
      </c>
      <c r="C111" s="15">
        <v>6.0000000000000053E-3</v>
      </c>
      <c r="D111" s="9"/>
      <c r="E111" s="11">
        <v>-0.26</v>
      </c>
      <c r="F111" s="14">
        <v>0.95199999999999996</v>
      </c>
      <c r="G111" s="15">
        <v>5.0000000000000044E-3</v>
      </c>
    </row>
    <row r="112" spans="1:7">
      <c r="A112" s="11">
        <v>-0.25</v>
      </c>
      <c r="B112" s="14">
        <v>0.878</v>
      </c>
      <c r="C112" s="15">
        <v>6.0000000000000053E-3</v>
      </c>
      <c r="D112" s="9"/>
      <c r="E112" s="11">
        <v>-0.25</v>
      </c>
      <c r="F112" s="14">
        <v>0.95699999999999996</v>
      </c>
      <c r="G112" s="15">
        <v>5.0000000000000044E-3</v>
      </c>
    </row>
    <row r="113" spans="1:7">
      <c r="A113" s="11">
        <v>-0.24</v>
      </c>
      <c r="B113" s="14">
        <v>0.88400000000000001</v>
      </c>
      <c r="C113" s="15">
        <v>6.0000000000000053E-3</v>
      </c>
      <c r="D113" s="9"/>
      <c r="E113" s="11">
        <v>-0.24</v>
      </c>
      <c r="F113" s="14">
        <v>0.96199999999999997</v>
      </c>
      <c r="G113" s="15">
        <v>5.0000000000000044E-3</v>
      </c>
    </row>
    <row r="114" spans="1:7">
      <c r="A114" s="11">
        <v>-0.23</v>
      </c>
      <c r="B114" s="14">
        <v>0.89</v>
      </c>
      <c r="C114" s="15">
        <v>6.0000000000000053E-3</v>
      </c>
      <c r="D114" s="9"/>
      <c r="E114" s="11">
        <v>-0.23</v>
      </c>
      <c r="F114" s="14">
        <v>0.96699999999999997</v>
      </c>
      <c r="G114" s="15">
        <v>5.0000000000000044E-3</v>
      </c>
    </row>
    <row r="115" spans="1:7">
      <c r="A115" s="11">
        <v>-0.22</v>
      </c>
      <c r="B115" s="14">
        <v>0.89600000000000002</v>
      </c>
      <c r="C115" s="15">
        <v>6.0000000000000053E-3</v>
      </c>
      <c r="D115" s="9"/>
      <c r="E115" s="11">
        <v>-0.22</v>
      </c>
      <c r="F115" s="14">
        <v>0.97199999999999998</v>
      </c>
      <c r="G115" s="15">
        <v>5.0000000000000044E-3</v>
      </c>
    </row>
    <row r="116" spans="1:7">
      <c r="A116" s="11">
        <v>-0.21</v>
      </c>
      <c r="B116" s="14">
        <v>0.90200000000000002</v>
      </c>
      <c r="C116" s="15">
        <v>6.0000000000000053E-3</v>
      </c>
      <c r="D116" s="9"/>
      <c r="E116" s="11">
        <v>-0.21</v>
      </c>
      <c r="F116" s="14">
        <v>0.97699999999999998</v>
      </c>
      <c r="G116" s="15">
        <v>5.0000000000000044E-3</v>
      </c>
    </row>
    <row r="117" spans="1:7">
      <c r="A117" s="11">
        <v>-0.2</v>
      </c>
      <c r="B117" s="14">
        <v>0.90800000000000003</v>
      </c>
      <c r="C117" s="15">
        <v>6.0000000000000053E-3</v>
      </c>
      <c r="D117" s="9"/>
      <c r="E117" s="11">
        <v>-0.2</v>
      </c>
      <c r="F117" s="14">
        <v>0.98199999999999998</v>
      </c>
      <c r="G117" s="15">
        <v>4.0000000000000036E-3</v>
      </c>
    </row>
    <row r="118" spans="1:7">
      <c r="A118" s="11">
        <v>-0.19</v>
      </c>
      <c r="B118" s="14">
        <v>0.91400000000000003</v>
      </c>
      <c r="C118" s="15">
        <v>6.0000000000000053E-3</v>
      </c>
      <c r="D118" s="9"/>
      <c r="E118" s="11">
        <v>-0.19</v>
      </c>
      <c r="F118" s="14">
        <v>0.98599999999999999</v>
      </c>
      <c r="G118" s="15">
        <v>4.0000000000000036E-3</v>
      </c>
    </row>
    <row r="119" spans="1:7">
      <c r="A119" s="11">
        <v>-0.18</v>
      </c>
      <c r="B119" s="14">
        <v>0.92</v>
      </c>
      <c r="C119" s="15">
        <v>5.0000000000000044E-3</v>
      </c>
      <c r="D119" s="9"/>
      <c r="E119" s="11">
        <v>-0.18</v>
      </c>
      <c r="F119" s="14">
        <v>0.99</v>
      </c>
      <c r="G119" s="15">
        <v>4.0000000000000036E-3</v>
      </c>
    </row>
    <row r="120" spans="1:7">
      <c r="A120" s="11">
        <v>-0.17</v>
      </c>
      <c r="B120" s="14">
        <v>0.92500000000000004</v>
      </c>
      <c r="C120" s="15">
        <v>5.0000000000000044E-3</v>
      </c>
      <c r="D120" s="9"/>
      <c r="E120" s="11">
        <v>-0.17</v>
      </c>
      <c r="F120" s="14">
        <v>0.99399999999999999</v>
      </c>
      <c r="G120" s="15">
        <v>3.0000000000000027E-3</v>
      </c>
    </row>
    <row r="121" spans="1:7">
      <c r="A121" s="11">
        <v>-0.16</v>
      </c>
      <c r="B121" s="14">
        <v>0.93</v>
      </c>
      <c r="C121" s="15">
        <v>5.0000000000000044E-3</v>
      </c>
      <c r="D121" s="9"/>
      <c r="E121" s="11">
        <v>-0.16</v>
      </c>
      <c r="F121" s="14">
        <v>0.997</v>
      </c>
      <c r="G121" s="15">
        <v>2.0000000000000018E-3</v>
      </c>
    </row>
    <row r="122" spans="1:7">
      <c r="A122" s="11">
        <v>-0.15</v>
      </c>
      <c r="B122" s="14">
        <v>0.93500000000000005</v>
      </c>
      <c r="C122" s="15">
        <v>4.9999999999998934E-3</v>
      </c>
      <c r="D122" s="9"/>
      <c r="E122" s="11">
        <v>-0.15</v>
      </c>
      <c r="F122" s="14">
        <v>0.999</v>
      </c>
      <c r="G122" s="15">
        <v>1.0000000000000009E-3</v>
      </c>
    </row>
    <row r="123" spans="1:7">
      <c r="A123" s="11">
        <v>-0.14000000000000001</v>
      </c>
      <c r="B123" s="14">
        <v>0.94</v>
      </c>
      <c r="C123" s="15">
        <v>5.0000000000000044E-3</v>
      </c>
      <c r="D123" s="9"/>
      <c r="E123" s="11">
        <v>-0.14000000000000001</v>
      </c>
      <c r="F123" s="14">
        <v>1</v>
      </c>
      <c r="G123" s="15">
        <v>0</v>
      </c>
    </row>
    <row r="124" spans="1:7">
      <c r="A124" s="11">
        <v>-0.13</v>
      </c>
      <c r="B124" s="14">
        <v>0.94499999999999995</v>
      </c>
      <c r="C124" s="15">
        <v>5.0000000000000044E-3</v>
      </c>
      <c r="D124" s="9"/>
      <c r="E124" s="11">
        <v>-0.13</v>
      </c>
      <c r="F124" s="14">
        <v>1</v>
      </c>
      <c r="G124" s="15">
        <v>0</v>
      </c>
    </row>
    <row r="125" spans="1:7">
      <c r="A125" s="11">
        <v>-0.12</v>
      </c>
      <c r="B125" s="14">
        <v>0.95</v>
      </c>
      <c r="C125" s="15">
        <v>5.0000000000000044E-3</v>
      </c>
      <c r="D125" s="9"/>
      <c r="E125" s="11">
        <v>-0.12</v>
      </c>
      <c r="F125" s="14">
        <v>1</v>
      </c>
      <c r="G125" s="15">
        <v>0</v>
      </c>
    </row>
    <row r="126" spans="1:7">
      <c r="A126" s="11">
        <v>-0.11</v>
      </c>
      <c r="B126" s="14">
        <v>0.95499999999999996</v>
      </c>
      <c r="C126" s="15">
        <v>5.0000000000000044E-3</v>
      </c>
      <c r="D126" s="9"/>
      <c r="E126" s="11">
        <v>-0.11</v>
      </c>
      <c r="F126" s="14">
        <v>1</v>
      </c>
      <c r="G126" s="15">
        <v>0</v>
      </c>
    </row>
    <row r="127" spans="1:7">
      <c r="A127" s="11">
        <v>-0.1</v>
      </c>
      <c r="B127" s="14">
        <v>0.96</v>
      </c>
      <c r="C127" s="15">
        <v>5.0000000000000044E-3</v>
      </c>
      <c r="D127" s="9"/>
      <c r="E127" s="11">
        <v>-0.1</v>
      </c>
      <c r="F127" s="14">
        <v>1</v>
      </c>
      <c r="G127" s="15">
        <v>0</v>
      </c>
    </row>
    <row r="128" spans="1:7">
      <c r="A128" s="11">
        <v>-0.09</v>
      </c>
      <c r="B128" s="14">
        <v>0.96499999999999997</v>
      </c>
      <c r="C128" s="15">
        <v>5.0000000000000044E-3</v>
      </c>
      <c r="D128" s="9"/>
      <c r="E128" s="11">
        <v>-0.09</v>
      </c>
      <c r="F128" s="14">
        <v>1</v>
      </c>
      <c r="G128" s="15">
        <v>0</v>
      </c>
    </row>
    <row r="129" spans="1:7">
      <c r="A129" s="11">
        <v>-0.08</v>
      </c>
      <c r="B129" s="14">
        <v>0.97</v>
      </c>
      <c r="C129" s="15">
        <v>5.0000000000000044E-3</v>
      </c>
      <c r="D129" s="9"/>
      <c r="E129" s="11">
        <v>-0.08</v>
      </c>
      <c r="F129" s="14">
        <v>1</v>
      </c>
      <c r="G129" s="15">
        <v>0</v>
      </c>
    </row>
    <row r="130" spans="1:7">
      <c r="A130" s="11">
        <v>-7.0000000000000007E-2</v>
      </c>
      <c r="B130" s="14">
        <v>0.97499999999999998</v>
      </c>
      <c r="C130" s="15">
        <v>5.0000000000000044E-3</v>
      </c>
      <c r="D130" s="9"/>
      <c r="E130" s="11">
        <v>-7.0000000000000007E-2</v>
      </c>
      <c r="F130" s="10">
        <v>1</v>
      </c>
      <c r="G130" s="15">
        <v>0</v>
      </c>
    </row>
    <row r="131" spans="1:7">
      <c r="A131" s="11">
        <v>-0.06</v>
      </c>
      <c r="B131" s="14">
        <v>0.98</v>
      </c>
      <c r="C131" s="15">
        <v>5.0000000000000044E-3</v>
      </c>
      <c r="D131" s="9"/>
      <c r="E131" s="11">
        <v>-0.06</v>
      </c>
      <c r="F131" s="10">
        <v>1</v>
      </c>
      <c r="G131" s="15">
        <v>0</v>
      </c>
    </row>
    <row r="132" spans="1:7">
      <c r="A132" s="11">
        <v>-0.05</v>
      </c>
      <c r="B132" s="14">
        <v>0.98499999999999999</v>
      </c>
      <c r="C132" s="15">
        <v>5.0000000000000044E-3</v>
      </c>
      <c r="D132" s="9"/>
      <c r="E132" s="11">
        <v>-0.05</v>
      </c>
      <c r="F132" s="10">
        <v>1</v>
      </c>
      <c r="G132" s="15">
        <v>0</v>
      </c>
    </row>
    <row r="133" spans="1:7">
      <c r="A133" s="11">
        <v>-0.04</v>
      </c>
      <c r="B133" s="14">
        <v>0.99</v>
      </c>
      <c r="C133" s="15">
        <v>5.0000000000000044E-3</v>
      </c>
      <c r="D133" s="9"/>
      <c r="E133" s="11">
        <v>-0.04</v>
      </c>
      <c r="F133" s="10">
        <v>1</v>
      </c>
      <c r="G133" s="15">
        <v>0</v>
      </c>
    </row>
    <row r="134" spans="1:7">
      <c r="A134" s="11">
        <v>-0.03</v>
      </c>
      <c r="B134" s="14">
        <v>0.995</v>
      </c>
      <c r="C134" s="15">
        <v>5.0000000000000044E-3</v>
      </c>
      <c r="D134" s="9"/>
      <c r="E134" s="11">
        <v>-0.03</v>
      </c>
      <c r="F134" s="10">
        <v>1</v>
      </c>
      <c r="G134" s="15">
        <v>0</v>
      </c>
    </row>
    <row r="135" spans="1:7">
      <c r="A135" s="11">
        <v>-0.02</v>
      </c>
      <c r="B135" s="10">
        <v>1</v>
      </c>
      <c r="C135" s="15">
        <v>0</v>
      </c>
      <c r="D135" s="9"/>
      <c r="E135" s="11">
        <v>-0.02</v>
      </c>
      <c r="F135" s="10">
        <v>1</v>
      </c>
      <c r="G135" s="15">
        <v>0</v>
      </c>
    </row>
    <row r="136" spans="1:7">
      <c r="A136" s="12">
        <v>0</v>
      </c>
      <c r="B136" s="13">
        <v>1</v>
      </c>
      <c r="C136" s="9"/>
      <c r="D136" s="9"/>
      <c r="E136" s="12">
        <v>0</v>
      </c>
      <c r="F136" s="13">
        <v>1</v>
      </c>
      <c r="G136" s="9"/>
    </row>
    <row r="137" spans="1:7">
      <c r="A137" s="22">
        <v>0.02</v>
      </c>
      <c r="B137" s="23">
        <v>1</v>
      </c>
    </row>
    <row r="138" spans="1:7">
      <c r="A138" s="22">
        <v>0.06</v>
      </c>
      <c r="B138" s="23">
        <v>1.0049999999999999</v>
      </c>
    </row>
    <row r="139" spans="1:7">
      <c r="A139" s="22">
        <v>0.04</v>
      </c>
      <c r="B139" s="23">
        <v>1.01</v>
      </c>
    </row>
    <row r="140" spans="1:7">
      <c r="A140" s="22">
        <v>0.05</v>
      </c>
      <c r="B140" s="23">
        <v>1.0149999999999999</v>
      </c>
    </row>
    <row r="141" spans="1:7">
      <c r="A141" s="22">
        <v>0.06</v>
      </c>
      <c r="B141" s="23">
        <v>1.02</v>
      </c>
    </row>
    <row r="142" spans="1:7">
      <c r="A142" s="22">
        <v>0.04</v>
      </c>
      <c r="B142" s="23">
        <v>1.0249999999999999</v>
      </c>
    </row>
    <row r="143" spans="1:7">
      <c r="A143" s="22">
        <v>0.08</v>
      </c>
      <c r="B143" s="23">
        <v>1.03</v>
      </c>
    </row>
    <row r="144" spans="1:7">
      <c r="A144" s="22">
        <v>0.09</v>
      </c>
      <c r="B144" s="23">
        <v>1.0349999999999999</v>
      </c>
    </row>
    <row r="145" spans="1:2">
      <c r="A145" s="22">
        <v>0.1</v>
      </c>
      <c r="B145" s="23">
        <v>1.04</v>
      </c>
    </row>
    <row r="146" spans="1:2">
      <c r="A146" s="22">
        <v>0.11</v>
      </c>
      <c r="B146" s="23">
        <v>1.0449999999999999</v>
      </c>
    </row>
    <row r="147" spans="1:2">
      <c r="A147" s="22">
        <v>0.12</v>
      </c>
      <c r="B147" s="23">
        <v>1.05</v>
      </c>
    </row>
    <row r="148" spans="1:2">
      <c r="A148" s="22">
        <v>0.13</v>
      </c>
      <c r="B148" s="23">
        <v>1.0549999999999999</v>
      </c>
    </row>
    <row r="149" spans="1:2">
      <c r="A149" s="22">
        <v>0.14000000000000001</v>
      </c>
      <c r="B149" s="23">
        <v>1.06</v>
      </c>
    </row>
    <row r="150" spans="1:2">
      <c r="A150" s="22">
        <v>0.15</v>
      </c>
      <c r="B150" s="23">
        <v>1.0649999999999999</v>
      </c>
    </row>
    <row r="151" spans="1:2">
      <c r="A151" s="22">
        <v>0.16</v>
      </c>
      <c r="B151" s="23">
        <v>1.07</v>
      </c>
    </row>
    <row r="152" spans="1:2">
      <c r="A152" s="22">
        <v>0.17</v>
      </c>
      <c r="B152" s="23">
        <v>1.075</v>
      </c>
    </row>
    <row r="153" spans="1:2">
      <c r="A153" s="22">
        <v>0.18</v>
      </c>
      <c r="B153" s="23">
        <v>1.08</v>
      </c>
    </row>
    <row r="154" spans="1:2">
      <c r="A154" s="22">
        <v>0.19</v>
      </c>
      <c r="B154" s="23">
        <v>1.0860000000000001</v>
      </c>
    </row>
    <row r="155" spans="1:2">
      <c r="A155" s="22">
        <v>0.2</v>
      </c>
      <c r="B155" s="23">
        <v>1.0920000000000001</v>
      </c>
    </row>
    <row r="156" spans="1:2">
      <c r="A156" s="22">
        <v>0.21</v>
      </c>
      <c r="B156" s="23">
        <v>1.0980000000000001</v>
      </c>
    </row>
    <row r="157" spans="1:2">
      <c r="A157" s="22">
        <v>0.22</v>
      </c>
      <c r="B157" s="23">
        <v>1.1040000000000001</v>
      </c>
    </row>
    <row r="158" spans="1:2">
      <c r="A158" s="22">
        <v>0.23</v>
      </c>
      <c r="B158" s="23">
        <v>1.1100000000000001</v>
      </c>
    </row>
    <row r="159" spans="1:2">
      <c r="A159" s="22">
        <v>0.24</v>
      </c>
      <c r="B159" s="23">
        <v>1.1160000000000001</v>
      </c>
    </row>
    <row r="160" spans="1:2">
      <c r="A160" s="22">
        <v>0.25</v>
      </c>
      <c r="B160" s="23">
        <v>1.1220000000000001</v>
      </c>
    </row>
    <row r="161" spans="1:2">
      <c r="A161" s="22">
        <v>0.26</v>
      </c>
      <c r="B161" s="23">
        <v>1.1279999999999999</v>
      </c>
    </row>
    <row r="162" spans="1:2">
      <c r="A162" s="22">
        <v>0.27</v>
      </c>
      <c r="B162" s="23">
        <v>1.1339999999999999</v>
      </c>
    </row>
    <row r="163" spans="1:2">
      <c r="A163" s="22">
        <v>0.28000000000000003</v>
      </c>
      <c r="B163" s="23">
        <v>1.1399999999999999</v>
      </c>
    </row>
    <row r="164" spans="1:2">
      <c r="A164" s="22">
        <v>0.28999999999999998</v>
      </c>
      <c r="B164" s="23">
        <v>1.1459999999999999</v>
      </c>
    </row>
    <row r="165" spans="1:2">
      <c r="A165" s="22">
        <v>0.3</v>
      </c>
      <c r="B165" s="23">
        <v>1.1519999999999999</v>
      </c>
    </row>
    <row r="166" spans="1:2">
      <c r="A166" s="22">
        <v>0.31</v>
      </c>
      <c r="B166" s="23">
        <v>1.1579999999999999</v>
      </c>
    </row>
    <row r="167" spans="1:2">
      <c r="A167" s="22">
        <v>0.32</v>
      </c>
      <c r="B167" s="23">
        <v>1.1639999999999999</v>
      </c>
    </row>
    <row r="168" spans="1:2">
      <c r="A168" s="22">
        <v>0.33</v>
      </c>
      <c r="B168" s="23">
        <v>1.171</v>
      </c>
    </row>
    <row r="169" spans="1:2">
      <c r="A169" s="22">
        <v>0.34</v>
      </c>
      <c r="B169" s="23">
        <v>1.1779999999999999</v>
      </c>
    </row>
    <row r="170" spans="1:2">
      <c r="A170" s="22">
        <v>0.35</v>
      </c>
      <c r="B170" s="23">
        <v>1.1850000000000001</v>
      </c>
    </row>
    <row r="171" spans="1:2">
      <c r="A171" s="22">
        <v>0.36</v>
      </c>
      <c r="B171" s="23">
        <v>1.1919999999999999</v>
      </c>
    </row>
    <row r="172" spans="1:2">
      <c r="A172" s="22">
        <v>0.37</v>
      </c>
      <c r="B172" s="23">
        <v>1.1990000000000001</v>
      </c>
    </row>
    <row r="173" spans="1:2">
      <c r="A173" s="22">
        <v>0.38</v>
      </c>
      <c r="B173" s="23">
        <v>1.206</v>
      </c>
    </row>
    <row r="174" spans="1:2">
      <c r="A174" s="22">
        <v>0.39</v>
      </c>
      <c r="B174" s="23">
        <v>1.2130000000000001</v>
      </c>
    </row>
    <row r="175" spans="1:2">
      <c r="A175" s="22">
        <v>0.4</v>
      </c>
      <c r="B175" s="23">
        <v>1.22</v>
      </c>
    </row>
    <row r="176" spans="1:2">
      <c r="A176" s="22">
        <v>0.41</v>
      </c>
      <c r="B176" s="23">
        <v>1.2270000000000001</v>
      </c>
    </row>
    <row r="177" spans="1:2">
      <c r="A177" s="22">
        <v>0.42</v>
      </c>
      <c r="B177" s="23">
        <v>1.234</v>
      </c>
    </row>
    <row r="178" spans="1:2">
      <c r="A178" s="22">
        <v>0.43</v>
      </c>
      <c r="B178" s="23">
        <v>1.2410000000000001</v>
      </c>
    </row>
    <row r="179" spans="1:2">
      <c r="A179" s="22">
        <v>0.44</v>
      </c>
      <c r="B179" s="23">
        <v>1.248</v>
      </c>
    </row>
    <row r="180" spans="1:2">
      <c r="A180" s="22">
        <v>0.45</v>
      </c>
      <c r="B180" s="23">
        <v>1.256</v>
      </c>
    </row>
    <row r="181" spans="1:2">
      <c r="A181" s="22">
        <v>0.46</v>
      </c>
      <c r="B181" s="23">
        <v>1.264</v>
      </c>
    </row>
    <row r="182" spans="1:2">
      <c r="A182" s="22">
        <v>0.47</v>
      </c>
      <c r="B182" s="23">
        <v>1.272</v>
      </c>
    </row>
    <row r="183" spans="1:2">
      <c r="A183" s="22">
        <v>0.48</v>
      </c>
      <c r="B183" s="23">
        <v>1.28</v>
      </c>
    </row>
    <row r="184" spans="1:2">
      <c r="A184" s="22">
        <v>0.49</v>
      </c>
      <c r="B184" s="23">
        <v>1.288</v>
      </c>
    </row>
    <row r="185" spans="1:2">
      <c r="A185" s="22">
        <v>0.5</v>
      </c>
      <c r="B185" s="24">
        <f>2-B87</f>
        <v>1.296</v>
      </c>
    </row>
    <row r="186" spans="1:2">
      <c r="A186" s="22">
        <v>0.51</v>
      </c>
      <c r="B186" s="23">
        <v>1.296</v>
      </c>
    </row>
    <row r="187" spans="1:2">
      <c r="A187" s="22">
        <v>0.52</v>
      </c>
      <c r="B187" s="23">
        <v>1.304</v>
      </c>
    </row>
  </sheetData>
  <mergeCells count="2">
    <mergeCell ref="A1:B1"/>
    <mergeCell ref="E1:F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6"/>
  <dimension ref="A1:F27"/>
  <sheetViews>
    <sheetView showGridLines="0" topLeftCell="B1" zoomScale="130" zoomScaleNormal="130" workbookViewId="0">
      <selection activeCell="C1" sqref="C1"/>
    </sheetView>
  </sheetViews>
  <sheetFormatPr defaultRowHeight="14.6" outlineLevelCol="1"/>
  <cols>
    <col min="1" max="1" width="58.3046875" hidden="1" customWidth="1" outlineLevel="1"/>
    <col min="2" max="2" width="36.53515625" customWidth="1" collapsed="1"/>
    <col min="3" max="3" width="15.23046875" customWidth="1"/>
    <col min="4" max="4" width="10.3046875" customWidth="1"/>
    <col min="5" max="5" width="16.15234375" customWidth="1"/>
    <col min="6" max="6" width="22" customWidth="1"/>
    <col min="7" max="7" width="18.84375" customWidth="1"/>
  </cols>
  <sheetData>
    <row r="1" spans="1:6" ht="18.45">
      <c r="A1" t="s">
        <v>247</v>
      </c>
      <c r="B1" s="60" t="s">
        <v>203</v>
      </c>
      <c r="C1" s="69">
        <f>'Курс $'!B2</f>
        <v>76.305499999999995</v>
      </c>
      <c r="D1" s="55"/>
      <c r="E1" s="29"/>
    </row>
    <row r="2" spans="1:6" s="70" customFormat="1" ht="18.45">
      <c r="C2" s="71"/>
      <c r="D2" s="72"/>
      <c r="E2" s="73"/>
    </row>
    <row r="3" spans="1:6">
      <c r="B3" s="87" t="s">
        <v>227</v>
      </c>
      <c r="C3" s="75" t="s">
        <v>228</v>
      </c>
      <c r="D3" s="75" t="s">
        <v>229</v>
      </c>
      <c r="E3" s="76"/>
      <c r="F3" s="74"/>
    </row>
    <row r="4" spans="1:6">
      <c r="B4" s="27" t="s">
        <v>18</v>
      </c>
      <c r="C4" s="63"/>
      <c r="D4" s="63"/>
      <c r="E4" s="63" t="s">
        <v>202</v>
      </c>
      <c r="F4" s="61">
        <v>46192</v>
      </c>
    </row>
    <row r="5" spans="1:6">
      <c r="A5" t="s">
        <v>239</v>
      </c>
      <c r="B5" t="s">
        <v>231</v>
      </c>
      <c r="C5" s="59">
        <v>112</v>
      </c>
      <c r="D5" s="65">
        <f>$C$1*C5</f>
        <v>8546.2160000000003</v>
      </c>
      <c r="E5" s="59"/>
      <c r="F5" s="8"/>
    </row>
    <row r="6" spans="1:6">
      <c r="A6" t="s">
        <v>240</v>
      </c>
      <c r="B6" t="s">
        <v>232</v>
      </c>
      <c r="C6" s="59">
        <v>85</v>
      </c>
      <c r="D6" s="65">
        <f>$C$1*C6</f>
        <v>6485.9674999999997</v>
      </c>
      <c r="E6" s="59"/>
      <c r="F6" s="29"/>
    </row>
    <row r="7" spans="1:6">
      <c r="A7" t="s">
        <v>241</v>
      </c>
      <c r="B7" t="s">
        <v>233</v>
      </c>
      <c r="C7" s="59">
        <v>95</v>
      </c>
      <c r="D7" s="65">
        <f>$C$1*C7</f>
        <v>7249.0224999999991</v>
      </c>
      <c r="E7" s="59"/>
      <c r="F7" s="29"/>
    </row>
    <row r="8" spans="1:6">
      <c r="A8" s="83"/>
      <c r="B8" s="79" t="s">
        <v>235</v>
      </c>
      <c r="C8" s="80"/>
      <c r="D8" s="80">
        <v>3300</v>
      </c>
      <c r="E8" s="80" t="s">
        <v>208</v>
      </c>
      <c r="F8" s="81">
        <v>46188</v>
      </c>
    </row>
    <row r="9" spans="1:6">
      <c r="A9" s="83"/>
      <c r="B9" s="79" t="s">
        <v>248</v>
      </c>
      <c r="C9" s="80"/>
      <c r="D9" s="80">
        <v>1750</v>
      </c>
      <c r="E9" s="80" t="s">
        <v>208</v>
      </c>
      <c r="F9" s="81">
        <v>46188</v>
      </c>
    </row>
    <row r="10" spans="1:6">
      <c r="B10" s="27" t="s">
        <v>78</v>
      </c>
      <c r="C10" s="63"/>
      <c r="D10" s="66"/>
      <c r="E10" s="63"/>
      <c r="F10" s="61"/>
    </row>
    <row r="11" spans="1:6">
      <c r="A11" t="s">
        <v>242</v>
      </c>
      <c r="B11" t="s">
        <v>234</v>
      </c>
      <c r="C11" s="59">
        <v>143</v>
      </c>
      <c r="D11" s="65">
        <f>$C$1*C11</f>
        <v>10911.6865</v>
      </c>
      <c r="E11" s="78" t="s">
        <v>202</v>
      </c>
      <c r="F11" s="73">
        <v>46192</v>
      </c>
    </row>
    <row r="12" spans="1:6">
      <c r="A12" t="s">
        <v>243</v>
      </c>
      <c r="B12" t="s">
        <v>237</v>
      </c>
      <c r="C12" s="59">
        <v>110.5</v>
      </c>
      <c r="D12" s="65">
        <f t="shared" ref="D12:D13" si="0">$C$1*C12</f>
        <v>8431.7577499999989</v>
      </c>
      <c r="E12" s="84" t="s">
        <v>208</v>
      </c>
      <c r="F12" s="85">
        <v>46188</v>
      </c>
    </row>
    <row r="13" spans="1:6">
      <c r="A13" t="s">
        <v>244</v>
      </c>
      <c r="B13" t="s">
        <v>238</v>
      </c>
      <c r="C13" s="59">
        <v>119</v>
      </c>
      <c r="D13" s="65">
        <f t="shared" si="0"/>
        <v>9080.3544999999995</v>
      </c>
      <c r="E13" s="84" t="s">
        <v>208</v>
      </c>
      <c r="F13" s="85">
        <v>46188</v>
      </c>
    </row>
    <row r="14" spans="1:6">
      <c r="B14" s="79" t="s">
        <v>235</v>
      </c>
      <c r="C14" s="82"/>
      <c r="D14" s="82">
        <v>10200</v>
      </c>
      <c r="E14" s="80" t="s">
        <v>202</v>
      </c>
      <c r="F14" s="81">
        <v>46192</v>
      </c>
    </row>
    <row r="15" spans="1:6">
      <c r="B15" s="27" t="s">
        <v>99</v>
      </c>
      <c r="C15" s="63"/>
      <c r="D15" s="66"/>
      <c r="E15" s="63" t="s">
        <v>202</v>
      </c>
      <c r="F15" s="61">
        <v>46192</v>
      </c>
    </row>
    <row r="16" spans="1:6">
      <c r="A16" t="s">
        <v>245</v>
      </c>
      <c r="B16" t="s">
        <v>234</v>
      </c>
      <c r="C16" s="59">
        <v>132</v>
      </c>
      <c r="D16" s="65">
        <f>$C$1*C16</f>
        <v>10072.325999999999</v>
      </c>
      <c r="E16" s="59"/>
      <c r="F16" s="8"/>
    </row>
    <row r="17" spans="1:6">
      <c r="A17" t="s">
        <v>246</v>
      </c>
      <c r="B17" t="s">
        <v>232</v>
      </c>
      <c r="C17" s="59">
        <v>101</v>
      </c>
      <c r="D17" s="65">
        <f>$C$1*C17</f>
        <v>7706.8554999999997</v>
      </c>
      <c r="E17" s="59"/>
      <c r="F17" s="8"/>
    </row>
    <row r="18" spans="1:6">
      <c r="B18" s="79" t="s">
        <v>235</v>
      </c>
      <c r="C18" s="82"/>
      <c r="D18" s="82">
        <v>6000</v>
      </c>
      <c r="E18" s="80" t="s">
        <v>208</v>
      </c>
      <c r="F18" s="81">
        <v>46188</v>
      </c>
    </row>
    <row r="19" spans="1:6">
      <c r="B19" s="77" t="s">
        <v>230</v>
      </c>
      <c r="C19" s="64"/>
      <c r="D19" s="67"/>
      <c r="E19" s="64" t="s">
        <v>208</v>
      </c>
      <c r="F19" s="62">
        <v>46188</v>
      </c>
    </row>
    <row r="20" spans="1:6">
      <c r="A20" s="83" t="s">
        <v>25</v>
      </c>
      <c r="B20" t="s">
        <v>170</v>
      </c>
      <c r="C20" s="68">
        <v>10</v>
      </c>
      <c r="D20" s="65">
        <f>$C$1*C20</f>
        <v>763.05499999999995</v>
      </c>
    </row>
    <row r="21" spans="1:6">
      <c r="A21" s="83" t="s">
        <v>33</v>
      </c>
      <c r="B21" t="s">
        <v>172</v>
      </c>
      <c r="C21" s="68">
        <v>8</v>
      </c>
      <c r="D21" s="65">
        <f>$C$1*C21</f>
        <v>610.44399999999996</v>
      </c>
    </row>
    <row r="22" spans="1:6">
      <c r="A22" s="83" t="s">
        <v>36</v>
      </c>
      <c r="B22" t="s">
        <v>171</v>
      </c>
      <c r="C22" s="68">
        <v>13</v>
      </c>
      <c r="D22" s="65">
        <f>$C$1*C22</f>
        <v>991.97149999999988</v>
      </c>
    </row>
    <row r="24" spans="1:6">
      <c r="B24" s="86" t="s">
        <v>249</v>
      </c>
      <c r="C24" s="86"/>
      <c r="D24" s="86"/>
      <c r="E24" s="86"/>
      <c r="F24" s="86"/>
    </row>
    <row r="25" spans="1:6">
      <c r="B25" t="s">
        <v>166</v>
      </c>
      <c r="C25" t="s">
        <v>167</v>
      </c>
    </row>
    <row r="26" spans="1:6">
      <c r="B26" t="s">
        <v>168</v>
      </c>
      <c r="C26">
        <v>1000</v>
      </c>
    </row>
    <row r="27" spans="1:6">
      <c r="B27" t="s">
        <v>169</v>
      </c>
      <c r="C27">
        <v>700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7"/>
  <dimension ref="A1:C103"/>
  <sheetViews>
    <sheetView showGridLines="0" workbookViewId="0">
      <selection sqref="A1:C15"/>
    </sheetView>
  </sheetViews>
  <sheetFormatPr defaultRowHeight="14.6"/>
  <cols>
    <col min="1" max="1" width="15.3046875" customWidth="1"/>
    <col min="2" max="2" width="32.3828125" customWidth="1"/>
    <col min="3" max="3" width="9.921875" bestFit="1" customWidth="1"/>
  </cols>
  <sheetData>
    <row r="1" spans="1:3" ht="18.45">
      <c r="A1" s="8" t="s">
        <v>173</v>
      </c>
      <c r="B1" s="8" t="s">
        <v>188</v>
      </c>
      <c r="C1" s="55" t="s">
        <v>226</v>
      </c>
    </row>
    <row r="2" spans="1:3">
      <c r="A2" s="57" t="s">
        <v>174</v>
      </c>
      <c r="B2" s="58">
        <f>AVERAGE(B4:B15)</f>
        <v>76.305499999999995</v>
      </c>
      <c r="C2" s="19">
        <v>46196</v>
      </c>
    </row>
    <row r="4" spans="1:3">
      <c r="A4" s="28" t="s">
        <v>214</v>
      </c>
      <c r="B4" s="28">
        <v>77.563199999999995</v>
      </c>
    </row>
    <row r="5" spans="1:3">
      <c r="A5" s="28" t="s">
        <v>215</v>
      </c>
      <c r="B5" s="28">
        <v>76.851600000000005</v>
      </c>
    </row>
    <row r="6" spans="1:3">
      <c r="A6" s="28" t="s">
        <v>216</v>
      </c>
      <c r="B6" s="28">
        <v>80.761300000000006</v>
      </c>
    </row>
    <row r="7" spans="1:3">
      <c r="A7" s="28" t="s">
        <v>217</v>
      </c>
      <c r="B7" s="28">
        <v>76.938000000000002</v>
      </c>
    </row>
    <row r="8" spans="1:3">
      <c r="A8" s="28" t="s">
        <v>218</v>
      </c>
      <c r="B8" s="28">
        <v>73.006900000000002</v>
      </c>
    </row>
    <row r="9" spans="1:3">
      <c r="A9" s="28" t="s">
        <v>219</v>
      </c>
      <c r="B9" s="28">
        <v>72.712000000000003</v>
      </c>
    </row>
    <row r="10" spans="1:3">
      <c r="A10" s="28" t="s">
        <v>220</v>
      </c>
      <c r="B10" s="28"/>
    </row>
    <row r="11" spans="1:3">
      <c r="A11" s="28" t="s">
        <v>221</v>
      </c>
      <c r="B11" s="56"/>
      <c r="C11" s="20"/>
    </row>
    <row r="12" spans="1:3">
      <c r="A12" s="28" t="s">
        <v>222</v>
      </c>
      <c r="B12" s="56"/>
      <c r="C12" s="20"/>
    </row>
    <row r="13" spans="1:3">
      <c r="A13" s="28" t="s">
        <v>223</v>
      </c>
      <c r="B13" s="56"/>
      <c r="C13" s="20"/>
    </row>
    <row r="14" spans="1:3">
      <c r="A14" s="28" t="s">
        <v>224</v>
      </c>
      <c r="B14" s="56"/>
      <c r="C14" s="20"/>
    </row>
    <row r="15" spans="1:3">
      <c r="A15" s="28" t="s">
        <v>225</v>
      </c>
      <c r="B15" s="56"/>
      <c r="C15" s="20"/>
    </row>
    <row r="16" spans="1:3">
      <c r="A16" s="18"/>
      <c r="B16" s="19"/>
      <c r="C16" s="20"/>
    </row>
    <row r="17" spans="1:3">
      <c r="A17" s="18"/>
      <c r="B17" s="19"/>
      <c r="C17" s="20"/>
    </row>
    <row r="18" spans="1:3">
      <c r="A18" s="18"/>
      <c r="B18" s="19"/>
      <c r="C18" s="20"/>
    </row>
    <row r="19" spans="1:3">
      <c r="A19" s="18"/>
      <c r="B19" s="19"/>
      <c r="C19" s="20"/>
    </row>
    <row r="20" spans="1:3">
      <c r="A20" s="18"/>
      <c r="B20" s="19"/>
      <c r="C20" s="20"/>
    </row>
    <row r="21" spans="1:3">
      <c r="A21" s="18"/>
      <c r="B21" s="19"/>
      <c r="C21" s="20"/>
    </row>
    <row r="22" spans="1:3">
      <c r="A22" s="18"/>
      <c r="B22" s="19"/>
      <c r="C22" s="20"/>
    </row>
    <row r="23" spans="1:3">
      <c r="A23" s="18"/>
      <c r="B23" s="19"/>
      <c r="C23" s="20"/>
    </row>
    <row r="24" spans="1:3">
      <c r="A24" s="18"/>
      <c r="B24" s="19"/>
      <c r="C24" s="20"/>
    </row>
    <row r="25" spans="1:3">
      <c r="A25" s="18"/>
      <c r="B25" s="19"/>
      <c r="C25" s="20"/>
    </row>
    <row r="26" spans="1:3">
      <c r="A26" s="18"/>
      <c r="B26" s="19"/>
      <c r="C26" s="20"/>
    </row>
    <row r="27" spans="1:3">
      <c r="A27" s="18"/>
      <c r="B27" s="19"/>
      <c r="C27" s="20"/>
    </row>
    <row r="28" spans="1:3">
      <c r="A28" s="18"/>
      <c r="B28" s="19"/>
      <c r="C28" s="20"/>
    </row>
    <row r="29" spans="1:3">
      <c r="A29" s="18"/>
      <c r="B29" s="19"/>
      <c r="C29" s="20"/>
    </row>
    <row r="30" spans="1:3">
      <c r="A30" s="18"/>
      <c r="B30" s="19"/>
      <c r="C30" s="20"/>
    </row>
    <row r="31" spans="1:3">
      <c r="A31" s="18"/>
      <c r="B31" s="19"/>
      <c r="C31" s="20"/>
    </row>
    <row r="32" spans="1:3">
      <c r="A32" s="18"/>
      <c r="B32" s="19"/>
      <c r="C32" s="20"/>
    </row>
    <row r="33" spans="1:3">
      <c r="A33" s="18"/>
      <c r="B33" s="19"/>
      <c r="C33" s="20"/>
    </row>
    <row r="34" spans="1:3">
      <c r="A34" s="18"/>
      <c r="B34" s="19"/>
      <c r="C34" s="20"/>
    </row>
    <row r="35" spans="1:3">
      <c r="A35" s="18"/>
      <c r="B35" s="19"/>
      <c r="C35" s="20"/>
    </row>
    <row r="36" spans="1:3">
      <c r="A36" s="18"/>
      <c r="B36" s="19"/>
      <c r="C36" s="20"/>
    </row>
    <row r="37" spans="1:3">
      <c r="A37" s="18"/>
      <c r="B37" s="19"/>
      <c r="C37" s="20"/>
    </row>
    <row r="38" spans="1:3">
      <c r="A38" s="18"/>
      <c r="B38" s="19"/>
      <c r="C38" s="20"/>
    </row>
    <row r="39" spans="1:3">
      <c r="A39" s="18"/>
      <c r="B39" s="19"/>
      <c r="C39" s="20"/>
    </row>
    <row r="40" spans="1:3">
      <c r="A40" s="18"/>
      <c r="B40" s="19"/>
      <c r="C40" s="20"/>
    </row>
    <row r="41" spans="1:3">
      <c r="A41" s="18"/>
      <c r="B41" s="19"/>
      <c r="C41" s="20"/>
    </row>
    <row r="42" spans="1:3">
      <c r="A42" s="18"/>
      <c r="B42" s="19"/>
      <c r="C42" s="20"/>
    </row>
    <row r="43" spans="1:3">
      <c r="A43" s="18"/>
      <c r="B43" s="19"/>
      <c r="C43" s="20"/>
    </row>
    <row r="44" spans="1:3">
      <c r="A44" s="18"/>
      <c r="B44" s="19"/>
      <c r="C44" s="20"/>
    </row>
    <row r="45" spans="1:3">
      <c r="A45" s="18"/>
      <c r="B45" s="19"/>
      <c r="C45" s="20"/>
    </row>
    <row r="46" spans="1:3">
      <c r="A46" s="18"/>
      <c r="B46" s="19"/>
      <c r="C46" s="20"/>
    </row>
    <row r="47" spans="1:3">
      <c r="A47" s="18"/>
      <c r="B47" s="19"/>
      <c r="C47" s="20"/>
    </row>
    <row r="48" spans="1:3">
      <c r="A48" s="18"/>
      <c r="B48" s="19"/>
      <c r="C48" s="20"/>
    </row>
    <row r="49" spans="1:3">
      <c r="A49" s="18"/>
      <c r="B49" s="19"/>
      <c r="C49" s="20"/>
    </row>
    <row r="50" spans="1:3">
      <c r="A50" s="18"/>
      <c r="B50" s="19"/>
      <c r="C50" s="20"/>
    </row>
    <row r="51" spans="1:3">
      <c r="A51" s="18"/>
      <c r="B51" s="19"/>
      <c r="C51" s="20"/>
    </row>
    <row r="52" spans="1:3">
      <c r="A52" s="18"/>
      <c r="B52" s="19"/>
      <c r="C52" s="20"/>
    </row>
    <row r="53" spans="1:3">
      <c r="A53" s="18"/>
      <c r="B53" s="19"/>
      <c r="C53" s="20"/>
    </row>
    <row r="54" spans="1:3">
      <c r="A54" s="18"/>
      <c r="B54" s="19"/>
      <c r="C54" s="20"/>
    </row>
    <row r="55" spans="1:3">
      <c r="A55" s="18"/>
      <c r="B55" s="19"/>
      <c r="C55" s="20"/>
    </row>
    <row r="56" spans="1:3">
      <c r="A56" s="18"/>
      <c r="B56" s="19"/>
      <c r="C56" s="20"/>
    </row>
    <row r="57" spans="1:3">
      <c r="A57" s="18"/>
      <c r="B57" s="19"/>
      <c r="C57" s="20"/>
    </row>
    <row r="58" spans="1:3">
      <c r="A58" s="18"/>
      <c r="B58" s="19"/>
      <c r="C58" s="20"/>
    </row>
    <row r="59" spans="1:3">
      <c r="A59" s="18"/>
      <c r="B59" s="19"/>
      <c r="C59" s="20"/>
    </row>
    <row r="60" spans="1:3">
      <c r="A60" s="18"/>
      <c r="B60" s="19"/>
      <c r="C60" s="20"/>
    </row>
    <row r="61" spans="1:3">
      <c r="A61" s="18"/>
      <c r="B61" s="19"/>
      <c r="C61" s="20"/>
    </row>
    <row r="62" spans="1:3">
      <c r="A62" s="18"/>
      <c r="B62" s="19"/>
      <c r="C62" s="20"/>
    </row>
    <row r="63" spans="1:3">
      <c r="A63" s="18"/>
      <c r="B63" s="19"/>
      <c r="C63" s="20"/>
    </row>
    <row r="64" spans="1:3">
      <c r="A64" s="18"/>
      <c r="B64" s="19"/>
      <c r="C64" s="20"/>
    </row>
    <row r="65" spans="1:3">
      <c r="A65" s="18"/>
      <c r="B65" s="19"/>
      <c r="C65" s="20"/>
    </row>
    <row r="66" spans="1:3">
      <c r="A66" s="18"/>
      <c r="B66" s="19"/>
      <c r="C66" s="20"/>
    </row>
    <row r="67" spans="1:3">
      <c r="A67" s="18"/>
      <c r="B67" s="19"/>
      <c r="C67" s="20"/>
    </row>
    <row r="68" spans="1:3">
      <c r="A68" s="18"/>
      <c r="B68" s="19"/>
      <c r="C68" s="20"/>
    </row>
    <row r="69" spans="1:3">
      <c r="A69" s="18"/>
      <c r="B69" s="19"/>
      <c r="C69" s="20"/>
    </row>
    <row r="70" spans="1:3">
      <c r="A70" s="18"/>
      <c r="B70" s="19"/>
      <c r="C70" s="20"/>
    </row>
    <row r="71" spans="1:3">
      <c r="A71" s="18"/>
      <c r="B71" s="19"/>
      <c r="C71" s="20"/>
    </row>
    <row r="72" spans="1:3">
      <c r="A72" s="18"/>
      <c r="B72" s="19"/>
      <c r="C72" s="20"/>
    </row>
    <row r="73" spans="1:3">
      <c r="A73" s="18"/>
      <c r="B73" s="19"/>
      <c r="C73" s="20"/>
    </row>
    <row r="74" spans="1:3">
      <c r="A74" s="18"/>
      <c r="B74" s="19"/>
      <c r="C74" s="20"/>
    </row>
    <row r="75" spans="1:3">
      <c r="A75" s="18"/>
      <c r="B75" s="19"/>
      <c r="C75" s="20"/>
    </row>
    <row r="76" spans="1:3">
      <c r="A76" s="18"/>
      <c r="B76" s="19"/>
      <c r="C76" s="20"/>
    </row>
    <row r="77" spans="1:3">
      <c r="A77" s="18"/>
      <c r="B77" s="19"/>
      <c r="C77" s="20"/>
    </row>
    <row r="78" spans="1:3">
      <c r="A78" s="18"/>
      <c r="B78" s="19"/>
      <c r="C78" s="20"/>
    </row>
    <row r="79" spans="1:3">
      <c r="A79" s="18"/>
      <c r="B79" s="19"/>
      <c r="C79" s="20"/>
    </row>
    <row r="80" spans="1:3">
      <c r="A80" s="18"/>
      <c r="B80" s="19"/>
      <c r="C80" s="20"/>
    </row>
    <row r="81" spans="1:3">
      <c r="A81" s="18"/>
      <c r="B81" s="19"/>
      <c r="C81" s="20"/>
    </row>
    <row r="82" spans="1:3">
      <c r="A82" s="18"/>
      <c r="B82" s="19"/>
      <c r="C82" s="20"/>
    </row>
    <row r="83" spans="1:3">
      <c r="A83" s="18"/>
      <c r="B83" s="19"/>
      <c r="C83" s="20"/>
    </row>
    <row r="84" spans="1:3">
      <c r="A84" s="18"/>
      <c r="B84" s="19"/>
      <c r="C84" s="20"/>
    </row>
    <row r="85" spans="1:3">
      <c r="A85" s="18"/>
      <c r="B85" s="19"/>
      <c r="C85" s="20"/>
    </row>
    <row r="86" spans="1:3">
      <c r="A86" s="18"/>
      <c r="B86" s="19"/>
      <c r="C86" s="20"/>
    </row>
    <row r="87" spans="1:3">
      <c r="A87" s="18"/>
      <c r="B87" s="19"/>
      <c r="C87" s="20"/>
    </row>
    <row r="88" spans="1:3">
      <c r="A88" s="18"/>
      <c r="B88" s="19"/>
      <c r="C88" s="20"/>
    </row>
    <row r="89" spans="1:3">
      <c r="A89" s="18"/>
      <c r="B89" s="19"/>
      <c r="C89" s="20"/>
    </row>
    <row r="90" spans="1:3">
      <c r="A90" s="18"/>
      <c r="B90" s="19"/>
      <c r="C90" s="20"/>
    </row>
    <row r="91" spans="1:3">
      <c r="A91" s="18"/>
      <c r="B91" s="19"/>
      <c r="C91" s="20"/>
    </row>
    <row r="92" spans="1:3">
      <c r="A92" s="18"/>
      <c r="B92" s="19"/>
      <c r="C92" s="20"/>
    </row>
    <row r="93" spans="1:3">
      <c r="A93" s="18"/>
      <c r="B93" s="19"/>
      <c r="C93" s="20"/>
    </row>
    <row r="94" spans="1:3">
      <c r="A94" s="18"/>
      <c r="B94" s="19"/>
      <c r="C94" s="20"/>
    </row>
    <row r="95" spans="1:3">
      <c r="A95" s="18"/>
      <c r="B95" s="19"/>
      <c r="C95" s="20"/>
    </row>
    <row r="96" spans="1:3">
      <c r="A96" s="18"/>
      <c r="B96" s="19"/>
      <c r="C96" s="20"/>
    </row>
    <row r="97" spans="1:3">
      <c r="A97" s="18"/>
      <c r="B97" s="19"/>
      <c r="C97" s="20"/>
    </row>
    <row r="98" spans="1:3">
      <c r="A98" s="18"/>
      <c r="B98" s="19"/>
      <c r="C98" s="20"/>
    </row>
    <row r="99" spans="1:3">
      <c r="A99" s="18"/>
      <c r="B99" s="19"/>
      <c r="C99" s="20"/>
    </row>
    <row r="100" spans="1:3">
      <c r="A100" s="18"/>
      <c r="B100" s="19"/>
      <c r="C100" s="20"/>
    </row>
    <row r="101" spans="1:3">
      <c r="A101" s="18"/>
      <c r="B101" s="19"/>
      <c r="C101" s="20"/>
    </row>
    <row r="102" spans="1:3">
      <c r="A102" s="18"/>
      <c r="B102" s="19"/>
      <c r="C102" s="20"/>
    </row>
    <row r="103" spans="1:3">
      <c r="A103" s="18"/>
      <c r="B103" s="19"/>
      <c r="C103" s="20"/>
    </row>
  </sheetData>
  <hyperlinks>
    <hyperlink ref="C1" r:id="rId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8"/>
  <dimension ref="A1:G187"/>
  <sheetViews>
    <sheetView showGridLines="0" topLeftCell="A106" workbookViewId="0">
      <selection activeCell="B123" sqref="B123"/>
    </sheetView>
  </sheetViews>
  <sheetFormatPr defaultRowHeight="14.6"/>
  <sheetData>
    <row r="1" spans="1:7">
      <c r="A1" s="458" t="s">
        <v>182</v>
      </c>
      <c r="B1" s="458"/>
      <c r="C1" s="9"/>
      <c r="D1" s="9"/>
      <c r="E1" s="458" t="s">
        <v>183</v>
      </c>
      <c r="F1" s="458"/>
      <c r="G1" s="9"/>
    </row>
    <row r="2" spans="1:7">
      <c r="A2" s="10" t="s">
        <v>184</v>
      </c>
      <c r="B2" s="10" t="s">
        <v>185</v>
      </c>
      <c r="C2" s="9"/>
      <c r="D2" s="9"/>
      <c r="E2" s="10" t="s">
        <v>184</v>
      </c>
      <c r="F2" s="10" t="s">
        <v>185</v>
      </c>
      <c r="G2" s="9"/>
    </row>
    <row r="3" spans="1:7">
      <c r="A3" s="11">
        <v>-5</v>
      </c>
      <c r="B3" s="10">
        <v>0</v>
      </c>
      <c r="C3" s="9"/>
      <c r="D3" s="9"/>
      <c r="E3" s="11">
        <v>-5</v>
      </c>
      <c r="F3" s="10">
        <v>0</v>
      </c>
      <c r="G3" s="9"/>
    </row>
    <row r="4" spans="1:7">
      <c r="A4" s="11">
        <v>-2.4500000000000002</v>
      </c>
      <c r="B4" s="10">
        <v>0</v>
      </c>
      <c r="C4" s="9"/>
      <c r="D4" s="9"/>
      <c r="E4" s="11">
        <v>-2.4500000000000002</v>
      </c>
      <c r="F4" s="10">
        <v>0</v>
      </c>
      <c r="G4" s="9"/>
    </row>
    <row r="5" spans="1:7">
      <c r="A5" s="11">
        <v>-2.4</v>
      </c>
      <c r="B5" s="10">
        <v>0</v>
      </c>
      <c r="C5" s="9"/>
      <c r="D5" s="9"/>
      <c r="E5" s="11">
        <v>-2.4</v>
      </c>
      <c r="F5" s="10">
        <v>0</v>
      </c>
      <c r="G5" s="9"/>
    </row>
    <row r="6" spans="1:7">
      <c r="A6" s="11">
        <v>-2.35</v>
      </c>
      <c r="B6" s="10">
        <v>0</v>
      </c>
      <c r="C6" s="9"/>
      <c r="D6" s="9"/>
      <c r="E6" s="11">
        <v>-2.35</v>
      </c>
      <c r="F6" s="10">
        <v>0</v>
      </c>
      <c r="G6" s="9"/>
    </row>
    <row r="7" spans="1:7">
      <c r="A7" s="11">
        <v>-2.2999999999999998</v>
      </c>
      <c r="B7" s="10">
        <v>0</v>
      </c>
      <c r="C7" s="9"/>
      <c r="D7" s="9"/>
      <c r="E7" s="11">
        <v>-2.2999999999999998</v>
      </c>
      <c r="F7" s="10">
        <v>0</v>
      </c>
      <c r="G7" s="9"/>
    </row>
    <row r="8" spans="1:7">
      <c r="A8" s="11">
        <v>-2.25</v>
      </c>
      <c r="B8" s="10">
        <v>0</v>
      </c>
      <c r="C8" s="9"/>
      <c r="D8" s="9"/>
      <c r="E8" s="11">
        <v>-2.25</v>
      </c>
      <c r="F8" s="10">
        <v>0</v>
      </c>
      <c r="G8" s="9"/>
    </row>
    <row r="9" spans="1:7">
      <c r="A9" s="11">
        <v>-2.2000000000000002</v>
      </c>
      <c r="B9" s="10">
        <v>0</v>
      </c>
      <c r="C9" s="9"/>
      <c r="D9" s="9"/>
      <c r="E9" s="11">
        <v>-2.2000000000000002</v>
      </c>
      <c r="F9" s="10">
        <v>0</v>
      </c>
      <c r="G9" s="9"/>
    </row>
    <row r="10" spans="1:7">
      <c r="A10" s="11">
        <v>-2.15</v>
      </c>
      <c r="B10" s="10">
        <v>0</v>
      </c>
      <c r="C10" s="9"/>
      <c r="D10" s="9"/>
      <c r="E10" s="11">
        <v>-2.15</v>
      </c>
      <c r="F10" s="10">
        <v>0</v>
      </c>
      <c r="G10" s="9"/>
    </row>
    <row r="11" spans="1:7">
      <c r="A11" s="11">
        <v>-2.1</v>
      </c>
      <c r="B11" s="10">
        <v>0</v>
      </c>
      <c r="C11" s="9"/>
      <c r="D11" s="9"/>
      <c r="E11" s="11">
        <v>-2.1</v>
      </c>
      <c r="F11" s="14">
        <v>0</v>
      </c>
      <c r="G11" s="9"/>
    </row>
    <row r="12" spans="1:7">
      <c r="A12" s="11">
        <v>-2.0499999999999998</v>
      </c>
      <c r="B12" s="10">
        <v>0</v>
      </c>
      <c r="C12" s="9"/>
      <c r="D12" s="9"/>
      <c r="E12" s="11">
        <v>-2.0499999999999998</v>
      </c>
      <c r="F12" s="14">
        <v>0</v>
      </c>
      <c r="G12" s="9"/>
    </row>
    <row r="13" spans="1:7">
      <c r="A13" s="11">
        <v>-2</v>
      </c>
      <c r="B13" s="10">
        <v>0</v>
      </c>
      <c r="C13" s="9"/>
      <c r="D13" s="9"/>
      <c r="E13" s="11">
        <v>-2</v>
      </c>
      <c r="F13" s="14">
        <v>0</v>
      </c>
      <c r="G13" s="9"/>
    </row>
    <row r="14" spans="1:7">
      <c r="A14" s="11">
        <v>-1.95</v>
      </c>
      <c r="B14" s="10">
        <v>0</v>
      </c>
      <c r="C14" s="9"/>
      <c r="D14" s="9"/>
      <c r="E14" s="11">
        <v>-1.95</v>
      </c>
      <c r="F14" s="14">
        <v>0</v>
      </c>
      <c r="G14" s="15">
        <v>1.900000688128E-2</v>
      </c>
    </row>
    <row r="15" spans="1:7">
      <c r="A15" s="11">
        <v>-1.9</v>
      </c>
      <c r="B15" s="10">
        <v>0</v>
      </c>
      <c r="C15" s="9"/>
      <c r="D15" s="9"/>
      <c r="E15" s="11">
        <v>-1.9</v>
      </c>
      <c r="F15" s="14">
        <v>1.900000688128E-2</v>
      </c>
      <c r="G15" s="15">
        <v>1.6999998279679997E-2</v>
      </c>
    </row>
    <row r="16" spans="1:7">
      <c r="A16" s="11">
        <v>-1.85</v>
      </c>
      <c r="B16" s="10">
        <v>0</v>
      </c>
      <c r="C16" s="9"/>
      <c r="D16" s="9"/>
      <c r="E16" s="11">
        <v>-1.85</v>
      </c>
      <c r="F16" s="14">
        <v>3.6000005160959997E-2</v>
      </c>
      <c r="G16" s="15">
        <v>1.6999998279680004E-2</v>
      </c>
    </row>
    <row r="17" spans="1:7">
      <c r="A17" s="11">
        <v>-1.8</v>
      </c>
      <c r="B17" s="10">
        <v>0</v>
      </c>
      <c r="C17" s="9"/>
      <c r="D17" s="9"/>
      <c r="E17" s="11">
        <v>-1.8</v>
      </c>
      <c r="F17" s="14">
        <v>5.3000003440640001E-2</v>
      </c>
      <c r="G17" s="15">
        <v>1.6999998279680004E-2</v>
      </c>
    </row>
    <row r="18" spans="1:7">
      <c r="A18" s="11">
        <v>-1.75</v>
      </c>
      <c r="B18" s="10">
        <v>0</v>
      </c>
      <c r="C18" s="9"/>
      <c r="D18" s="9"/>
      <c r="E18" s="11">
        <v>-1.75</v>
      </c>
      <c r="F18" s="14">
        <v>7.0000001720320004E-2</v>
      </c>
      <c r="G18" s="15">
        <v>1.699999827967999E-2</v>
      </c>
    </row>
    <row r="19" spans="1:7">
      <c r="A19" s="11">
        <v>-1.7</v>
      </c>
      <c r="B19" s="10">
        <v>0</v>
      </c>
      <c r="C19" s="9"/>
      <c r="D19" s="9"/>
      <c r="E19" s="11">
        <v>-1.7</v>
      </c>
      <c r="F19" s="14">
        <v>8.6999999999999994E-2</v>
      </c>
      <c r="G19" s="15">
        <v>1.6999998279680004E-2</v>
      </c>
    </row>
    <row r="20" spans="1:7">
      <c r="A20" s="11">
        <v>-1.65</v>
      </c>
      <c r="B20" s="10">
        <v>0</v>
      </c>
      <c r="C20" s="9"/>
      <c r="D20" s="9"/>
      <c r="E20" s="11">
        <v>-1.65</v>
      </c>
      <c r="F20" s="14">
        <v>0.10399999827968</v>
      </c>
      <c r="G20" s="15">
        <v>1.600000043008E-2</v>
      </c>
    </row>
    <row r="21" spans="1:7">
      <c r="A21" s="11">
        <v>-1.6</v>
      </c>
      <c r="B21" s="10">
        <v>0</v>
      </c>
      <c r="C21" s="9"/>
      <c r="D21" s="9"/>
      <c r="E21" s="11">
        <v>-1.6</v>
      </c>
      <c r="F21" s="14">
        <v>0.11999999870976</v>
      </c>
      <c r="G21" s="15">
        <v>1.6000000430080014E-2</v>
      </c>
    </row>
    <row r="22" spans="1:7">
      <c r="A22" s="11">
        <v>-1.55</v>
      </c>
      <c r="B22" s="10">
        <v>0</v>
      </c>
      <c r="C22" s="9"/>
      <c r="D22" s="9"/>
      <c r="E22" s="11">
        <v>-1.55</v>
      </c>
      <c r="F22" s="14">
        <v>0.13599999913984001</v>
      </c>
      <c r="G22" s="15">
        <v>1.6000000430079986E-2</v>
      </c>
    </row>
    <row r="23" spans="1:7">
      <c r="A23" s="11">
        <v>-1.5</v>
      </c>
      <c r="B23" s="10">
        <v>0</v>
      </c>
      <c r="C23" s="9"/>
      <c r="D23" s="9"/>
      <c r="E23" s="11">
        <v>-1.5</v>
      </c>
      <c r="F23" s="14">
        <v>0.15199999956992</v>
      </c>
      <c r="G23" s="15">
        <v>1.6000000430080014E-2</v>
      </c>
    </row>
    <row r="24" spans="1:7">
      <c r="A24" s="11">
        <v>-1.45</v>
      </c>
      <c r="B24" s="10">
        <v>0</v>
      </c>
      <c r="C24" s="9"/>
      <c r="D24" s="9"/>
      <c r="E24" s="11">
        <v>-1.45</v>
      </c>
      <c r="F24" s="14">
        <v>0.16800000000000001</v>
      </c>
      <c r="G24" s="15">
        <v>1.6000000430079986E-2</v>
      </c>
    </row>
    <row r="25" spans="1:7">
      <c r="A25" s="11">
        <v>-1.4</v>
      </c>
      <c r="B25" s="10">
        <v>0</v>
      </c>
      <c r="C25" s="9"/>
      <c r="D25" s="9"/>
      <c r="E25" s="11">
        <v>-1.4</v>
      </c>
      <c r="F25" s="14">
        <v>0.18400000043008</v>
      </c>
      <c r="G25" s="15">
        <v>1.4999999892479993E-2</v>
      </c>
    </row>
    <row r="26" spans="1:7">
      <c r="A26" s="11">
        <v>-1.35</v>
      </c>
      <c r="B26" s="10">
        <v>0</v>
      </c>
      <c r="C26" s="9"/>
      <c r="D26" s="9"/>
      <c r="E26" s="11">
        <v>-1.35</v>
      </c>
      <c r="F26" s="14">
        <v>0.19900000032255999</v>
      </c>
      <c r="G26" s="15">
        <v>1.499999989248002E-2</v>
      </c>
    </row>
    <row r="27" spans="1:7">
      <c r="A27" s="11">
        <v>-1.3</v>
      </c>
      <c r="B27" s="10">
        <v>0</v>
      </c>
      <c r="C27" s="9"/>
      <c r="D27" s="9"/>
      <c r="E27" s="11">
        <v>-1.3</v>
      </c>
      <c r="F27" s="14">
        <v>0.21400000021504001</v>
      </c>
      <c r="G27" s="15">
        <v>1.4999999892479993E-2</v>
      </c>
    </row>
    <row r="28" spans="1:7">
      <c r="A28" s="11">
        <v>-1.25</v>
      </c>
      <c r="B28" s="10">
        <v>0</v>
      </c>
      <c r="C28" s="9"/>
      <c r="D28" s="9"/>
      <c r="E28" s="11">
        <v>-1.25</v>
      </c>
      <c r="F28" s="14">
        <v>0.22900000010752</v>
      </c>
      <c r="G28" s="15">
        <v>1.4999999892479993E-2</v>
      </c>
    </row>
    <row r="29" spans="1:7">
      <c r="A29" s="11">
        <v>-1.2</v>
      </c>
      <c r="B29" s="10">
        <v>0</v>
      </c>
      <c r="C29" s="9"/>
      <c r="D29" s="9"/>
      <c r="E29" s="11">
        <v>-1.2</v>
      </c>
      <c r="F29" s="14">
        <v>0.24399999999999999</v>
      </c>
      <c r="G29" s="15">
        <v>1.499999989248002E-2</v>
      </c>
    </row>
    <row r="30" spans="1:7">
      <c r="A30" s="11">
        <v>-1.1499999999999999</v>
      </c>
      <c r="B30" s="10">
        <v>0</v>
      </c>
      <c r="C30" s="9"/>
      <c r="D30" s="9"/>
      <c r="E30" s="11">
        <v>-1.1499999999999999</v>
      </c>
      <c r="F30" s="14">
        <v>0.25899999989248002</v>
      </c>
      <c r="G30" s="15">
        <v>1.4000000026880011E-2</v>
      </c>
    </row>
    <row r="31" spans="1:7">
      <c r="A31" s="11">
        <v>-1.1000000000000001</v>
      </c>
      <c r="B31" s="14">
        <v>0</v>
      </c>
      <c r="C31" s="15">
        <v>1.7999999999999999E-2</v>
      </c>
      <c r="D31" s="9"/>
      <c r="E31" s="11">
        <v>-1.1000000000000001</v>
      </c>
      <c r="F31" s="14">
        <v>0.27299999991936003</v>
      </c>
      <c r="G31" s="15">
        <v>1.4000000026879955E-2</v>
      </c>
    </row>
    <row r="32" spans="1:7">
      <c r="A32" s="11">
        <v>-1.05</v>
      </c>
      <c r="B32" s="14">
        <v>1.7999999999999999E-2</v>
      </c>
      <c r="C32" s="15">
        <v>1.7999999999999999E-2</v>
      </c>
      <c r="D32" s="9"/>
      <c r="E32" s="11">
        <v>-1.05</v>
      </c>
      <c r="F32" s="14">
        <v>0.28699999994623998</v>
      </c>
      <c r="G32" s="15">
        <v>1.4000000026880011E-2</v>
      </c>
    </row>
    <row r="33" spans="1:7">
      <c r="A33" s="11">
        <v>-1.04</v>
      </c>
      <c r="B33" s="14">
        <v>3.5999999999999997E-2</v>
      </c>
      <c r="C33" s="15">
        <v>1.8000000000000002E-2</v>
      </c>
      <c r="D33" s="9"/>
      <c r="E33" s="11">
        <v>-1.04</v>
      </c>
      <c r="F33" s="14">
        <v>0.30099999997311999</v>
      </c>
      <c r="G33" s="15">
        <v>1.4000000026880011E-2</v>
      </c>
    </row>
    <row r="34" spans="1:7">
      <c r="A34" s="11">
        <v>-1.03</v>
      </c>
      <c r="B34" s="14">
        <v>5.3999999999999999E-2</v>
      </c>
      <c r="C34" s="15">
        <v>1.6999999999999994E-2</v>
      </c>
      <c r="D34" s="9"/>
      <c r="E34" s="11">
        <v>-1.03</v>
      </c>
      <c r="F34" s="14">
        <v>0.315</v>
      </c>
      <c r="G34" s="15">
        <v>1.4000000026880011E-2</v>
      </c>
    </row>
    <row r="35" spans="1:7">
      <c r="A35" s="11">
        <v>-1.02</v>
      </c>
      <c r="B35" s="14">
        <v>7.0999999999999994E-2</v>
      </c>
      <c r="C35" s="15">
        <v>1.7000000000000001E-2</v>
      </c>
      <c r="D35" s="9"/>
      <c r="E35" s="11">
        <v>-1.02</v>
      </c>
      <c r="F35" s="14">
        <v>0.32900000002688001</v>
      </c>
      <c r="G35" s="15">
        <v>1.2999999993279998E-2</v>
      </c>
    </row>
    <row r="36" spans="1:7">
      <c r="A36" s="11">
        <v>-1.01</v>
      </c>
      <c r="B36" s="14">
        <v>8.7999999999999995E-2</v>
      </c>
      <c r="C36" s="15">
        <v>1.7000000000000001E-2</v>
      </c>
      <c r="D36" s="9"/>
      <c r="E36" s="11">
        <v>-1.01</v>
      </c>
      <c r="F36" s="14">
        <v>0.34200000002016001</v>
      </c>
      <c r="G36" s="15">
        <v>1.2999999993279998E-2</v>
      </c>
    </row>
    <row r="37" spans="1:7">
      <c r="A37" s="11">
        <v>-1</v>
      </c>
      <c r="B37" s="14">
        <v>0.105</v>
      </c>
      <c r="C37" s="15">
        <v>1.7000000000000001E-2</v>
      </c>
      <c r="D37" s="9"/>
      <c r="E37" s="11">
        <v>-1</v>
      </c>
      <c r="F37" s="14">
        <v>0.35500000001344001</v>
      </c>
      <c r="G37" s="15">
        <v>1.2999999993279998E-2</v>
      </c>
    </row>
    <row r="38" spans="1:7">
      <c r="A38" s="11">
        <v>-0.99</v>
      </c>
      <c r="B38" s="14">
        <v>0.122</v>
      </c>
      <c r="C38" s="15">
        <v>1.6000000000000014E-2</v>
      </c>
      <c r="D38" s="9"/>
      <c r="E38" s="11">
        <v>-0.99</v>
      </c>
      <c r="F38" s="14">
        <v>0.36800000000672001</v>
      </c>
      <c r="G38" s="15">
        <v>1.2999999993279998E-2</v>
      </c>
    </row>
    <row r="39" spans="1:7">
      <c r="A39" s="11">
        <v>-0.98</v>
      </c>
      <c r="B39" s="14">
        <v>0.13800000000000001</v>
      </c>
      <c r="C39" s="15">
        <v>1.5999999999999986E-2</v>
      </c>
      <c r="D39" s="9"/>
      <c r="E39" s="11">
        <v>-0.98</v>
      </c>
      <c r="F39" s="14">
        <v>0.38100000000000001</v>
      </c>
      <c r="G39" s="15">
        <v>1.2999999993279998E-2</v>
      </c>
    </row>
    <row r="40" spans="1:7">
      <c r="A40" s="11">
        <v>-0.97</v>
      </c>
      <c r="B40" s="14">
        <v>0.154</v>
      </c>
      <c r="C40" s="15">
        <v>1.6000000000000014E-2</v>
      </c>
      <c r="D40" s="9"/>
      <c r="E40" s="11">
        <v>-0.97</v>
      </c>
      <c r="F40" s="14">
        <v>0.39399999999328</v>
      </c>
      <c r="G40" s="15">
        <v>1.200000000168E-2</v>
      </c>
    </row>
    <row r="41" spans="1:7">
      <c r="A41" s="11">
        <v>-0.96</v>
      </c>
      <c r="B41" s="14">
        <v>0.17</v>
      </c>
      <c r="C41" s="15">
        <v>1.5999999999999986E-2</v>
      </c>
      <c r="D41" s="9"/>
      <c r="E41" s="11">
        <v>-0.96</v>
      </c>
      <c r="F41" s="14">
        <v>0.40599999999496</v>
      </c>
      <c r="G41" s="15">
        <v>1.200000000168E-2</v>
      </c>
    </row>
    <row r="42" spans="1:7">
      <c r="A42" s="11">
        <v>-0.95</v>
      </c>
      <c r="B42" s="14">
        <v>0.186</v>
      </c>
      <c r="C42" s="15">
        <v>1.6000000000000014E-2</v>
      </c>
      <c r="D42" s="9"/>
      <c r="E42" s="11">
        <v>-0.95</v>
      </c>
      <c r="F42" s="14">
        <v>0.41799999999664</v>
      </c>
      <c r="G42" s="15">
        <v>1.200000000168E-2</v>
      </c>
    </row>
    <row r="43" spans="1:7">
      <c r="A43" s="11">
        <v>-0.94</v>
      </c>
      <c r="B43" s="14">
        <v>0.20200000000000001</v>
      </c>
      <c r="C43" s="15">
        <v>1.4999999999999986E-2</v>
      </c>
      <c r="D43" s="9"/>
      <c r="E43" s="11">
        <v>-0.94</v>
      </c>
      <c r="F43" s="14">
        <v>0.42999999999832</v>
      </c>
      <c r="G43" s="15">
        <v>1.200000000168E-2</v>
      </c>
    </row>
    <row r="44" spans="1:7">
      <c r="A44" s="11">
        <v>-0.93</v>
      </c>
      <c r="B44" s="14">
        <v>0.217</v>
      </c>
      <c r="C44" s="15">
        <v>1.5000000000000013E-2</v>
      </c>
      <c r="D44" s="9"/>
      <c r="E44" s="11">
        <v>-0.93</v>
      </c>
      <c r="F44" s="14">
        <v>0.442</v>
      </c>
      <c r="G44" s="15">
        <v>1.200000000168E-2</v>
      </c>
    </row>
    <row r="45" spans="1:7">
      <c r="A45" s="11">
        <v>-0.92</v>
      </c>
      <c r="B45" s="14">
        <v>0.23200000000000001</v>
      </c>
      <c r="C45" s="15">
        <v>1.4999999999999986E-2</v>
      </c>
      <c r="D45" s="9"/>
      <c r="E45" s="11">
        <v>-0.92</v>
      </c>
      <c r="F45" s="14">
        <v>0.45400000000168</v>
      </c>
      <c r="G45" s="15">
        <v>1.0999999999664001E-2</v>
      </c>
    </row>
    <row r="46" spans="1:7">
      <c r="A46" s="11">
        <v>-0.91</v>
      </c>
      <c r="B46" s="14">
        <v>0.247</v>
      </c>
      <c r="C46" s="15">
        <v>1.5000000000000013E-2</v>
      </c>
      <c r="D46" s="9"/>
      <c r="E46" s="11">
        <v>-0.91</v>
      </c>
      <c r="F46" s="14">
        <v>0.465000000001344</v>
      </c>
      <c r="G46" s="15">
        <v>1.0999999999664001E-2</v>
      </c>
    </row>
    <row r="47" spans="1:7">
      <c r="A47" s="11">
        <v>-0.9</v>
      </c>
      <c r="B47" s="14">
        <v>0.26200000000000001</v>
      </c>
      <c r="C47" s="15">
        <v>1.5000000000000013E-2</v>
      </c>
      <c r="D47" s="9"/>
      <c r="E47" s="11">
        <v>-0.9</v>
      </c>
      <c r="F47" s="14">
        <v>0.47600000000100801</v>
      </c>
      <c r="G47" s="15">
        <v>1.0999999999664001E-2</v>
      </c>
    </row>
    <row r="48" spans="1:7">
      <c r="A48" s="11">
        <v>-0.89</v>
      </c>
      <c r="B48" s="14">
        <v>0.27700000000000002</v>
      </c>
      <c r="C48" s="15">
        <v>1.3999999999999957E-2</v>
      </c>
      <c r="D48" s="9"/>
      <c r="E48" s="11">
        <v>-0.89</v>
      </c>
      <c r="F48" s="14">
        <v>0.48700000000067201</v>
      </c>
      <c r="G48" s="15">
        <v>1.0999999999664001E-2</v>
      </c>
    </row>
    <row r="49" spans="1:7">
      <c r="A49" s="11">
        <v>-0.88</v>
      </c>
      <c r="B49" s="14">
        <v>0.29099999999999998</v>
      </c>
      <c r="C49" s="15">
        <v>1.4000000000000012E-2</v>
      </c>
      <c r="D49" s="9"/>
      <c r="E49" s="11">
        <v>-0.88</v>
      </c>
      <c r="F49" s="14">
        <v>0.49800000000033601</v>
      </c>
      <c r="G49" s="15">
        <v>1.0999999999664001E-2</v>
      </c>
    </row>
    <row r="50" spans="1:7">
      <c r="A50" s="11">
        <v>-0.87</v>
      </c>
      <c r="B50" s="14">
        <v>0.30499999999999999</v>
      </c>
      <c r="C50" s="15">
        <v>1.4000000000000012E-2</v>
      </c>
      <c r="D50" s="9"/>
      <c r="E50" s="11">
        <v>-0.87</v>
      </c>
      <c r="F50" s="14">
        <v>0.50900000000000001</v>
      </c>
      <c r="G50" s="15">
        <v>1.0999999999663945E-2</v>
      </c>
    </row>
    <row r="51" spans="1:7">
      <c r="A51" s="11">
        <v>-0.86</v>
      </c>
      <c r="B51" s="14">
        <v>0.31900000000000001</v>
      </c>
      <c r="C51" s="15">
        <v>1.4000000000000012E-2</v>
      </c>
      <c r="D51" s="9"/>
      <c r="E51" s="11">
        <v>-0.86</v>
      </c>
      <c r="F51" s="14">
        <v>0.51999999999966395</v>
      </c>
      <c r="G51" s="15">
        <v>1.0000000000056075E-2</v>
      </c>
    </row>
    <row r="52" spans="1:7">
      <c r="A52" s="11">
        <v>-0.85</v>
      </c>
      <c r="B52" s="14">
        <v>0.33300000000000002</v>
      </c>
      <c r="C52" s="15">
        <v>1.3999999999999957E-2</v>
      </c>
      <c r="D52" s="9"/>
      <c r="E52" s="11">
        <v>-0.85</v>
      </c>
      <c r="F52" s="14">
        <v>0.52999999999972003</v>
      </c>
      <c r="G52" s="15">
        <v>1.0000000000055964E-2</v>
      </c>
    </row>
    <row r="53" spans="1:7">
      <c r="A53" s="11">
        <v>-0.84</v>
      </c>
      <c r="B53" s="14">
        <v>0.34699999999999998</v>
      </c>
      <c r="C53" s="15">
        <v>1.3000000000000012E-2</v>
      </c>
      <c r="D53" s="9"/>
      <c r="E53" s="11">
        <v>-0.84</v>
      </c>
      <c r="F53" s="14">
        <v>0.53999999999977599</v>
      </c>
      <c r="G53" s="15">
        <v>1.0000000000055964E-2</v>
      </c>
    </row>
    <row r="54" spans="1:7">
      <c r="A54" s="11">
        <v>-0.83</v>
      </c>
      <c r="B54" s="14">
        <v>0.36</v>
      </c>
      <c r="C54" s="15">
        <v>1.3000000000000012E-2</v>
      </c>
      <c r="D54" s="9"/>
      <c r="E54" s="11">
        <v>-0.83</v>
      </c>
      <c r="F54" s="14">
        <v>0.54999999999983196</v>
      </c>
      <c r="G54" s="15">
        <v>1.0000000000056075E-2</v>
      </c>
    </row>
    <row r="55" spans="1:7">
      <c r="A55" s="11">
        <v>-0.82</v>
      </c>
      <c r="B55" s="14">
        <v>0.373</v>
      </c>
      <c r="C55" s="15">
        <v>1.3000000000000012E-2</v>
      </c>
      <c r="D55" s="9"/>
      <c r="E55" s="11">
        <v>-0.82</v>
      </c>
      <c r="F55" s="14">
        <v>0.55999999999988803</v>
      </c>
      <c r="G55" s="15">
        <v>1.0000000000055964E-2</v>
      </c>
    </row>
    <row r="56" spans="1:7">
      <c r="A56" s="11">
        <v>-0.81</v>
      </c>
      <c r="B56" s="14">
        <v>0.38600000000000001</v>
      </c>
      <c r="C56" s="15">
        <v>1.3000000000000012E-2</v>
      </c>
      <c r="D56" s="9"/>
      <c r="E56" s="11">
        <v>-0.81</v>
      </c>
      <c r="F56" s="14">
        <v>0.569999999999944</v>
      </c>
      <c r="G56" s="15">
        <v>1.0000000000055964E-2</v>
      </c>
    </row>
    <row r="57" spans="1:7">
      <c r="A57" s="11">
        <v>-0.8</v>
      </c>
      <c r="B57" s="14">
        <v>0.39900000000000002</v>
      </c>
      <c r="C57" s="15">
        <v>1.2999999999999956E-2</v>
      </c>
      <c r="D57" s="9"/>
      <c r="E57" s="11">
        <v>-0.8</v>
      </c>
      <c r="F57" s="14">
        <v>0.57999999999999996</v>
      </c>
      <c r="G57" s="15">
        <v>1.0000000000056075E-2</v>
      </c>
    </row>
    <row r="58" spans="1:7">
      <c r="A58" s="11">
        <v>-0.79</v>
      </c>
      <c r="B58" s="14">
        <v>0.41199999999999998</v>
      </c>
      <c r="C58" s="15">
        <v>1.2000000000000011E-2</v>
      </c>
      <c r="D58" s="9"/>
      <c r="E58" s="11">
        <v>-0.79</v>
      </c>
      <c r="F58" s="14">
        <v>0.59000000000005604</v>
      </c>
      <c r="G58" s="15">
        <v>8.9999999999920144E-3</v>
      </c>
    </row>
    <row r="59" spans="1:7">
      <c r="A59" s="11">
        <v>-0.78</v>
      </c>
      <c r="B59" s="14">
        <v>0.42399999999999999</v>
      </c>
      <c r="C59" s="15">
        <v>1.2000000000000011E-2</v>
      </c>
      <c r="D59" s="9"/>
      <c r="E59" s="11">
        <v>-0.78</v>
      </c>
      <c r="F59" s="14">
        <v>0.59900000000004805</v>
      </c>
      <c r="G59" s="15">
        <v>8.9999999999919034E-3</v>
      </c>
    </row>
    <row r="60" spans="1:7">
      <c r="A60" s="11">
        <v>-0.77</v>
      </c>
      <c r="B60" s="14">
        <v>0.436</v>
      </c>
      <c r="C60" s="15">
        <v>1.2000000000000011E-2</v>
      </c>
      <c r="D60" s="9"/>
      <c r="E60" s="11">
        <v>-0.77</v>
      </c>
      <c r="F60" s="14">
        <v>0.60800000000003995</v>
      </c>
      <c r="G60" s="15">
        <v>8.9999999999920144E-3</v>
      </c>
    </row>
    <row r="61" spans="1:7">
      <c r="A61" s="11">
        <v>-0.76</v>
      </c>
      <c r="B61" s="14">
        <v>0.44800000000000001</v>
      </c>
      <c r="C61" s="15">
        <v>1.2000000000000011E-2</v>
      </c>
      <c r="D61" s="9"/>
      <c r="E61" s="11">
        <v>-0.76</v>
      </c>
      <c r="F61" s="14">
        <v>0.61700000000003197</v>
      </c>
      <c r="G61" s="15">
        <v>8.9999999999920144E-3</v>
      </c>
    </row>
    <row r="62" spans="1:7">
      <c r="A62" s="11">
        <v>-0.75</v>
      </c>
      <c r="B62" s="14">
        <v>0.46</v>
      </c>
      <c r="C62" s="15">
        <v>1.1999999999999955E-2</v>
      </c>
      <c r="D62" s="9"/>
      <c r="E62" s="11">
        <v>-0.75</v>
      </c>
      <c r="F62" s="14">
        <v>0.62600000000002398</v>
      </c>
      <c r="G62" s="15">
        <v>8.9999999999920144E-3</v>
      </c>
    </row>
    <row r="63" spans="1:7">
      <c r="A63" s="11">
        <v>-0.74</v>
      </c>
      <c r="B63" s="14">
        <v>0.47199999999999998</v>
      </c>
      <c r="C63" s="15">
        <v>1.100000000000001E-2</v>
      </c>
      <c r="D63" s="9"/>
      <c r="E63" s="11">
        <v>-0.74</v>
      </c>
      <c r="F63" s="14">
        <v>0.635000000000016</v>
      </c>
      <c r="G63" s="15">
        <v>8.9999999999920144E-3</v>
      </c>
    </row>
    <row r="64" spans="1:7">
      <c r="A64" s="11">
        <v>-0.73</v>
      </c>
      <c r="B64" s="14">
        <v>0.48299999999999998</v>
      </c>
      <c r="C64" s="15">
        <v>1.100000000000001E-2</v>
      </c>
      <c r="D64" s="9"/>
      <c r="E64" s="11">
        <v>-0.73</v>
      </c>
      <c r="F64" s="14">
        <v>0.64400000000000801</v>
      </c>
      <c r="G64" s="15">
        <v>8.9999999999920144E-3</v>
      </c>
    </row>
    <row r="65" spans="1:7">
      <c r="A65" s="11">
        <v>-0.72</v>
      </c>
      <c r="B65" s="14">
        <v>0.49399999999999999</v>
      </c>
      <c r="C65" s="15">
        <v>1.100000000000001E-2</v>
      </c>
      <c r="D65" s="9"/>
      <c r="E65" s="11">
        <v>-0.72</v>
      </c>
      <c r="F65" s="14">
        <v>0.65300000000000002</v>
      </c>
      <c r="G65" s="15">
        <v>8.9999999999920144E-3</v>
      </c>
    </row>
    <row r="66" spans="1:7">
      <c r="A66" s="11">
        <v>-0.71</v>
      </c>
      <c r="B66" s="14">
        <v>0.505</v>
      </c>
      <c r="C66" s="15">
        <v>1.100000000000001E-2</v>
      </c>
      <c r="D66" s="9"/>
      <c r="E66" s="11">
        <v>-0.71</v>
      </c>
      <c r="F66" s="14">
        <v>0.66199999999999204</v>
      </c>
      <c r="G66" s="15">
        <v>8.0000000000010063E-3</v>
      </c>
    </row>
    <row r="67" spans="1:7">
      <c r="A67" s="11">
        <v>-0.7</v>
      </c>
      <c r="B67" s="14">
        <v>0.51600000000000001</v>
      </c>
      <c r="C67" s="15">
        <v>1.100000000000001E-2</v>
      </c>
      <c r="D67" s="9"/>
      <c r="E67" s="11">
        <v>-0.7</v>
      </c>
      <c r="F67" s="14">
        <v>0.66999999999999305</v>
      </c>
      <c r="G67" s="15">
        <v>8.0000000000010063E-3</v>
      </c>
    </row>
    <row r="68" spans="1:7">
      <c r="A68" s="11">
        <v>-0.69</v>
      </c>
      <c r="B68" s="14">
        <v>0.52700000000000002</v>
      </c>
      <c r="C68" s="15">
        <v>1.100000000000001E-2</v>
      </c>
      <c r="D68" s="9"/>
      <c r="E68" s="11">
        <v>-0.69</v>
      </c>
      <c r="F68" s="14">
        <v>0.67799999999999405</v>
      </c>
      <c r="G68" s="15">
        <v>8.0000000000008953E-3</v>
      </c>
    </row>
    <row r="69" spans="1:7">
      <c r="A69" s="11">
        <v>-0.68</v>
      </c>
      <c r="B69" s="14">
        <v>0.53800000000000003</v>
      </c>
      <c r="C69" s="15">
        <v>1.0000000000000009E-2</v>
      </c>
      <c r="D69" s="9"/>
      <c r="E69" s="11">
        <v>-0.68</v>
      </c>
      <c r="F69" s="14">
        <v>0.68599999999999495</v>
      </c>
      <c r="G69" s="15">
        <v>8.0000000000010063E-3</v>
      </c>
    </row>
    <row r="70" spans="1:7">
      <c r="A70" s="11">
        <v>-0.67</v>
      </c>
      <c r="B70" s="14">
        <v>0.54800000000000004</v>
      </c>
      <c r="C70" s="15">
        <v>1.0000000000000009E-2</v>
      </c>
      <c r="D70" s="9"/>
      <c r="E70" s="11">
        <v>-0.67</v>
      </c>
      <c r="F70" s="14">
        <v>0.69399999999999595</v>
      </c>
      <c r="G70" s="15">
        <v>8.0000000000010063E-3</v>
      </c>
    </row>
    <row r="71" spans="1:7">
      <c r="A71" s="11">
        <v>-0.66</v>
      </c>
      <c r="B71" s="14">
        <v>0.55800000000000005</v>
      </c>
      <c r="C71" s="15">
        <v>9.9999999999998979E-3</v>
      </c>
      <c r="D71" s="9"/>
      <c r="E71" s="11">
        <v>-0.66</v>
      </c>
      <c r="F71" s="14">
        <v>0.70199999999999696</v>
      </c>
      <c r="G71" s="15">
        <v>8.0000000000010063E-3</v>
      </c>
    </row>
    <row r="72" spans="1:7">
      <c r="A72" s="11">
        <v>-0.65</v>
      </c>
      <c r="B72" s="14">
        <v>0.56799999999999995</v>
      </c>
      <c r="C72" s="15">
        <v>1.0000000000000009E-2</v>
      </c>
      <c r="D72" s="9"/>
      <c r="E72" s="11">
        <v>-0.65</v>
      </c>
      <c r="F72" s="14">
        <v>0.70999999999999797</v>
      </c>
      <c r="G72" s="15">
        <v>8.0000000000010063E-3</v>
      </c>
    </row>
    <row r="73" spans="1:7">
      <c r="A73" s="11">
        <v>-0.64</v>
      </c>
      <c r="B73" s="14">
        <v>0.57799999999999996</v>
      </c>
      <c r="C73" s="15">
        <v>1.0000000000000009E-2</v>
      </c>
      <c r="D73" s="9"/>
      <c r="E73" s="11">
        <v>-0.64</v>
      </c>
      <c r="F73" s="14">
        <v>0.71799999999999897</v>
      </c>
      <c r="G73" s="15">
        <v>8.0000000000010063E-3</v>
      </c>
    </row>
    <row r="74" spans="1:7">
      <c r="A74" s="11">
        <v>-0.63</v>
      </c>
      <c r="B74" s="14">
        <v>0.58799999999999997</v>
      </c>
      <c r="C74" s="15">
        <v>1.0000000000000009E-2</v>
      </c>
      <c r="D74" s="9"/>
      <c r="E74" s="11">
        <v>-0.63</v>
      </c>
      <c r="F74" s="14">
        <v>0.72599999999999998</v>
      </c>
      <c r="G74" s="15">
        <v>8.0000000000010063E-3</v>
      </c>
    </row>
    <row r="75" spans="1:7">
      <c r="A75" s="11">
        <v>-0.62</v>
      </c>
      <c r="B75" s="14">
        <v>0.59799999999999998</v>
      </c>
      <c r="C75" s="15">
        <v>1.0000000000000009E-2</v>
      </c>
      <c r="D75" s="9"/>
      <c r="E75" s="11">
        <v>-0.62</v>
      </c>
      <c r="F75" s="14">
        <v>0.73400000000000098</v>
      </c>
      <c r="G75" s="15">
        <v>7.0000000000000062E-3</v>
      </c>
    </row>
    <row r="76" spans="1:7">
      <c r="A76" s="11">
        <v>-0.61</v>
      </c>
      <c r="B76" s="14">
        <v>0.60799999999999998</v>
      </c>
      <c r="C76" s="15">
        <v>9.000000000000008E-3</v>
      </c>
      <c r="D76" s="9"/>
      <c r="E76" s="11">
        <v>-0.61</v>
      </c>
      <c r="F76" s="14">
        <v>0.74100000000000099</v>
      </c>
      <c r="G76" s="15">
        <v>7.0000000000000062E-3</v>
      </c>
    </row>
    <row r="77" spans="1:7">
      <c r="A77" s="11">
        <v>-0.6</v>
      </c>
      <c r="B77" s="14">
        <v>0.61699999999999999</v>
      </c>
      <c r="C77" s="15">
        <v>9.000000000000008E-3</v>
      </c>
      <c r="D77" s="9"/>
      <c r="E77" s="11">
        <v>-0.6</v>
      </c>
      <c r="F77" s="14">
        <v>0.748000000000001</v>
      </c>
      <c r="G77" s="15">
        <v>7.0000000000000062E-3</v>
      </c>
    </row>
    <row r="78" spans="1:7">
      <c r="A78" s="11">
        <v>-0.59</v>
      </c>
      <c r="B78" s="14">
        <v>0.626</v>
      </c>
      <c r="C78" s="15">
        <v>9.000000000000008E-3</v>
      </c>
      <c r="D78" s="9"/>
      <c r="E78" s="11">
        <v>-0.59</v>
      </c>
      <c r="F78" s="14">
        <v>0.755000000000001</v>
      </c>
      <c r="G78" s="15">
        <v>7.0000000000000062E-3</v>
      </c>
    </row>
    <row r="79" spans="1:7">
      <c r="A79" s="11">
        <v>-0.57999999999999996</v>
      </c>
      <c r="B79" s="14">
        <v>0.63500000000000001</v>
      </c>
      <c r="C79" s="15">
        <v>9.000000000000008E-3</v>
      </c>
      <c r="D79" s="9"/>
      <c r="E79" s="11">
        <v>-0.57999999999999996</v>
      </c>
      <c r="F79" s="14">
        <v>0.76200000000000101</v>
      </c>
      <c r="G79" s="15">
        <v>7.0000000000000062E-3</v>
      </c>
    </row>
    <row r="80" spans="1:7">
      <c r="A80" s="11">
        <v>-0.56999999999999995</v>
      </c>
      <c r="B80" s="14">
        <v>0.64400000000000002</v>
      </c>
      <c r="C80" s="15">
        <v>9.000000000000008E-3</v>
      </c>
      <c r="D80" s="9"/>
      <c r="E80" s="11">
        <v>-0.56999999999999995</v>
      </c>
      <c r="F80" s="14">
        <v>0.76900000000000102</v>
      </c>
      <c r="G80" s="15">
        <v>7.0000000000000062E-3</v>
      </c>
    </row>
    <row r="81" spans="1:7">
      <c r="A81" s="11">
        <v>-0.56000000000000005</v>
      </c>
      <c r="B81" s="14">
        <v>0.65300000000000002</v>
      </c>
      <c r="C81" s="15">
        <v>9.000000000000008E-3</v>
      </c>
      <c r="D81" s="9"/>
      <c r="E81" s="11">
        <v>-0.56000000000000005</v>
      </c>
      <c r="F81" s="14">
        <v>0.77600000000000102</v>
      </c>
      <c r="G81" s="15">
        <v>6.999999999999007E-3</v>
      </c>
    </row>
    <row r="82" spans="1:7">
      <c r="A82" s="11">
        <v>-0.55000000000000004</v>
      </c>
      <c r="B82" s="14">
        <v>0.66200000000000003</v>
      </c>
      <c r="C82" s="15">
        <v>9.000000000000008E-3</v>
      </c>
      <c r="D82" s="9"/>
      <c r="E82" s="11">
        <v>-0.55000000000000004</v>
      </c>
      <c r="F82" s="14">
        <v>0.78300000000000003</v>
      </c>
      <c r="G82" s="15">
        <v>7.0000000000000062E-3</v>
      </c>
    </row>
    <row r="83" spans="1:7">
      <c r="A83" s="11">
        <v>-0.54</v>
      </c>
      <c r="B83" s="14">
        <v>0.67100000000000004</v>
      </c>
      <c r="C83" s="15">
        <v>9.000000000000008E-3</v>
      </c>
      <c r="D83" s="9"/>
      <c r="E83" s="11">
        <v>-0.54</v>
      </c>
      <c r="F83" s="14">
        <v>0.79</v>
      </c>
      <c r="G83" s="15">
        <v>7.0000000000000062E-3</v>
      </c>
    </row>
    <row r="84" spans="1:7">
      <c r="A84" s="11">
        <v>-0.53</v>
      </c>
      <c r="B84" s="14">
        <v>0.68</v>
      </c>
      <c r="C84" s="15">
        <v>7.9999999999998961E-3</v>
      </c>
      <c r="D84" s="9"/>
      <c r="E84" s="11">
        <v>-0.53</v>
      </c>
      <c r="F84" s="14">
        <v>0.79700000000000004</v>
      </c>
      <c r="G84" s="15">
        <v>7.0000000000000062E-3</v>
      </c>
    </row>
    <row r="85" spans="1:7">
      <c r="A85" s="11">
        <v>-0.52</v>
      </c>
      <c r="B85" s="14">
        <v>0.68799999999999994</v>
      </c>
      <c r="C85" s="15">
        <v>8.0000000000000071E-3</v>
      </c>
      <c r="D85" s="9"/>
      <c r="E85" s="11">
        <v>-0.52</v>
      </c>
      <c r="F85" s="14">
        <v>0.80400000000000005</v>
      </c>
      <c r="G85" s="15">
        <v>7.0000000000000062E-3</v>
      </c>
    </row>
    <row r="86" spans="1:7">
      <c r="A86" s="11">
        <v>-0.51</v>
      </c>
      <c r="B86" s="14">
        <v>0.69599999999999995</v>
      </c>
      <c r="C86" s="15">
        <v>8.0000000000000071E-3</v>
      </c>
      <c r="D86" s="9"/>
      <c r="E86" s="11">
        <v>-0.51</v>
      </c>
      <c r="F86" s="14">
        <v>0.81100000000000005</v>
      </c>
      <c r="G86" s="15">
        <v>6.9999999999998952E-3</v>
      </c>
    </row>
    <row r="87" spans="1:7">
      <c r="A87" s="11">
        <v>-0.5</v>
      </c>
      <c r="B87" s="14">
        <v>0.70399999999999996</v>
      </c>
      <c r="C87" s="15">
        <v>8.0000000000000071E-3</v>
      </c>
      <c r="D87" s="9"/>
      <c r="E87" s="11">
        <v>-0.5</v>
      </c>
      <c r="F87" s="14">
        <v>0.81799999999999995</v>
      </c>
      <c r="G87" s="15">
        <v>6.0000000000000053E-3</v>
      </c>
    </row>
    <row r="88" spans="1:7">
      <c r="A88" s="11">
        <v>-0.49</v>
      </c>
      <c r="B88" s="14">
        <v>0.71199999999999997</v>
      </c>
      <c r="C88" s="15">
        <v>8.0000000000000071E-3</v>
      </c>
      <c r="D88" s="9"/>
      <c r="E88" s="11">
        <v>-0.49</v>
      </c>
      <c r="F88" s="14">
        <v>0.82399999999999995</v>
      </c>
      <c r="G88" s="15">
        <v>6.0000000000000053E-3</v>
      </c>
    </row>
    <row r="89" spans="1:7">
      <c r="A89" s="11">
        <v>-0.48</v>
      </c>
      <c r="B89" s="14">
        <v>0.72</v>
      </c>
      <c r="C89" s="15">
        <v>8.0000000000000071E-3</v>
      </c>
      <c r="D89" s="9"/>
      <c r="E89" s="11">
        <v>-0.48</v>
      </c>
      <c r="F89" s="14">
        <v>0.83</v>
      </c>
      <c r="G89" s="15">
        <v>6.0000000000000053E-3</v>
      </c>
    </row>
    <row r="90" spans="1:7">
      <c r="A90" s="11">
        <v>-0.47</v>
      </c>
      <c r="B90" s="14">
        <v>0.72799999999999998</v>
      </c>
      <c r="C90" s="15">
        <v>8.0000000000000071E-3</v>
      </c>
      <c r="D90" s="9"/>
      <c r="E90" s="11">
        <v>-0.47</v>
      </c>
      <c r="F90" s="14">
        <v>0.83599999999999997</v>
      </c>
      <c r="G90" s="15">
        <v>6.0000000000000053E-3</v>
      </c>
    </row>
    <row r="91" spans="1:7">
      <c r="A91" s="11">
        <v>-0.46</v>
      </c>
      <c r="B91" s="14">
        <v>0.73599999999999999</v>
      </c>
      <c r="C91" s="15">
        <v>8.0000000000000071E-3</v>
      </c>
      <c r="D91" s="9"/>
      <c r="E91" s="11">
        <v>-0.46</v>
      </c>
      <c r="F91" s="14">
        <v>0.84199999999999997</v>
      </c>
      <c r="G91" s="15">
        <v>6.0000000000000053E-3</v>
      </c>
    </row>
    <row r="92" spans="1:7">
      <c r="A92" s="11">
        <v>-0.45</v>
      </c>
      <c r="B92" s="14">
        <v>0.74399999999999999</v>
      </c>
      <c r="C92" s="15">
        <v>8.0000000000000071E-3</v>
      </c>
      <c r="D92" s="9"/>
      <c r="E92" s="11">
        <v>-0.45</v>
      </c>
      <c r="F92" s="14">
        <v>0.84799999999999998</v>
      </c>
      <c r="G92" s="15">
        <v>6.0000000000000053E-3</v>
      </c>
    </row>
    <row r="93" spans="1:7">
      <c r="A93" s="11">
        <v>-0.44</v>
      </c>
      <c r="B93" s="14">
        <v>0.752</v>
      </c>
      <c r="C93" s="15">
        <v>7.0000000000000062E-3</v>
      </c>
      <c r="D93" s="9"/>
      <c r="E93" s="11">
        <v>-0.44</v>
      </c>
      <c r="F93" s="14">
        <v>0.85399999999999998</v>
      </c>
      <c r="G93" s="15">
        <v>6.0000000000000053E-3</v>
      </c>
    </row>
    <row r="94" spans="1:7">
      <c r="A94" s="11">
        <v>-0.43</v>
      </c>
      <c r="B94" s="14">
        <v>0.75900000000000001</v>
      </c>
      <c r="C94" s="15">
        <v>7.0000000000000062E-3</v>
      </c>
      <c r="D94" s="9"/>
      <c r="E94" s="11">
        <v>-0.43</v>
      </c>
      <c r="F94" s="14">
        <v>0.86</v>
      </c>
      <c r="G94" s="15">
        <v>6.0000000000000053E-3</v>
      </c>
    </row>
    <row r="95" spans="1:7">
      <c r="A95" s="11">
        <v>-0.42</v>
      </c>
      <c r="B95" s="14">
        <v>0.76600000000000001</v>
      </c>
      <c r="C95" s="15">
        <v>7.0000000000000062E-3</v>
      </c>
      <c r="D95" s="9"/>
      <c r="E95" s="11">
        <v>-0.42</v>
      </c>
      <c r="F95" s="14">
        <v>0.86599999999999999</v>
      </c>
      <c r="G95" s="15">
        <v>6.0000000000000053E-3</v>
      </c>
    </row>
    <row r="96" spans="1:7">
      <c r="A96" s="11">
        <v>-0.41</v>
      </c>
      <c r="B96" s="14">
        <v>0.77300000000000002</v>
      </c>
      <c r="C96" s="15">
        <v>7.0000000000000062E-3</v>
      </c>
      <c r="D96" s="9"/>
      <c r="E96" s="11">
        <v>-0.41</v>
      </c>
      <c r="F96" s="14">
        <v>0.872</v>
      </c>
      <c r="G96" s="15">
        <v>6.0000000000000053E-3</v>
      </c>
    </row>
    <row r="97" spans="1:7">
      <c r="A97" s="11">
        <v>-0.4</v>
      </c>
      <c r="B97" s="14">
        <v>0.78</v>
      </c>
      <c r="C97" s="15">
        <v>7.0000000000000062E-3</v>
      </c>
      <c r="D97" s="9"/>
      <c r="E97" s="11">
        <v>-0.4</v>
      </c>
      <c r="F97" s="14">
        <v>0.878</v>
      </c>
      <c r="G97" s="15">
        <v>6.0000000000000053E-3</v>
      </c>
    </row>
    <row r="98" spans="1:7">
      <c r="A98" s="11">
        <v>-0.39</v>
      </c>
      <c r="B98" s="14">
        <v>0.78700000000000003</v>
      </c>
      <c r="C98" s="15">
        <v>7.0000000000000062E-3</v>
      </c>
      <c r="D98" s="9"/>
      <c r="E98" s="11">
        <v>-0.39</v>
      </c>
      <c r="F98" s="14">
        <v>0.88400000000000001</v>
      </c>
      <c r="G98" s="15">
        <v>6.0000000000000053E-3</v>
      </c>
    </row>
    <row r="99" spans="1:7">
      <c r="A99" s="11">
        <v>-0.38</v>
      </c>
      <c r="B99" s="14">
        <v>0.79400000000000004</v>
      </c>
      <c r="C99" s="15">
        <v>7.0000000000000062E-3</v>
      </c>
      <c r="D99" s="9"/>
      <c r="E99" s="11">
        <v>-0.38</v>
      </c>
      <c r="F99" s="14">
        <v>0.89</v>
      </c>
      <c r="G99" s="15">
        <v>6.0000000000000053E-3</v>
      </c>
    </row>
    <row r="100" spans="1:7">
      <c r="A100" s="11">
        <v>-0.37</v>
      </c>
      <c r="B100" s="14">
        <v>0.80100000000000005</v>
      </c>
      <c r="C100" s="15">
        <v>7.0000000000000062E-3</v>
      </c>
      <c r="D100" s="9"/>
      <c r="E100" s="11">
        <v>-0.37</v>
      </c>
      <c r="F100" s="14">
        <v>0.89600000000000002</v>
      </c>
      <c r="G100" s="15">
        <v>6.0000000000000053E-3</v>
      </c>
    </row>
    <row r="101" spans="1:7">
      <c r="A101" s="11">
        <v>-0.36</v>
      </c>
      <c r="B101" s="14">
        <v>0.80800000000000005</v>
      </c>
      <c r="C101" s="15">
        <v>6.9999999999998952E-3</v>
      </c>
      <c r="D101" s="9"/>
      <c r="E101" s="11">
        <v>-0.36</v>
      </c>
      <c r="F101" s="14">
        <v>0.90200000000000002</v>
      </c>
      <c r="G101" s="15">
        <v>5.0000000000000044E-3</v>
      </c>
    </row>
    <row r="102" spans="1:7">
      <c r="A102" s="11">
        <v>-0.35</v>
      </c>
      <c r="B102" s="14">
        <v>0.81499999999999995</v>
      </c>
      <c r="C102" s="15">
        <v>7.0000000000000062E-3</v>
      </c>
      <c r="D102" s="9"/>
      <c r="E102" s="11">
        <v>-0.35</v>
      </c>
      <c r="F102" s="14">
        <v>0.90700000000000003</v>
      </c>
      <c r="G102" s="15">
        <v>5.0000000000000044E-3</v>
      </c>
    </row>
    <row r="103" spans="1:7">
      <c r="A103" s="11">
        <v>-0.34</v>
      </c>
      <c r="B103" s="14">
        <v>0.82199999999999995</v>
      </c>
      <c r="C103" s="15">
        <v>7.0000000000000062E-3</v>
      </c>
      <c r="D103" s="9"/>
      <c r="E103" s="11">
        <v>-0.34</v>
      </c>
      <c r="F103" s="14">
        <v>0.91200000000000003</v>
      </c>
      <c r="G103" s="15">
        <v>5.0000000000000044E-3</v>
      </c>
    </row>
    <row r="104" spans="1:7">
      <c r="A104" s="11">
        <v>-0.33</v>
      </c>
      <c r="B104" s="14">
        <v>0.82899999999999996</v>
      </c>
      <c r="C104" s="15">
        <v>7.0000000000000062E-3</v>
      </c>
      <c r="D104" s="9"/>
      <c r="E104" s="11">
        <v>-0.33</v>
      </c>
      <c r="F104" s="14">
        <v>0.91700000000000004</v>
      </c>
      <c r="G104" s="15">
        <v>5.0000000000000044E-3</v>
      </c>
    </row>
    <row r="105" spans="1:7">
      <c r="A105" s="11">
        <v>-0.32</v>
      </c>
      <c r="B105" s="14">
        <v>0.83599999999999997</v>
      </c>
      <c r="C105" s="15">
        <v>6.0000000000000053E-3</v>
      </c>
      <c r="D105" s="9"/>
      <c r="E105" s="11">
        <v>-0.32</v>
      </c>
      <c r="F105" s="14">
        <v>0.92200000000000004</v>
      </c>
      <c r="G105" s="15">
        <v>5.0000000000000044E-3</v>
      </c>
    </row>
    <row r="106" spans="1:7">
      <c r="A106" s="11">
        <v>-0.31</v>
      </c>
      <c r="B106" s="14">
        <v>0.84199999999999997</v>
      </c>
      <c r="C106" s="15">
        <v>6.0000000000000053E-3</v>
      </c>
      <c r="D106" s="9"/>
      <c r="E106" s="11">
        <v>-0.31</v>
      </c>
      <c r="F106" s="14">
        <v>0.92700000000000005</v>
      </c>
      <c r="G106" s="15">
        <v>5.0000000000000044E-3</v>
      </c>
    </row>
    <row r="107" spans="1:7">
      <c r="A107" s="11">
        <v>-0.3</v>
      </c>
      <c r="B107" s="14">
        <v>0.84799999999999998</v>
      </c>
      <c r="C107" s="15">
        <v>6.0000000000000053E-3</v>
      </c>
      <c r="D107" s="9"/>
      <c r="E107" s="11">
        <v>-0.3</v>
      </c>
      <c r="F107" s="14">
        <v>0.93200000000000005</v>
      </c>
      <c r="G107" s="15">
        <v>5.0000000000000044E-3</v>
      </c>
    </row>
    <row r="108" spans="1:7">
      <c r="A108" s="11">
        <v>-0.28999999999999998</v>
      </c>
      <c r="B108" s="14">
        <v>0.85399999999999998</v>
      </c>
      <c r="C108" s="15">
        <v>6.0000000000000053E-3</v>
      </c>
      <c r="D108" s="9"/>
      <c r="E108" s="11">
        <v>-0.28999999999999998</v>
      </c>
      <c r="F108" s="14">
        <v>0.93700000000000006</v>
      </c>
      <c r="G108" s="15">
        <v>4.9999999999998934E-3</v>
      </c>
    </row>
    <row r="109" spans="1:7">
      <c r="A109" s="11">
        <v>-0.28000000000000003</v>
      </c>
      <c r="B109" s="14">
        <v>0.86</v>
      </c>
      <c r="C109" s="15">
        <v>6.0000000000000053E-3</v>
      </c>
      <c r="D109" s="9"/>
      <c r="E109" s="11">
        <v>-0.28000000000000003</v>
      </c>
      <c r="F109" s="14">
        <v>0.94199999999999995</v>
      </c>
      <c r="G109" s="15">
        <v>5.0000000000000044E-3</v>
      </c>
    </row>
    <row r="110" spans="1:7">
      <c r="A110" s="11">
        <v>-0.27</v>
      </c>
      <c r="B110" s="14">
        <v>0.86599999999999999</v>
      </c>
      <c r="C110" s="15">
        <v>6.0000000000000053E-3</v>
      </c>
      <c r="D110" s="9"/>
      <c r="E110" s="11">
        <v>-0.27</v>
      </c>
      <c r="F110" s="14">
        <v>0.94699999999999995</v>
      </c>
      <c r="G110" s="15">
        <v>5.0000000000000044E-3</v>
      </c>
    </row>
    <row r="111" spans="1:7">
      <c r="A111" s="11">
        <v>-0.26</v>
      </c>
      <c r="B111" s="14">
        <v>0.872</v>
      </c>
      <c r="C111" s="15">
        <v>6.0000000000000053E-3</v>
      </c>
      <c r="D111" s="9"/>
      <c r="E111" s="11">
        <v>-0.26</v>
      </c>
      <c r="F111" s="14">
        <v>0.95199999999999996</v>
      </c>
      <c r="G111" s="15">
        <v>5.0000000000000044E-3</v>
      </c>
    </row>
    <row r="112" spans="1:7">
      <c r="A112" s="11">
        <v>-0.25</v>
      </c>
      <c r="B112" s="14">
        <v>0.878</v>
      </c>
      <c r="C112" s="15">
        <v>6.0000000000000053E-3</v>
      </c>
      <c r="D112" s="9"/>
      <c r="E112" s="11">
        <v>-0.25</v>
      </c>
      <c r="F112" s="14">
        <v>0.95699999999999996</v>
      </c>
      <c r="G112" s="15">
        <v>5.0000000000000044E-3</v>
      </c>
    </row>
    <row r="113" spans="1:7">
      <c r="A113" s="11">
        <v>-0.24</v>
      </c>
      <c r="B113" s="14">
        <v>0.88400000000000001</v>
      </c>
      <c r="C113" s="15">
        <v>6.0000000000000053E-3</v>
      </c>
      <c r="D113" s="9"/>
      <c r="E113" s="11">
        <v>-0.24</v>
      </c>
      <c r="F113" s="14">
        <v>0.96199999999999997</v>
      </c>
      <c r="G113" s="15">
        <v>5.0000000000000044E-3</v>
      </c>
    </row>
    <row r="114" spans="1:7">
      <c r="A114" s="11">
        <v>-0.23</v>
      </c>
      <c r="B114" s="14">
        <v>0.89</v>
      </c>
      <c r="C114" s="15">
        <v>6.0000000000000053E-3</v>
      </c>
      <c r="D114" s="9"/>
      <c r="E114" s="11">
        <v>-0.23</v>
      </c>
      <c r="F114" s="14">
        <v>0.96699999999999997</v>
      </c>
      <c r="G114" s="15">
        <v>5.0000000000000044E-3</v>
      </c>
    </row>
    <row r="115" spans="1:7">
      <c r="A115" s="11">
        <v>-0.22</v>
      </c>
      <c r="B115" s="14">
        <v>0.89600000000000002</v>
      </c>
      <c r="C115" s="15">
        <v>6.0000000000000053E-3</v>
      </c>
      <c r="D115" s="9"/>
      <c r="E115" s="11">
        <v>-0.22</v>
      </c>
      <c r="F115" s="14">
        <v>0.97199999999999998</v>
      </c>
      <c r="G115" s="15">
        <v>5.0000000000000044E-3</v>
      </c>
    </row>
    <row r="116" spans="1:7">
      <c r="A116" s="11">
        <v>-0.21</v>
      </c>
      <c r="B116" s="14">
        <v>0.90200000000000002</v>
      </c>
      <c r="C116" s="15">
        <v>6.0000000000000053E-3</v>
      </c>
      <c r="D116" s="9"/>
      <c r="E116" s="11">
        <v>-0.21</v>
      </c>
      <c r="F116" s="14">
        <v>0.97699999999999998</v>
      </c>
      <c r="G116" s="15">
        <v>5.0000000000000044E-3</v>
      </c>
    </row>
    <row r="117" spans="1:7">
      <c r="A117" s="11">
        <v>-0.2</v>
      </c>
      <c r="B117" s="14">
        <v>0.90800000000000003</v>
      </c>
      <c r="C117" s="15">
        <v>6.0000000000000053E-3</v>
      </c>
      <c r="D117" s="9"/>
      <c r="E117" s="11">
        <v>-0.2</v>
      </c>
      <c r="F117" s="14">
        <v>0.98199999999999998</v>
      </c>
      <c r="G117" s="15">
        <v>4.0000000000000036E-3</v>
      </c>
    </row>
    <row r="118" spans="1:7">
      <c r="A118" s="11">
        <v>-0.19</v>
      </c>
      <c r="B118" s="14">
        <v>0.91400000000000003</v>
      </c>
      <c r="C118" s="15">
        <v>6.0000000000000053E-3</v>
      </c>
      <c r="D118" s="9"/>
      <c r="E118" s="11">
        <v>-0.19</v>
      </c>
      <c r="F118" s="14">
        <v>0.98599999999999999</v>
      </c>
      <c r="G118" s="15">
        <v>4.0000000000000036E-3</v>
      </c>
    </row>
    <row r="119" spans="1:7">
      <c r="A119" s="11">
        <v>-0.18</v>
      </c>
      <c r="B119" s="14">
        <v>0.92</v>
      </c>
      <c r="C119" s="15">
        <v>5.0000000000000044E-3</v>
      </c>
      <c r="D119" s="9"/>
      <c r="E119" s="11">
        <v>-0.18</v>
      </c>
      <c r="F119" s="14">
        <v>0.99</v>
      </c>
      <c r="G119" s="15">
        <v>4.0000000000000036E-3</v>
      </c>
    </row>
    <row r="120" spans="1:7">
      <c r="A120" s="11">
        <v>-0.17</v>
      </c>
      <c r="B120" s="14">
        <v>0.92500000000000004</v>
      </c>
      <c r="C120" s="15">
        <v>5.0000000000000044E-3</v>
      </c>
      <c r="D120" s="9"/>
      <c r="E120" s="11">
        <v>-0.17</v>
      </c>
      <c r="F120" s="14">
        <v>0.99399999999999999</v>
      </c>
      <c r="G120" s="15">
        <v>3.0000000000000027E-3</v>
      </c>
    </row>
    <row r="121" spans="1:7">
      <c r="A121" s="11">
        <v>-0.16</v>
      </c>
      <c r="B121" s="14">
        <v>0.93</v>
      </c>
      <c r="C121" s="15">
        <v>5.0000000000000044E-3</v>
      </c>
      <c r="D121" s="9"/>
      <c r="E121" s="11">
        <v>-0.16</v>
      </c>
      <c r="F121" s="14">
        <v>0.997</v>
      </c>
      <c r="G121" s="15">
        <v>2.0000000000000018E-3</v>
      </c>
    </row>
    <row r="122" spans="1:7">
      <c r="A122" s="11">
        <v>-0.15</v>
      </c>
      <c r="B122" s="14">
        <v>0.93500000000000005</v>
      </c>
      <c r="C122" s="15">
        <v>4.9999999999998934E-3</v>
      </c>
      <c r="D122" s="9"/>
      <c r="E122" s="11">
        <v>-0.15</v>
      </c>
      <c r="F122" s="14">
        <v>0.999</v>
      </c>
      <c r="G122" s="15">
        <v>1.0000000000000009E-3</v>
      </c>
    </row>
    <row r="123" spans="1:7">
      <c r="A123" s="11">
        <v>-0.14000000000000001</v>
      </c>
      <c r="B123" s="14">
        <v>0.94</v>
      </c>
      <c r="C123" s="15">
        <v>5.0000000000000044E-3</v>
      </c>
      <c r="D123" s="9"/>
      <c r="E123" s="11">
        <v>-0.14000000000000001</v>
      </c>
      <c r="F123" s="14">
        <v>1</v>
      </c>
      <c r="G123" s="15">
        <v>0</v>
      </c>
    </row>
    <row r="124" spans="1:7">
      <c r="A124" s="11">
        <v>-0.13</v>
      </c>
      <c r="B124" s="14">
        <v>0.94499999999999995</v>
      </c>
      <c r="C124" s="15">
        <v>5.0000000000000044E-3</v>
      </c>
      <c r="D124" s="9"/>
      <c r="E124" s="11">
        <v>-0.13</v>
      </c>
      <c r="F124" s="14">
        <v>1</v>
      </c>
      <c r="G124" s="15">
        <v>0</v>
      </c>
    </row>
    <row r="125" spans="1:7">
      <c r="A125" s="11">
        <v>-0.12</v>
      </c>
      <c r="B125" s="14">
        <v>0.95</v>
      </c>
      <c r="C125" s="15">
        <v>5.0000000000000044E-3</v>
      </c>
      <c r="D125" s="9"/>
      <c r="E125" s="11">
        <v>-0.12</v>
      </c>
      <c r="F125" s="14">
        <v>1</v>
      </c>
      <c r="G125" s="15">
        <v>0</v>
      </c>
    </row>
    <row r="126" spans="1:7">
      <c r="A126" s="11">
        <v>-0.11</v>
      </c>
      <c r="B126" s="14">
        <v>0.95499999999999996</v>
      </c>
      <c r="C126" s="15">
        <v>5.0000000000000044E-3</v>
      </c>
      <c r="D126" s="9"/>
      <c r="E126" s="11">
        <v>-0.11</v>
      </c>
      <c r="F126" s="14">
        <v>1</v>
      </c>
      <c r="G126" s="15">
        <v>0</v>
      </c>
    </row>
    <row r="127" spans="1:7">
      <c r="A127" s="11">
        <v>-0.1</v>
      </c>
      <c r="B127" s="14">
        <v>0.96</v>
      </c>
      <c r="C127" s="15">
        <v>5.0000000000000044E-3</v>
      </c>
      <c r="D127" s="9"/>
      <c r="E127" s="11">
        <v>-0.1</v>
      </c>
      <c r="F127" s="14">
        <v>1</v>
      </c>
      <c r="G127" s="15">
        <v>0</v>
      </c>
    </row>
    <row r="128" spans="1:7">
      <c r="A128" s="11">
        <v>-0.09</v>
      </c>
      <c r="B128" s="14">
        <v>0.96499999999999997</v>
      </c>
      <c r="C128" s="15">
        <v>5.0000000000000044E-3</v>
      </c>
      <c r="D128" s="9"/>
      <c r="E128" s="11">
        <v>-0.09</v>
      </c>
      <c r="F128" s="14">
        <v>1</v>
      </c>
      <c r="G128" s="15">
        <v>0</v>
      </c>
    </row>
    <row r="129" spans="1:7">
      <c r="A129" s="11">
        <v>-0.08</v>
      </c>
      <c r="B129" s="14">
        <v>0.97</v>
      </c>
      <c r="C129" s="15">
        <v>5.0000000000000044E-3</v>
      </c>
      <c r="D129" s="9"/>
      <c r="E129" s="11">
        <v>-0.08</v>
      </c>
      <c r="F129" s="14">
        <v>1</v>
      </c>
      <c r="G129" s="15">
        <v>0</v>
      </c>
    </row>
    <row r="130" spans="1:7">
      <c r="A130" s="11">
        <v>-7.0000000000000007E-2</v>
      </c>
      <c r="B130" s="14">
        <v>0.97499999999999998</v>
      </c>
      <c r="C130" s="15">
        <v>5.0000000000000044E-3</v>
      </c>
      <c r="D130" s="9"/>
      <c r="E130" s="11">
        <v>-7.0000000000000007E-2</v>
      </c>
      <c r="F130" s="10">
        <v>1</v>
      </c>
      <c r="G130" s="15">
        <v>0</v>
      </c>
    </row>
    <row r="131" spans="1:7">
      <c r="A131" s="11">
        <v>-0.06</v>
      </c>
      <c r="B131" s="14">
        <v>0.98</v>
      </c>
      <c r="C131" s="15">
        <v>5.0000000000000044E-3</v>
      </c>
      <c r="D131" s="9"/>
      <c r="E131" s="11">
        <v>-0.06</v>
      </c>
      <c r="F131" s="10">
        <v>1</v>
      </c>
      <c r="G131" s="15">
        <v>0</v>
      </c>
    </row>
    <row r="132" spans="1:7">
      <c r="A132" s="11">
        <v>-0.05</v>
      </c>
      <c r="B132" s="14">
        <v>0.98499999999999999</v>
      </c>
      <c r="C132" s="15">
        <v>5.0000000000000044E-3</v>
      </c>
      <c r="D132" s="9"/>
      <c r="E132" s="11">
        <v>-0.05</v>
      </c>
      <c r="F132" s="10">
        <v>1</v>
      </c>
      <c r="G132" s="15">
        <v>0</v>
      </c>
    </row>
    <row r="133" spans="1:7">
      <c r="A133" s="11">
        <v>-0.04</v>
      </c>
      <c r="B133" s="14">
        <v>0.99</v>
      </c>
      <c r="C133" s="15">
        <v>5.0000000000000044E-3</v>
      </c>
      <c r="D133" s="9"/>
      <c r="E133" s="11">
        <v>-0.04</v>
      </c>
      <c r="F133" s="10">
        <v>1</v>
      </c>
      <c r="G133" s="15">
        <v>0</v>
      </c>
    </row>
    <row r="134" spans="1:7">
      <c r="A134" s="11">
        <v>-0.03</v>
      </c>
      <c r="B134" s="14">
        <v>0.995</v>
      </c>
      <c r="C134" s="15">
        <v>5.0000000000000044E-3</v>
      </c>
      <c r="D134" s="9"/>
      <c r="E134" s="11">
        <v>-0.03</v>
      </c>
      <c r="F134" s="10">
        <v>1</v>
      </c>
      <c r="G134" s="15">
        <v>0</v>
      </c>
    </row>
    <row r="135" spans="1:7">
      <c r="A135" s="11">
        <v>-0.02</v>
      </c>
      <c r="B135" s="10">
        <v>1</v>
      </c>
      <c r="C135" s="15">
        <v>0</v>
      </c>
      <c r="D135" s="9"/>
      <c r="E135" s="11">
        <v>-0.02</v>
      </c>
      <c r="F135" s="10">
        <v>1</v>
      </c>
      <c r="G135" s="15">
        <v>0</v>
      </c>
    </row>
    <row r="136" spans="1:7">
      <c r="A136" s="12">
        <v>0</v>
      </c>
      <c r="B136" s="13">
        <v>1</v>
      </c>
      <c r="C136" s="9"/>
      <c r="D136" s="9"/>
      <c r="E136" s="12">
        <v>0</v>
      </c>
      <c r="F136" s="13">
        <v>1</v>
      </c>
      <c r="G136" s="9"/>
    </row>
    <row r="137" spans="1:7">
      <c r="A137" s="22">
        <v>0.02</v>
      </c>
      <c r="B137" s="23">
        <v>1</v>
      </c>
    </row>
    <row r="138" spans="1:7">
      <c r="A138" s="22">
        <v>0.06</v>
      </c>
      <c r="B138" s="23">
        <v>1.0049999999999999</v>
      </c>
    </row>
    <row r="139" spans="1:7">
      <c r="A139" s="22">
        <v>0.04</v>
      </c>
      <c r="B139" s="23">
        <v>1.01</v>
      </c>
    </row>
    <row r="140" spans="1:7">
      <c r="A140" s="22">
        <v>0.05</v>
      </c>
      <c r="B140" s="23">
        <v>1.0149999999999999</v>
      </c>
    </row>
    <row r="141" spans="1:7">
      <c r="A141" s="22">
        <v>0.06</v>
      </c>
      <c r="B141" s="23">
        <v>1.02</v>
      </c>
    </row>
    <row r="142" spans="1:7">
      <c r="A142" s="22">
        <v>0.04</v>
      </c>
      <c r="B142" s="23">
        <v>1.0249999999999999</v>
      </c>
    </row>
    <row r="143" spans="1:7">
      <c r="A143" s="22">
        <v>0.08</v>
      </c>
      <c r="B143" s="23">
        <v>1.03</v>
      </c>
    </row>
    <row r="144" spans="1:7">
      <c r="A144" s="22">
        <v>0.09</v>
      </c>
      <c r="B144" s="23">
        <v>1.0349999999999999</v>
      </c>
    </row>
    <row r="145" spans="1:2">
      <c r="A145" s="22">
        <v>0.1</v>
      </c>
      <c r="B145" s="23">
        <v>1.04</v>
      </c>
    </row>
    <row r="146" spans="1:2">
      <c r="A146" s="22">
        <v>0.11</v>
      </c>
      <c r="B146" s="23">
        <v>1.0449999999999999</v>
      </c>
    </row>
    <row r="147" spans="1:2">
      <c r="A147" s="22">
        <v>0.12</v>
      </c>
      <c r="B147" s="23">
        <v>1.05</v>
      </c>
    </row>
    <row r="148" spans="1:2">
      <c r="A148" s="22">
        <v>0.13</v>
      </c>
      <c r="B148" s="23">
        <v>1.0549999999999999</v>
      </c>
    </row>
    <row r="149" spans="1:2">
      <c r="A149" s="22">
        <v>0.14000000000000001</v>
      </c>
      <c r="B149" s="23">
        <v>1.06</v>
      </c>
    </row>
    <row r="150" spans="1:2">
      <c r="A150" s="22">
        <v>0.15</v>
      </c>
      <c r="B150" s="23">
        <v>1.0649999999999999</v>
      </c>
    </row>
    <row r="151" spans="1:2">
      <c r="A151" s="22">
        <v>0.16</v>
      </c>
      <c r="B151" s="23">
        <v>1.07</v>
      </c>
    </row>
    <row r="152" spans="1:2">
      <c r="A152" s="22">
        <v>0.17</v>
      </c>
      <c r="B152" s="23">
        <v>1.075</v>
      </c>
    </row>
    <row r="153" spans="1:2">
      <c r="A153" s="22">
        <v>0.18</v>
      </c>
      <c r="B153" s="23">
        <v>1.08</v>
      </c>
    </row>
    <row r="154" spans="1:2">
      <c r="A154" s="22">
        <v>0.19</v>
      </c>
      <c r="B154" s="23">
        <v>1.0860000000000001</v>
      </c>
    </row>
    <row r="155" spans="1:2">
      <c r="A155" s="22">
        <v>0.2</v>
      </c>
      <c r="B155" s="23">
        <v>1.0920000000000001</v>
      </c>
    </row>
    <row r="156" spans="1:2">
      <c r="A156" s="22">
        <v>0.21</v>
      </c>
      <c r="B156" s="23">
        <v>1.0980000000000001</v>
      </c>
    </row>
    <row r="157" spans="1:2">
      <c r="A157" s="22">
        <v>0.22</v>
      </c>
      <c r="B157" s="23">
        <v>1.1040000000000001</v>
      </c>
    </row>
    <row r="158" spans="1:2">
      <c r="A158" s="22">
        <v>0.23</v>
      </c>
      <c r="B158" s="23">
        <v>1.1100000000000001</v>
      </c>
    </row>
    <row r="159" spans="1:2">
      <c r="A159" s="22">
        <v>0.24</v>
      </c>
      <c r="B159" s="23">
        <v>1.1160000000000001</v>
      </c>
    </row>
    <row r="160" spans="1:2">
      <c r="A160" s="22">
        <v>0.25</v>
      </c>
      <c r="B160" s="23">
        <v>1.1220000000000001</v>
      </c>
    </row>
    <row r="161" spans="1:2">
      <c r="A161" s="22">
        <v>0.26</v>
      </c>
      <c r="B161" s="23">
        <v>1.1279999999999999</v>
      </c>
    </row>
    <row r="162" spans="1:2">
      <c r="A162" s="22">
        <v>0.27</v>
      </c>
      <c r="B162" s="23">
        <v>1.1339999999999999</v>
      </c>
    </row>
    <row r="163" spans="1:2">
      <c r="A163" s="22">
        <v>0.28000000000000003</v>
      </c>
      <c r="B163" s="23">
        <v>1.1399999999999999</v>
      </c>
    </row>
    <row r="164" spans="1:2">
      <c r="A164" s="22">
        <v>0.28999999999999998</v>
      </c>
      <c r="B164" s="23">
        <v>1.1459999999999999</v>
      </c>
    </row>
    <row r="165" spans="1:2">
      <c r="A165" s="22">
        <v>0.3</v>
      </c>
      <c r="B165" s="23">
        <v>1.1519999999999999</v>
      </c>
    </row>
    <row r="166" spans="1:2">
      <c r="A166" s="22">
        <v>0.31</v>
      </c>
      <c r="B166" s="23">
        <v>1.1579999999999999</v>
      </c>
    </row>
    <row r="167" spans="1:2">
      <c r="A167" s="22">
        <v>0.32</v>
      </c>
      <c r="B167" s="23">
        <v>1.1639999999999999</v>
      </c>
    </row>
    <row r="168" spans="1:2">
      <c r="A168" s="22">
        <v>0.33</v>
      </c>
      <c r="B168" s="23">
        <v>1.171</v>
      </c>
    </row>
    <row r="169" spans="1:2">
      <c r="A169" s="22">
        <v>0.34</v>
      </c>
      <c r="B169" s="23">
        <v>1.1779999999999999</v>
      </c>
    </row>
    <row r="170" spans="1:2">
      <c r="A170" s="22">
        <v>0.35</v>
      </c>
      <c r="B170" s="23">
        <v>1.1850000000000001</v>
      </c>
    </row>
    <row r="171" spans="1:2">
      <c r="A171" s="22">
        <v>0.36</v>
      </c>
      <c r="B171" s="23">
        <v>1.1919999999999999</v>
      </c>
    </row>
    <row r="172" spans="1:2">
      <c r="A172" s="22">
        <v>0.37</v>
      </c>
      <c r="B172" s="23">
        <v>1.1990000000000001</v>
      </c>
    </row>
    <row r="173" spans="1:2">
      <c r="A173" s="22">
        <v>0.38</v>
      </c>
      <c r="B173" s="23">
        <v>1.206</v>
      </c>
    </row>
    <row r="174" spans="1:2">
      <c r="A174" s="22">
        <v>0.39</v>
      </c>
      <c r="B174" s="23">
        <v>1.2130000000000001</v>
      </c>
    </row>
    <row r="175" spans="1:2">
      <c r="A175" s="22">
        <v>0.4</v>
      </c>
      <c r="B175" s="23">
        <v>1.22</v>
      </c>
    </row>
    <row r="176" spans="1:2">
      <c r="A176" s="22">
        <v>0.41</v>
      </c>
      <c r="B176" s="23">
        <v>1.2270000000000001</v>
      </c>
    </row>
    <row r="177" spans="1:2">
      <c r="A177" s="22">
        <v>0.42</v>
      </c>
      <c r="B177" s="23">
        <v>1.234</v>
      </c>
    </row>
    <row r="178" spans="1:2">
      <c r="A178" s="22">
        <v>0.43</v>
      </c>
      <c r="B178" s="23">
        <v>1.2410000000000001</v>
      </c>
    </row>
    <row r="179" spans="1:2">
      <c r="A179" s="22">
        <v>0.44</v>
      </c>
      <c r="B179" s="23">
        <v>1.248</v>
      </c>
    </row>
    <row r="180" spans="1:2">
      <c r="A180" s="22">
        <v>0.45</v>
      </c>
      <c r="B180" s="23">
        <v>1.256</v>
      </c>
    </row>
    <row r="181" spans="1:2">
      <c r="A181" s="22">
        <v>0.46</v>
      </c>
      <c r="B181" s="23">
        <v>1.264</v>
      </c>
    </row>
    <row r="182" spans="1:2">
      <c r="A182" s="22">
        <v>0.47</v>
      </c>
      <c r="B182" s="23">
        <v>1.272</v>
      </c>
    </row>
    <row r="183" spans="1:2">
      <c r="A183" s="22">
        <v>0.48</v>
      </c>
      <c r="B183" s="23">
        <v>1.28</v>
      </c>
    </row>
    <row r="184" spans="1:2">
      <c r="A184" s="22">
        <v>0.49</v>
      </c>
      <c r="B184" s="23">
        <v>1.288</v>
      </c>
    </row>
    <row r="185" spans="1:2">
      <c r="A185" s="22">
        <v>0.5</v>
      </c>
      <c r="B185" s="24">
        <f>2-B87</f>
        <v>1.296</v>
      </c>
    </row>
    <row r="186" spans="1:2">
      <c r="A186" s="22">
        <v>0.51</v>
      </c>
      <c r="B186" s="23">
        <v>1.296</v>
      </c>
    </row>
    <row r="187" spans="1:2">
      <c r="A187" s="22">
        <v>0.52</v>
      </c>
      <c r="B187" s="23">
        <v>1.304</v>
      </c>
    </row>
  </sheetData>
  <mergeCells count="2">
    <mergeCell ref="A1:B1"/>
    <mergeCell ref="E1:F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1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1</vt:i4>
      </vt:variant>
    </vt:vector>
  </HeadingPairs>
  <TitlesOfParts>
    <vt:vector size="9" baseType="lpstr">
      <vt:lpstr>Выпадение всего</vt:lpstr>
      <vt:lpstr>Уголь_эластика_экспорт</vt:lpstr>
      <vt:lpstr>План погрузки</vt:lpstr>
      <vt:lpstr>Уголь_эластика_внутр</vt:lpstr>
      <vt:lpstr>Уголь_коэфф</vt:lpstr>
      <vt:lpstr>Цены,перевалка,аренда</vt:lpstr>
      <vt:lpstr>Курс $</vt:lpstr>
      <vt:lpstr>Технический лист_сниж тарифа</vt:lpstr>
      <vt:lpstr>'План погрузки'!Область_печати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kurkinda</dc:creator>
  <cp:lastModifiedBy>kurkinda</cp:lastModifiedBy>
  <cp:lastPrinted>2026-04-29T09:28:04Z</cp:lastPrinted>
  <dcterms:created xsi:type="dcterms:W3CDTF">2026-04-22T14:39:13Z</dcterms:created>
  <dcterms:modified xsi:type="dcterms:W3CDTF">2026-07-07T08:08:13Z</dcterms:modified>
</cp:coreProperties>
</file>